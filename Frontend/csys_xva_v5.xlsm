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autoCompressPictures="0"/>
  <bookViews>
    <workbookView xWindow="-15" yWindow="5400" windowWidth="21840" windowHeight="7365" tabRatio="866" activeTab="5"/>
  </bookViews>
  <sheets>
    <sheet name="NettingSets" sheetId="11" r:id="rId1"/>
    <sheet name="Operations" sheetId="1" r:id="rId2"/>
    <sheet name="Custom Amort" sheetId="15" r:id="rId3"/>
    <sheet name="Mkt" sheetId="2" r:id="rId4"/>
    <sheet name="Model Parameters" sheetId="5" r:id="rId5"/>
    <sheet name="Simulacion" sheetId="6" r:id="rId6"/>
    <sheet name="Valorizacion y Metricas" sheetId="12" r:id="rId7"/>
    <sheet name="Resultados" sheetId="13" r:id="rId8"/>
    <sheet name="Datos Estaticos" sheetId="4" r:id="rId9"/>
    <sheet name="Auxiliar" sheetId="9" r:id="rId10"/>
    <sheet name="Ayuda" sheetId="16" r:id="rId11"/>
  </sheets>
  <functionGroups builtInGroupCount="17"/>
  <definedNames>
    <definedName name="_xlnm._FilterDatabase" localSheetId="3" hidden="1">Mkt!$I$8:$K$300</definedName>
    <definedName name="_xlnm._FilterDatabase" localSheetId="0" hidden="1">NettingSets!$D$11:$N$11</definedName>
    <definedName name="curr">'Datos Estaticos'!$L$13:$L$32</definedName>
    <definedName name="curveDefinition">'Datos Estaticos'!$F$13:$F$32</definedName>
    <definedName name="DT">Auxiliar!$F$5</definedName>
    <definedName name="fwd">'Datos Estaticos'!$J$13:$J$32</definedName>
    <definedName name="fxDefinition">'Datos Estaticos'!$D$13:$D$32</definedName>
    <definedName name="maxRowsValue">Auxiliar!$C$1</definedName>
    <definedName name="mktFactors">Simulacion!$D$8:$E$27</definedName>
    <definedName name="monedaBase">'Datos Estaticos'!$D$8</definedName>
    <definedName name="numberCurvas">'Datos Estaticos'!$N$1</definedName>
    <definedName name="numberFactors">Simulacion!$C$2</definedName>
    <definedName name="numberFX">'Datos Estaticos'!$L$1</definedName>
    <definedName name="numberGamma">'Model Parameters'!$B$11</definedName>
    <definedName name="numberNettingSets">NettingSets!$D$1</definedName>
    <definedName name="numberRho">'Model Parameters'!$B$31</definedName>
    <definedName name="numberSigma">'Model Parameters'!$B$21</definedName>
    <definedName name="okNettingSet">NettingSets!$D$4</definedName>
    <definedName name="originCurves">Mkt!$I$9</definedName>
    <definedName name="originCustomAmort">'Custom Amort'!$D$9</definedName>
    <definedName name="originDatosInstitucion">NettingSets!$S$12</definedName>
    <definedName name="originDealNumberNettingSet">NettingSets!$P$12</definedName>
    <definedName name="originFX">Mkt!$D$9</definedName>
    <definedName name="originGamma">'Model Parameters'!$D$8</definedName>
    <definedName name="originNettingSetParaValorizar">'Valorizacion y Metricas'!$D$10</definedName>
    <definedName name="originNettingSets">NettingSets!$D$12</definedName>
    <definedName name="originOperations">Operations!$D$9</definedName>
    <definedName name="originRho">'Model Parameters'!$J$8</definedName>
    <definedName name="originSigma">'Model Parameters'!$G$8</definedName>
    <definedName name="originSimFactores">Simulacion!$D$8</definedName>
    <definedName name="originStoppingTimes">'Valorizacion y Metricas'!$G$10</definedName>
    <definedName name="percentil">'Valorizacion y Metricas'!$H$7</definedName>
    <definedName name="rangeCurvas">'Datos Estaticos'!$N$2</definedName>
    <definedName name="rangeCustomAmort">'Custom Amort'!$B$12</definedName>
    <definedName name="rangeDealNumberNettingSet">NettingSets!$B$26</definedName>
    <definedName name="rangeFX">'Datos Estaticos'!$L$2</definedName>
    <definedName name="rangeGamma">'Model Parameters'!$B$13</definedName>
    <definedName name="rangeMarketCurves">Mkt!$B$21</definedName>
    <definedName name="rangeMarketFX">Mkt!$B$12</definedName>
    <definedName name="rangeNettingSets">NettingSets!$B$17</definedName>
    <definedName name="rangeNettingSetsParaValorizar">'Valorizacion y Metricas'!$B$17</definedName>
    <definedName name="rangeOperations">Operations!$B$12</definedName>
    <definedName name="rangeRho">'Model Parameters'!$B$33</definedName>
    <definedName name="rangeSigma">'Model Parameters'!$B$23</definedName>
    <definedName name="rangeSimFactores">Simulacion!$B$13</definedName>
    <definedName name="rangeStoppingTimes">'Valorizacion y Metricas'!$B$28</definedName>
    <definedName name="simHorizonte">Simulacion!$I$7</definedName>
    <definedName name="simIteraciones">Simulacion!$I$8</definedName>
    <definedName name="simRunTime">Simulacion!$I$10</definedName>
    <definedName name="swp">'Datos Estaticos'!$N$13:$N$32</definedName>
    <definedName name="type">'Datos Estaticos'!$H$13:$H$32</definedName>
  </definedNames>
  <calcPr calcId="145621" concurrentCalc="0"/>
</workbook>
</file>

<file path=xl/calcChain.xml><?xml version="1.0" encoding="utf-8"?>
<calcChain xmlns="http://schemas.openxmlformats.org/spreadsheetml/2006/main">
  <c r="AP18" i="1" l="1"/>
  <c r="N1" i="11"/>
  <c r="M1" i="11"/>
  <c r="L1" i="11"/>
  <c r="K1" i="11"/>
  <c r="J1" i="11"/>
  <c r="F3" i="11"/>
  <c r="G3" i="11"/>
  <c r="AP17" i="1"/>
  <c r="AP16" i="1"/>
  <c r="AP15" i="1"/>
  <c r="AP14" i="1"/>
  <c r="AP13" i="1"/>
  <c r="AP12" i="1"/>
  <c r="AP11" i="1"/>
  <c r="AP10" i="1"/>
  <c r="AP9" i="1"/>
  <c r="N7" i="13"/>
  <c r="N10" i="13"/>
  <c r="N8" i="13"/>
  <c r="N9" i="13"/>
  <c r="AP20" i="1"/>
  <c r="AP19" i="1"/>
  <c r="AP21" i="1"/>
  <c r="AR9" i="1"/>
  <c r="N9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E21" i="13" a="1"/>
  <c r="E23" i="13" a="1"/>
  <c r="E25" i="13" a="1"/>
  <c r="E27" i="13" a="1"/>
  <c r="E29" i="13" a="1"/>
  <c r="E31" i="13" a="1"/>
  <c r="E22" i="13" a="1"/>
  <c r="E26" i="13" a="1"/>
  <c r="E30" i="13" a="1"/>
  <c r="E33" i="13" a="1"/>
  <c r="E35" i="13" a="1"/>
  <c r="E24" i="13" a="1"/>
  <c r="E28" i="13" a="1"/>
  <c r="E32" i="13" a="1"/>
  <c r="E34" i="13" a="1"/>
  <c r="E36" i="13" a="1"/>
  <c r="E20" i="13" a="1"/>
  <c r="E19" i="13" a="1"/>
  <c r="E18" i="13" a="1"/>
  <c r="E17" i="13" a="1"/>
  <c r="E16" i="13" a="1"/>
  <c r="E15" i="13" a="1"/>
  <c r="E14" i="13" a="1"/>
  <c r="E13" i="13" a="1"/>
  <c r="E12" i="13" a="1"/>
  <c r="E11" i="13" a="1"/>
  <c r="E10" i="13" a="1"/>
  <c r="E9" i="13" a="1"/>
  <c r="E8" i="13" a="1"/>
  <c r="E7" i="13" a="1"/>
  <c r="E36" i="13"/>
  <c r="G36" i="13"/>
  <c r="I36" i="13"/>
  <c r="K36" i="13"/>
  <c r="F36" i="13"/>
  <c r="H36" i="13"/>
  <c r="J36" i="13"/>
  <c r="L36" i="13"/>
  <c r="E34" i="13"/>
  <c r="G34" i="13"/>
  <c r="I34" i="13"/>
  <c r="K34" i="13"/>
  <c r="F34" i="13"/>
  <c r="H34" i="13"/>
  <c r="J34" i="13"/>
  <c r="L34" i="13"/>
  <c r="E32" i="13"/>
  <c r="G32" i="13"/>
  <c r="I32" i="13"/>
  <c r="K32" i="13"/>
  <c r="F32" i="13"/>
  <c r="H32" i="13"/>
  <c r="J32" i="13"/>
  <c r="L32" i="13"/>
  <c r="E28" i="13"/>
  <c r="G28" i="13"/>
  <c r="I28" i="13"/>
  <c r="K28" i="13"/>
  <c r="F28" i="13"/>
  <c r="J28" i="13"/>
  <c r="H28" i="13"/>
  <c r="L28" i="13"/>
  <c r="E24" i="13"/>
  <c r="G24" i="13"/>
  <c r="I24" i="13"/>
  <c r="K24" i="13"/>
  <c r="F24" i="13"/>
  <c r="J24" i="13"/>
  <c r="H24" i="13"/>
  <c r="L24" i="13"/>
  <c r="E20" i="13"/>
  <c r="G20" i="13"/>
  <c r="I20" i="13"/>
  <c r="K20" i="13"/>
  <c r="F20" i="13"/>
  <c r="J20" i="13"/>
  <c r="H20" i="13"/>
  <c r="L20" i="13"/>
  <c r="E16" i="13"/>
  <c r="G16" i="13"/>
  <c r="I16" i="13"/>
  <c r="K16" i="13"/>
  <c r="F16" i="13"/>
  <c r="J16" i="13"/>
  <c r="H16" i="13"/>
  <c r="L16" i="13"/>
  <c r="E12" i="13"/>
  <c r="G12" i="13"/>
  <c r="I12" i="13"/>
  <c r="K12" i="13"/>
  <c r="F12" i="13"/>
  <c r="J12" i="13"/>
  <c r="H12" i="13"/>
  <c r="L12" i="13"/>
  <c r="F35" i="13"/>
  <c r="H35" i="13"/>
  <c r="J35" i="13"/>
  <c r="L35" i="13"/>
  <c r="E35" i="13"/>
  <c r="G35" i="13"/>
  <c r="I35" i="13"/>
  <c r="K35" i="13"/>
  <c r="F33" i="13"/>
  <c r="H33" i="13"/>
  <c r="J33" i="13"/>
  <c r="L33" i="13"/>
  <c r="E33" i="13"/>
  <c r="G33" i="13"/>
  <c r="I33" i="13"/>
  <c r="K33" i="13"/>
  <c r="E30" i="13"/>
  <c r="G30" i="13"/>
  <c r="I30" i="13"/>
  <c r="K30" i="13"/>
  <c r="H30" i="13"/>
  <c r="L30" i="13"/>
  <c r="F30" i="13"/>
  <c r="J30" i="13"/>
  <c r="E26" i="13"/>
  <c r="G26" i="13"/>
  <c r="I26" i="13"/>
  <c r="K26" i="13"/>
  <c r="H26" i="13"/>
  <c r="L26" i="13"/>
  <c r="F26" i="13"/>
  <c r="J26" i="13"/>
  <c r="E22" i="13"/>
  <c r="G22" i="13"/>
  <c r="I22" i="13"/>
  <c r="K22" i="13"/>
  <c r="H22" i="13"/>
  <c r="L22" i="13"/>
  <c r="F22" i="13"/>
  <c r="J22" i="13"/>
  <c r="E18" i="13"/>
  <c r="G18" i="13"/>
  <c r="I18" i="13"/>
  <c r="K18" i="13"/>
  <c r="H18" i="13"/>
  <c r="L18" i="13"/>
  <c r="F18" i="13"/>
  <c r="J18" i="13"/>
  <c r="E14" i="13"/>
  <c r="G14" i="13"/>
  <c r="I14" i="13"/>
  <c r="K14" i="13"/>
  <c r="H14" i="13"/>
  <c r="L14" i="13"/>
  <c r="F14" i="13"/>
  <c r="J14" i="13"/>
  <c r="F31" i="13"/>
  <c r="H31" i="13"/>
  <c r="G31" i="13"/>
  <c r="J31" i="13"/>
  <c r="L31" i="13"/>
  <c r="E31" i="13"/>
  <c r="I31" i="13"/>
  <c r="K31" i="13"/>
  <c r="F29" i="13"/>
  <c r="H29" i="13"/>
  <c r="J29" i="13"/>
  <c r="L29" i="13"/>
  <c r="E29" i="13"/>
  <c r="I29" i="13"/>
  <c r="G29" i="13"/>
  <c r="K29" i="13"/>
  <c r="F27" i="13"/>
  <c r="H27" i="13"/>
  <c r="J27" i="13"/>
  <c r="L27" i="13"/>
  <c r="G27" i="13"/>
  <c r="K27" i="13"/>
  <c r="E27" i="13"/>
  <c r="I27" i="13"/>
  <c r="F25" i="13"/>
  <c r="H25" i="13"/>
  <c r="J25" i="13"/>
  <c r="L25" i="13"/>
  <c r="E25" i="13"/>
  <c r="I25" i="13"/>
  <c r="G25" i="13"/>
  <c r="K25" i="13"/>
  <c r="F23" i="13"/>
  <c r="H23" i="13"/>
  <c r="J23" i="13"/>
  <c r="L23" i="13"/>
  <c r="G23" i="13"/>
  <c r="K23" i="13"/>
  <c r="E23" i="13"/>
  <c r="I23" i="13"/>
  <c r="F21" i="13"/>
  <c r="H21" i="13"/>
  <c r="J21" i="13"/>
  <c r="L21" i="13"/>
  <c r="E21" i="13"/>
  <c r="I21" i="13"/>
  <c r="G21" i="13"/>
  <c r="K21" i="13"/>
  <c r="F19" i="13"/>
  <c r="H19" i="13"/>
  <c r="J19" i="13"/>
  <c r="L19" i="13"/>
  <c r="G19" i="13"/>
  <c r="K19" i="13"/>
  <c r="E19" i="13"/>
  <c r="I19" i="13"/>
  <c r="F17" i="13"/>
  <c r="H17" i="13"/>
  <c r="J17" i="13"/>
  <c r="L17" i="13"/>
  <c r="E17" i="13"/>
  <c r="I17" i="13"/>
  <c r="G17" i="13"/>
  <c r="K17" i="13"/>
  <c r="F15" i="13"/>
  <c r="H15" i="13"/>
  <c r="J15" i="13"/>
  <c r="L15" i="13"/>
  <c r="G15" i="13"/>
  <c r="K15" i="13"/>
  <c r="E15" i="13"/>
  <c r="I15" i="13"/>
  <c r="F13" i="13"/>
  <c r="H13" i="13"/>
  <c r="J13" i="13"/>
  <c r="L13" i="13"/>
  <c r="E13" i="13"/>
  <c r="I13" i="13"/>
  <c r="G13" i="13"/>
  <c r="K13" i="13"/>
  <c r="E10" i="13"/>
  <c r="G10" i="13"/>
  <c r="I10" i="13"/>
  <c r="K10" i="13"/>
  <c r="F10" i="13"/>
  <c r="H10" i="13"/>
  <c r="J10" i="13"/>
  <c r="L10" i="13"/>
  <c r="E8" i="13"/>
  <c r="G8" i="13"/>
  <c r="I8" i="13"/>
  <c r="K8" i="13"/>
  <c r="F8" i="13"/>
  <c r="H8" i="13"/>
  <c r="J8" i="13"/>
  <c r="L8" i="13"/>
  <c r="F11" i="13"/>
  <c r="H11" i="13"/>
  <c r="J11" i="13"/>
  <c r="L11" i="13"/>
  <c r="E11" i="13"/>
  <c r="G11" i="13"/>
  <c r="I11" i="13"/>
  <c r="K11" i="13"/>
  <c r="F9" i="13"/>
  <c r="H9" i="13"/>
  <c r="J9" i="13"/>
  <c r="L9" i="13"/>
  <c r="E9" i="13"/>
  <c r="G9" i="13"/>
  <c r="I9" i="13"/>
  <c r="K9" i="13"/>
  <c r="F7" i="13"/>
  <c r="H7" i="13"/>
  <c r="J7" i="13"/>
  <c r="L7" i="13"/>
  <c r="E7" i="13"/>
  <c r="G7" i="13"/>
  <c r="I7" i="13"/>
  <c r="K7" i="13"/>
  <c r="AR12" i="1"/>
  <c r="AR11" i="1"/>
  <c r="AR10" i="1"/>
  <c r="C2" i="6"/>
  <c r="B7" i="1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22" i="12"/>
  <c r="H23" i="12"/>
  <c r="H20" i="12"/>
  <c r="H21" i="12"/>
  <c r="B21" i="11"/>
  <c r="B29" i="5"/>
  <c r="B7" i="15"/>
  <c r="B6" i="15"/>
  <c r="A1" i="15"/>
  <c r="B6" i="5"/>
  <c r="B7" i="5"/>
  <c r="F5" i="9"/>
  <c r="C1" i="9"/>
  <c r="B8" i="15"/>
  <c r="B9" i="15"/>
  <c r="H212" i="12"/>
  <c r="H211" i="12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B10" i="15"/>
  <c r="H10" i="12"/>
  <c r="H11" i="12"/>
  <c r="H12" i="12"/>
  <c r="B11" i="12"/>
  <c r="B20" i="12"/>
  <c r="B21" i="12"/>
  <c r="B12" i="15"/>
  <c r="B10" i="12"/>
  <c r="H13" i="12"/>
  <c r="B22" i="12"/>
  <c r="B20" i="11"/>
  <c r="A1" i="1"/>
  <c r="F2" i="11"/>
  <c r="B16" i="5"/>
  <c r="B11" i="11"/>
  <c r="B22" i="11"/>
  <c r="B7" i="6"/>
  <c r="B7" i="2"/>
  <c r="B12" i="11"/>
  <c r="B12" i="12"/>
  <c r="B26" i="5"/>
  <c r="B27" i="12"/>
  <c r="B6" i="1"/>
  <c r="B27" i="5"/>
  <c r="B6" i="6"/>
  <c r="B15" i="2"/>
  <c r="B17" i="5"/>
  <c r="B16" i="2"/>
  <c r="B6" i="2"/>
  <c r="B23" i="11"/>
  <c r="B24" i="12"/>
  <c r="B14" i="12"/>
  <c r="H14" i="12"/>
  <c r="B8" i="6"/>
  <c r="B13" i="11"/>
  <c r="B28" i="5"/>
  <c r="B8" i="1"/>
  <c r="B8" i="5"/>
  <c r="B18" i="5"/>
  <c r="B17" i="2"/>
  <c r="B8" i="2"/>
  <c r="A1" i="5"/>
  <c r="B15" i="12"/>
  <c r="B18" i="2"/>
  <c r="B20" i="5"/>
  <c r="B9" i="1"/>
  <c r="B10" i="5"/>
  <c r="B30" i="5"/>
  <c r="B14" i="11"/>
  <c r="B9" i="2"/>
  <c r="B10" i="6"/>
  <c r="H15" i="12"/>
  <c r="N1" i="4"/>
  <c r="L1" i="4"/>
  <c r="A1" i="6"/>
  <c r="B17" i="12"/>
  <c r="A1" i="2"/>
  <c r="A1" i="4"/>
  <c r="A1" i="9"/>
  <c r="B1" i="11"/>
  <c r="B11" i="6"/>
  <c r="B11" i="5"/>
  <c r="B21" i="5"/>
  <c r="B19" i="2"/>
  <c r="B24" i="11"/>
  <c r="B15" i="11"/>
  <c r="B10" i="1"/>
  <c r="B31" i="5"/>
  <c r="B10" i="2"/>
  <c r="H16" i="12"/>
  <c r="C1" i="6"/>
  <c r="B13" i="6"/>
  <c r="B17" i="11"/>
  <c r="B23" i="5"/>
  <c r="B12" i="1"/>
  <c r="B21" i="2"/>
  <c r="B13" i="5"/>
  <c r="B33" i="5"/>
  <c r="B12" i="2"/>
  <c r="B26" i="11"/>
  <c r="B2" i="11"/>
  <c r="H17" i="12"/>
  <c r="N2" i="4"/>
  <c r="L2" i="4"/>
  <c r="H18" i="12"/>
  <c r="D1" i="11"/>
  <c r="E4" i="11"/>
  <c r="H19" i="12"/>
  <c r="G1" i="11"/>
  <c r="E1" i="11"/>
  <c r="I1" i="11"/>
  <c r="H1" i="11"/>
  <c r="F1" i="11"/>
  <c r="D4" i="11"/>
  <c r="B25" i="12"/>
  <c r="F4" i="11"/>
  <c r="B28" i="12"/>
</calcChain>
</file>

<file path=xl/comments1.xml><?xml version="1.0" encoding="utf-8"?>
<comments xmlns="http://schemas.openxmlformats.org/spreadsheetml/2006/main">
  <authors>
    <author>Banco Security</author>
    <author>EFAA</author>
    <author>Solange Becerra</author>
  </authors>
  <commentList>
    <comment ref="G3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Numero de campos de Netting Set.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Nombre identificador del Netting Set. El usuario puede definirlo como quiera.</t>
        </r>
      </text>
    </comment>
    <comment ref="E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Tasa de recuperación de la contraparte asociada al Netting Set.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Probabilidad de default anual de la contraparte asociada al Netting Set.</t>
        </r>
      </text>
    </comment>
    <comment ref="G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Moneda del threshold del contrato de colaterales asociado al Netting Set.</t>
        </r>
      </text>
    </comment>
    <comment ref="H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Threshold a aplicar a la contraparte asociada al Netting Set.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Threshold a aplicar a la Institución (Banco Security) para este Netting Set.</t>
        </r>
      </text>
    </comment>
    <comment ref="J11" authorId="1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Última fecha en que se constituyó garantía.
Se expresa en días hábiles con signo negativo asumiendo que los meses tienen 22 días hábiles.</t>
        </r>
      </text>
    </comment>
    <comment ref="K11" authorId="1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Margen constituido en Last Date. Es positivo si es a favor de la institución y negativo si es a favor de la contraparte.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Periodicidad de reevaluación del contrato de colateral asociado al netting set.
Se expresa en días hábiles asumiendo que los meses tienen 22 días hábiles.</t>
        </r>
      </text>
    </comment>
    <comment ref="M11" authorId="2">
      <text>
        <r>
          <rPr>
            <b/>
            <sz val="9"/>
            <color indexed="81"/>
            <rFont val="Tahoma"/>
            <family val="2"/>
          </rPr>
          <t xml:space="preserve">Creasys:
</t>
        </r>
        <r>
          <rPr>
            <sz val="9"/>
            <color indexed="81"/>
            <rFont val="Tahoma"/>
            <family val="2"/>
          </rPr>
          <t>Ajuste sobre la garantía asociada al netting set.</t>
        </r>
      </text>
    </comment>
    <comment ref="N11" authorId="2">
      <text>
        <r>
          <rPr>
            <b/>
            <sz val="9"/>
            <color indexed="81"/>
            <rFont val="Tahoma"/>
            <family val="2"/>
          </rPr>
          <t xml:space="preserve">Creasys:
</t>
        </r>
        <r>
          <rPr>
            <sz val="9"/>
            <color indexed="81"/>
            <rFont val="Tahoma"/>
            <family val="2"/>
          </rPr>
          <t>Monto mínimo de transferencia para un netting set.</t>
        </r>
      </text>
    </comment>
    <comment ref="P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Es el número de operación precedido de un ' para que se interprete como texto.
Esto permitirá números de operación que incluyan códigos u otro de tipo de flags.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Se ingresa el netting set al cual pertenece la operación.
El identificador de Netting Set es un texto cualquiera que podría el nombre de la contraparte.</t>
        </r>
      </text>
    </comment>
    <comment ref="S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Probabilidad de default.</t>
        </r>
      </text>
    </comment>
    <comment ref="T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Tasa de recuperación.</t>
        </r>
      </text>
    </comment>
    <comment ref="U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Se refiere al spread de captación para el cálculo de FVA.</t>
        </r>
      </text>
    </comment>
    <comment ref="V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Se refiere al spread de colocación para el cálculo de FVA.</t>
        </r>
      </text>
    </comment>
  </commentList>
</comments>
</file>

<file path=xl/comments2.xml><?xml version="1.0" encoding="utf-8"?>
<comments xmlns="http://schemas.openxmlformats.org/spreadsheetml/2006/main">
  <authors>
    <author>Banco Security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Constante. Número de campos de la tabla Operaciones.</t>
        </r>
      </text>
    </comment>
  </commentList>
</comments>
</file>

<file path=xl/sharedStrings.xml><?xml version="1.0" encoding="utf-8"?>
<sst xmlns="http://schemas.openxmlformats.org/spreadsheetml/2006/main" count="869" uniqueCount="228">
  <si>
    <t>FWD</t>
  </si>
  <si>
    <t>Type</t>
  </si>
  <si>
    <t>USD</t>
  </si>
  <si>
    <t>CLP</t>
  </si>
  <si>
    <t>USDCLP</t>
  </si>
  <si>
    <t>FX</t>
  </si>
  <si>
    <t>Valor</t>
  </si>
  <si>
    <t>Curva</t>
  </si>
  <si>
    <t>Plazo</t>
  </si>
  <si>
    <t>Tasa</t>
  </si>
  <si>
    <t>Fx</t>
  </si>
  <si>
    <t>Pricer</t>
  </si>
  <si>
    <t>FX_Forward</t>
  </si>
  <si>
    <t>EURUSD</t>
  </si>
  <si>
    <t>EUR</t>
  </si>
  <si>
    <t>SWP</t>
  </si>
  <si>
    <t>IRS_Plain</t>
  </si>
  <si>
    <t>IRS_CLCAM</t>
  </si>
  <si>
    <t>DealNumber</t>
  </si>
  <si>
    <t>Moneda Base</t>
  </si>
  <si>
    <t>Nombre</t>
  </si>
  <si>
    <t>Simula</t>
  </si>
  <si>
    <t>Tipo</t>
  </si>
  <si>
    <t>IR</t>
  </si>
  <si>
    <t>Factor</t>
  </si>
  <si>
    <t>Horizonte</t>
  </si>
  <si>
    <t>Iteraciones</t>
  </si>
  <si>
    <t>CurvaFuerte</t>
  </si>
  <si>
    <t>CurvaDebil</t>
  </si>
  <si>
    <t>bStartTime</t>
  </si>
  <si>
    <t>bExpiryTime</t>
  </si>
  <si>
    <t>bCurr</t>
  </si>
  <si>
    <t>bAmount</t>
  </si>
  <si>
    <t>bTipoTasa</t>
  </si>
  <si>
    <t>bFormaTasa</t>
  </si>
  <si>
    <t>bValueRate</t>
  </si>
  <si>
    <t>bPeriodicity</t>
  </si>
  <si>
    <t>bStubPeriod</t>
  </si>
  <si>
    <t>bFixPeriodicity</t>
  </si>
  <si>
    <t>bFixStubPeriod</t>
  </si>
  <si>
    <t>bSpread</t>
  </si>
  <si>
    <t>bAmort</t>
  </si>
  <si>
    <t>bIncludeAmort</t>
  </si>
  <si>
    <t>bProjCurve</t>
  </si>
  <si>
    <t>bDiscountCurve</t>
  </si>
  <si>
    <t>bInitialUF</t>
  </si>
  <si>
    <t>sStartTime</t>
  </si>
  <si>
    <t>sExpiryTime</t>
  </si>
  <si>
    <t>sCurr</t>
  </si>
  <si>
    <t>sAmount</t>
  </si>
  <si>
    <t>sTipoTasa</t>
  </si>
  <si>
    <t>sFormaTasa</t>
  </si>
  <si>
    <t>sValueRate</t>
  </si>
  <si>
    <t>sPeriodicity</t>
  </si>
  <si>
    <t>sStubPeriod</t>
  </si>
  <si>
    <t>sFixPeriodicity</t>
  </si>
  <si>
    <t>sFixStubPeriod</t>
  </si>
  <si>
    <t>sSpread</t>
  </si>
  <si>
    <t>sAmort</t>
  </si>
  <si>
    <t>sIncludeAmort</t>
  </si>
  <si>
    <t>sProjCurve</t>
  </si>
  <si>
    <t>sDiscountCurve</t>
  </si>
  <si>
    <t>sInitialUF</t>
  </si>
  <si>
    <t>No</t>
  </si>
  <si>
    <t>NS</t>
  </si>
  <si>
    <t>Netting Set</t>
  </si>
  <si>
    <t>RR</t>
  </si>
  <si>
    <t>ThrNS</t>
  </si>
  <si>
    <t>ThrINST</t>
  </si>
  <si>
    <t>Periodicity</t>
  </si>
  <si>
    <t>ThrCurr</t>
  </si>
  <si>
    <t>DP</t>
  </si>
  <si>
    <t>Datos de la Institución</t>
  </si>
  <si>
    <t>Netting Sets</t>
  </si>
  <si>
    <t>IRS_UFCAM</t>
  </si>
  <si>
    <t>Curr</t>
  </si>
  <si>
    <t>CLF</t>
  </si>
  <si>
    <t>Curvas</t>
  </si>
  <si>
    <t>Rho</t>
  </si>
  <si>
    <t>Monedas Base</t>
  </si>
  <si>
    <t>Sí/No</t>
  </si>
  <si>
    <t>Sim. Run Time</t>
  </si>
  <si>
    <t>SpreadCap</t>
  </si>
  <si>
    <t>SpreadCol</t>
  </si>
  <si>
    <t>Fila</t>
  </si>
  <si>
    <t>Columna</t>
  </si>
  <si>
    <t>ColumnaTxt</t>
  </si>
  <si>
    <t>Rango Contar</t>
  </si>
  <si>
    <t>ContarA</t>
  </si>
  <si>
    <t>Num Columnas</t>
  </si>
  <si>
    <t>Rango Insertar</t>
  </si>
  <si>
    <t>Tabla Gamma</t>
  </si>
  <si>
    <t>Cuantas Curvas</t>
  </si>
  <si>
    <t>Tabla Sigma</t>
  </si>
  <si>
    <t>Cuantas FX + Curvas</t>
  </si>
  <si>
    <t>Cuantos Factores</t>
  </si>
  <si>
    <t>Tabla Factores</t>
  </si>
  <si>
    <t>Tabla Curvas</t>
  </si>
  <si>
    <t>Tabla Operations</t>
  </si>
  <si>
    <t>Tabla Netting Sets</t>
  </si>
  <si>
    <t>Tabla DealNum - NS</t>
  </si>
  <si>
    <t>Tabla Rho</t>
  </si>
  <si>
    <t>Si</t>
  </si>
  <si>
    <t>Valorizar</t>
  </si>
  <si>
    <t>Stopping Times en Años</t>
  </si>
  <si>
    <t>Stopping Times en Pasos</t>
  </si>
  <si>
    <t>DT</t>
  </si>
  <si>
    <t>Tabla Netting Set</t>
  </si>
  <si>
    <t>STOP</t>
  </si>
  <si>
    <t>Tabla Stopping Times</t>
  </si>
  <si>
    <t>Columna Int</t>
  </si>
  <si>
    <t>Unilateral CVA</t>
  </si>
  <si>
    <t>CVA</t>
  </si>
  <si>
    <t>DVA</t>
  </si>
  <si>
    <t>Bilateral CVA</t>
  </si>
  <si>
    <t>FVA</t>
  </si>
  <si>
    <t>Potential Future Exposure</t>
  </si>
  <si>
    <t>Expected Positive Exposure</t>
  </si>
  <si>
    <t>Operación - 
Netting Set</t>
  </si>
  <si>
    <t>Xva: NettingSets</t>
  </si>
  <si>
    <t>Xva: Operations</t>
  </si>
  <si>
    <t>Xva: Market</t>
  </si>
  <si>
    <t>Xva: Model Parameters</t>
  </si>
  <si>
    <t>Xva: Simulación</t>
  </si>
  <si>
    <t>Xva: Valorización y Métricas</t>
  </si>
  <si>
    <t>Xva: Resultados</t>
  </si>
  <si>
    <t>Xva: Datos Estáticos</t>
  </si>
  <si>
    <t>Xva: Custom Amortization</t>
  </si>
  <si>
    <t>Leg</t>
  </si>
  <si>
    <t>AmortTime</t>
  </si>
  <si>
    <t>AmortPercent</t>
  </si>
  <si>
    <t>b</t>
  </si>
  <si>
    <t>s</t>
  </si>
  <si>
    <t>CLFCLP</t>
  </si>
  <si>
    <t>GBP</t>
  </si>
  <si>
    <t>CHF</t>
  </si>
  <si>
    <t>JPY</t>
  </si>
  <si>
    <t>MXN</t>
  </si>
  <si>
    <t>CLFCLP$EURUSD</t>
  </si>
  <si>
    <t>CLFCLP$USDCLP</t>
  </si>
  <si>
    <t>EURUSD$USDCLP</t>
  </si>
  <si>
    <t>1</t>
  </si>
  <si>
    <t>FIX</t>
  </si>
  <si>
    <t>CortoAlInicio</t>
  </si>
  <si>
    <t/>
  </si>
  <si>
    <t>MTA</t>
  </si>
  <si>
    <t>Modificar para Que entre la matriz con las otras dos columnas</t>
  </si>
  <si>
    <t>Collateral Adjustment</t>
  </si>
  <si>
    <t>Nombre Campo</t>
  </si>
  <si>
    <t>Descripcion</t>
  </si>
  <si>
    <t>Número de operación. Debe ingresarse con un ' como primer carácter para que se interprete como texto.</t>
  </si>
  <si>
    <t>Tipo de operación: puede ser FWD o SWP.</t>
  </si>
  <si>
    <t>Fórmula para valorizar. Por ahora acepta FX_Forward si Type = FWD e IRS_Plain, IRS_CLCAM o IRS_UFCAM si Type = SWP.</t>
  </si>
  <si>
    <t>La paridad de la operación si corresponde (si es cross).</t>
  </si>
  <si>
    <t>Considerando la fecha de proceso como t = 0, aquí se ingresa el instante de tiempo en que inició la operación. Por ejemplo, si inició hace un año este campo tendrá el valor -1.</t>
  </si>
  <si>
    <t>Considerando la fecha de proceso como t = 0, aquí se ingresa el instante de tiempo en que vence la operación. Por ejemplo, si vence en un año este campo tendrá el valor 1.</t>
  </si>
  <si>
    <t>Moneda de la pata de la operación.</t>
  </si>
  <si>
    <t>Nominal inicial de la operación.</t>
  </si>
  <si>
    <t>Indica si la tasa es fija, FIX, o flotante, FLOAT.</t>
  </si>
  <si>
    <t>Indica si la tasa devenga lineal Lin, o compuesto, Com.</t>
  </si>
  <si>
    <t>Valor de la tasa. Si es una tasa flotante nos referimos a la última fijación. Si es un SWP cuyo pricer es IRS_CLCAM o IRS_UFCAM nos referimos a la fijación acumulada hasta la fecha de proceso.</t>
  </si>
  <si>
    <t>Periodicidad de pago expresada en meses. Por ejemplo, 3M.</t>
  </si>
  <si>
    <t>Indica como se ajusta el calendario si hay un peírodo irregular.</t>
  </si>
  <si>
    <t>Indica con qué periodicidad se fija la tasa flotante. Para los pricers IRS_CLCAM e IRS_UFCAM este parámtero no tiene efecto.</t>
  </si>
  <si>
    <t>Indica como se ajusta el calendario de fixing si existe un período irregular.</t>
  </si>
  <si>
    <t>Valor del spread sobre tasa flotante si aplica.</t>
  </si>
  <si>
    <t>Tipo de amortización. Acepta BULLET, FRENCH, GERMAN o CUSTOM. Si es CUSTOM se debe ingresar en otra hoja el porcentaje de amortización en cada período.</t>
  </si>
  <si>
    <t>Indica si se incluye o no el pago de amortizaciones al valorizar.</t>
  </si>
  <si>
    <t>Nombre de la curva de proyección para valorizar.</t>
  </si>
  <si>
    <t>Nombre de la curva de decuento para valorizar.</t>
  </si>
  <si>
    <t>Valor de la UF en la fecha del último corte de cupón.</t>
  </si>
  <si>
    <t>Lin</t>
  </si>
  <si>
    <t>6M</t>
  </si>
  <si>
    <t>BULLET</t>
  </si>
  <si>
    <t>12M</t>
  </si>
  <si>
    <t>SI(D4,insertNettingSets(D12:J14),"Error en el input")</t>
  </si>
  <si>
    <t>Gamma</t>
  </si>
  <si>
    <t>Sigma</t>
  </si>
  <si>
    <t>CCS</t>
  </si>
  <si>
    <t>ZEROUSD</t>
  </si>
  <si>
    <t>ZEROEUR</t>
  </si>
  <si>
    <t>ZEROCLP</t>
  </si>
  <si>
    <t>ZEROCLF</t>
  </si>
  <si>
    <t>2</t>
  </si>
  <si>
    <t>3</t>
  </si>
  <si>
    <t>4</t>
  </si>
  <si>
    <t>CLFCLP$ZEROCLP</t>
  </si>
  <si>
    <t>CLFCLP$ZEROUSD</t>
  </si>
  <si>
    <t>CLFCLP$ZEROEUR</t>
  </si>
  <si>
    <t>CLFCLP$ZEROCLF</t>
  </si>
  <si>
    <t>EURUSD$ZEROCLP</t>
  </si>
  <si>
    <t>EURUSD$ZEROUSD</t>
  </si>
  <si>
    <t>EURUSD$ZEROEUR</t>
  </si>
  <si>
    <t>EURUSD$ZEROCLF</t>
  </si>
  <si>
    <t>USDCLP$ZEROCLP</t>
  </si>
  <si>
    <t>USDCLP$ZEROUSD</t>
  </si>
  <si>
    <t>USDCLP$ZEROEUR</t>
  </si>
  <si>
    <t>USDCLP$ZEROCLF</t>
  </si>
  <si>
    <t>ZEROCLP$ZEROUSD</t>
  </si>
  <si>
    <t>ZEROCLP$ZEROEUR</t>
  </si>
  <si>
    <t>ZEROCLP$ZEROCLF</t>
  </si>
  <si>
    <t>ZEROUSD$ZEROEUR</t>
  </si>
  <si>
    <t>ZEROUSD$ZEROCLF</t>
  </si>
  <si>
    <t>ZEROEUR$ZEROCLF</t>
  </si>
  <si>
    <t>11</t>
  </si>
  <si>
    <t>22</t>
  </si>
  <si>
    <t>33</t>
  </si>
  <si>
    <t>44</t>
  </si>
  <si>
    <t>5</t>
  </si>
  <si>
    <t>55</t>
  </si>
  <si>
    <t>Unilateral DVA</t>
  </si>
  <si>
    <t>111</t>
  </si>
  <si>
    <t>122</t>
  </si>
  <si>
    <t>133</t>
  </si>
  <si>
    <t>144</t>
  </si>
  <si>
    <t>222</t>
  </si>
  <si>
    <t>333</t>
  </si>
  <si>
    <t>444</t>
  </si>
  <si>
    <t>211</t>
  </si>
  <si>
    <t>112</t>
  </si>
  <si>
    <t>113</t>
  </si>
  <si>
    <t>114</t>
  </si>
  <si>
    <t>212</t>
  </si>
  <si>
    <t>213</t>
  </si>
  <si>
    <t>214</t>
  </si>
  <si>
    <t>Last Date</t>
  </si>
  <si>
    <t>Initial Margin</t>
  </si>
  <si>
    <t>Percentil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</si>
</sst>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64" formatCode="_(&quot;$&quot;* #,##0_);_(&quot;$&quot;* \(#,##0\);_(&quot;$&quot;* &quot;-&quot;_);_(@_)"/>
    <numFmt numFmtId="165" formatCode="0.0%"/>
    <numFmt numFmtId="166" formatCode="#,##0.000"/>
    <numFmt numFmtId="167" formatCode="_-* #,##0_-;\-* #,##0_-;_-* &quot;-&quot;??_-;_-@_-"/>
    <numFmt numFmtId="168" formatCode="#,##0.0000"/>
  </numFmts>
  <fonts count="18" x14ac:knownFonts="1">
    <font>
      <sz val="11"/>
      <color theme="1"/>
      <name val="Arial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  <scheme val="minor"/>
    </font>
    <font>
      <sz val="10"/>
      <name val="Helv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sz val="11"/>
      <color rgb="FF444444"/>
      <name val="Arial"/>
      <family val="2"/>
    </font>
    <font>
      <sz val="11"/>
      <color rgb="FF646464"/>
      <name val="Arial"/>
      <family val="2"/>
    </font>
    <font>
      <b/>
      <sz val="11"/>
      <color theme="1"/>
      <name val="Arial"/>
      <family val="2"/>
    </font>
    <font>
      <b/>
      <sz val="28"/>
      <color theme="1" tint="0.34998626667073579"/>
      <name val="Arial"/>
      <family val="2"/>
      <scheme val="major"/>
    </font>
    <font>
      <b/>
      <sz val="9"/>
      <color theme="1" tint="0.34998626667073579"/>
      <name val="Arial"/>
      <family val="2"/>
      <scheme val="major"/>
    </font>
    <font>
      <sz val="9"/>
      <color theme="1" tint="0.249977111117893"/>
      <name val="Arial"/>
      <family val="2"/>
    </font>
    <font>
      <sz val="9"/>
      <color theme="1" tint="0.34998626667073579"/>
      <name val="Arial"/>
      <family val="2"/>
      <scheme val="minor"/>
    </font>
    <font>
      <sz val="24"/>
      <color theme="1" tint="0.34998626667073579"/>
      <name val="Arial"/>
      <family val="2"/>
      <scheme val="minor"/>
    </font>
    <font>
      <sz val="9"/>
      <color rgb="FF646464"/>
      <name val="Arial"/>
      <family val="2"/>
    </font>
    <font>
      <b/>
      <sz val="10"/>
      <color rgb="FF646464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D7DFE8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AFAF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C0C0C0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C0C0C0"/>
      </right>
      <top/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 style="thin">
        <color rgb="FFC0C0C0"/>
      </right>
      <top style="thin">
        <color indexed="64"/>
      </top>
      <bottom style="thin">
        <color rgb="FFC0C0C0"/>
      </bottom>
      <diagonal/>
    </border>
    <border>
      <left/>
      <right style="thin">
        <color rgb="FFC0C0C0"/>
      </right>
      <top style="thin">
        <color indexed="64"/>
      </top>
      <bottom/>
      <diagonal/>
    </border>
  </borders>
  <cellStyleXfs count="33">
    <xf numFmtId="0" fontId="0" fillId="0" borderId="0"/>
    <xf numFmtId="0" fontId="4" fillId="0" borderId="0"/>
    <xf numFmtId="9" fontId="4" fillId="0" borderId="0" applyFont="0" applyFill="0" applyBorder="0" applyAlignment="0" applyProtection="0"/>
    <xf numFmtId="9" fontId="16" fillId="5" borderId="1" applyNumberFormat="0" applyAlignment="0">
      <alignment horizontal="left"/>
      <protection locked="0"/>
    </xf>
    <xf numFmtId="0" fontId="2" fillId="0" borderId="0" applyNumberFormat="0" applyAlignment="0">
      <alignment horizontal="left"/>
    </xf>
    <xf numFmtId="0" fontId="8" fillId="3" borderId="1" applyNumberFormat="0" applyAlignment="0">
      <alignment horizontal="left"/>
    </xf>
    <xf numFmtId="0" fontId="9" fillId="4" borderId="1" applyNumberFormat="0" applyAlignment="0"/>
    <xf numFmtId="0" fontId="17" fillId="0" borderId="2" applyNumberFormat="0" applyFill="0">
      <alignment horizontal="left" vertical="center" wrapText="1"/>
    </xf>
    <xf numFmtId="0" fontId="2" fillId="2" borderId="0" applyNumberFormat="0" applyFont="0" applyBorder="0" applyAlignment="0">
      <alignment horizontal="center" vertical="center"/>
    </xf>
    <xf numFmtId="0" fontId="14" fillId="0" borderId="0">
      <alignment vertical="center"/>
    </xf>
    <xf numFmtId="0" fontId="11" fillId="0" borderId="0" applyNumberFormat="0" applyProtection="0">
      <alignment vertical="center"/>
    </xf>
    <xf numFmtId="0" fontId="12" fillId="0" borderId="0" applyNumberFormat="0" applyProtection="0">
      <alignment vertical="center"/>
    </xf>
    <xf numFmtId="9" fontId="1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6" borderId="0">
      <alignment vertical="center"/>
    </xf>
    <xf numFmtId="0" fontId="14" fillId="8" borderId="0">
      <alignment vertical="center"/>
    </xf>
    <xf numFmtId="164" fontId="13" fillId="7" borderId="2">
      <alignment horizontal="center" vertical="center" wrapText="1"/>
    </xf>
    <xf numFmtId="0" fontId="15" fillId="8" borderId="0">
      <alignment horizontal="left" vertical="center" indent="1"/>
    </xf>
    <xf numFmtId="9" fontId="3" fillId="0" borderId="0" applyFont="0" applyFill="0" applyBorder="0" applyAlignment="0" applyProtection="0"/>
    <xf numFmtId="3" fontId="14" fillId="9" borderId="1">
      <alignment horizontal="center" vertical="center" wrapText="1"/>
      <protection locked="0"/>
    </xf>
    <xf numFmtId="3" fontId="14" fillId="9" borderId="1">
      <alignment horizontal="center" vertical="center" wrapText="1"/>
    </xf>
    <xf numFmtId="3" fontId="14" fillId="5" borderId="1">
      <alignment horizontal="center" vertical="center" wrapText="1"/>
    </xf>
    <xf numFmtId="4" fontId="14" fillId="9" borderId="1">
      <alignment horizontal="center" vertical="center" wrapText="1"/>
      <protection locked="0"/>
    </xf>
    <xf numFmtId="43" fontId="3" fillId="0" borderId="0" applyFont="0" applyFill="0" applyBorder="0" applyAlignment="0" applyProtection="0"/>
    <xf numFmtId="168" fontId="14" fillId="9" borderId="1">
      <alignment horizontal="center" vertical="center" wrapText="1"/>
      <protection locked="0"/>
    </xf>
    <xf numFmtId="0" fontId="1" fillId="0" borderId="0" applyNumberFormat="0" applyAlignment="0">
      <alignment horizontal="left"/>
    </xf>
    <xf numFmtId="0" fontId="1" fillId="2" borderId="0" applyNumberFormat="0" applyFont="0" applyBorder="0" applyAlignment="0">
      <alignment horizontal="center" vertical="center"/>
    </xf>
    <xf numFmtId="0" fontId="1" fillId="0" borderId="0" applyNumberFormat="0" applyAlignment="0">
      <alignment horizontal="left"/>
    </xf>
    <xf numFmtId="0" fontId="1" fillId="2" borderId="0" applyNumberFormat="0" applyFont="0" applyBorder="0" applyAlignment="0">
      <alignment horizontal="center" vertical="center"/>
    </xf>
  </cellStyleXfs>
  <cellXfs count="135">
    <xf numFmtId="0" fontId="0" fillId="0" borderId="0" xfId="0"/>
    <xf numFmtId="0" fontId="7" fillId="0" borderId="0" xfId="0" applyFont="1"/>
    <xf numFmtId="0" fontId="7" fillId="2" borderId="0" xfId="8" applyFont="1" applyAlignment="1"/>
    <xf numFmtId="0" fontId="7" fillId="2" borderId="0" xfId="8" applyFont="1" applyAlignment="1">
      <alignment vertical="center"/>
    </xf>
    <xf numFmtId="0" fontId="7" fillId="2" borderId="0" xfId="8" applyFont="1" applyAlignment="1">
      <alignment horizontal="center"/>
    </xf>
    <xf numFmtId="4" fontId="7" fillId="2" borderId="0" xfId="8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2" borderId="0" xfId="8" applyFont="1" applyAlignment="1">
      <alignment vertical="center" wrapText="1"/>
    </xf>
    <xf numFmtId="0" fontId="2" fillId="0" borderId="0" xfId="4" applyAlignment="1"/>
    <xf numFmtId="0" fontId="2" fillId="0" borderId="0" xfId="4" applyAlignment="1">
      <alignment horizontal="center"/>
    </xf>
    <xf numFmtId="0" fontId="2" fillId="2" borderId="0" xfId="8" applyAlignment="1"/>
    <xf numFmtId="0" fontId="1" fillId="2" borderId="0" xfId="8" applyFont="1" applyAlignment="1"/>
    <xf numFmtId="0" fontId="7" fillId="2" borderId="0" xfId="8" applyFont="1" applyBorder="1" applyAlignment="1"/>
    <xf numFmtId="0" fontId="1" fillId="0" borderId="0" xfId="4" applyFont="1" applyAlignment="1"/>
    <xf numFmtId="0" fontId="7" fillId="0" borderId="0" xfId="0" applyFont="1" applyBorder="1"/>
    <xf numFmtId="0" fontId="7" fillId="0" borderId="0" xfId="0" applyFont="1" applyAlignment="1">
      <alignment vertical="center"/>
    </xf>
    <xf numFmtId="0" fontId="7" fillId="0" borderId="0" xfId="4" applyFont="1" applyAlignment="1"/>
    <xf numFmtId="0" fontId="7" fillId="0" borderId="0" xfId="4" applyNumberFormat="1" applyFont="1" applyAlignment="1"/>
    <xf numFmtId="0" fontId="7" fillId="2" borderId="0" xfId="8" applyFont="1" applyAlignment="1">
      <alignment horizontal="right"/>
    </xf>
    <xf numFmtId="0" fontId="10" fillId="2" borderId="0" xfId="8" applyFont="1" applyAlignment="1"/>
    <xf numFmtId="0" fontId="2" fillId="0" borderId="0" xfId="4" applyNumberFormat="1" applyAlignment="1"/>
    <xf numFmtId="0" fontId="2" fillId="0" borderId="0" xfId="4" applyNumberFormat="1" applyAlignment="1">
      <alignment horizontal="center"/>
    </xf>
    <xf numFmtId="0" fontId="0" fillId="2" borderId="0" xfId="8" applyFont="1" applyAlignment="1"/>
    <xf numFmtId="0" fontId="0" fillId="2" borderId="0" xfId="8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2" borderId="0" xfId="8" applyFont="1" applyAlignment="1">
      <alignment vertical="center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 wrapText="1"/>
    </xf>
    <xf numFmtId="0" fontId="3" fillId="6" borderId="0" xfId="18">
      <alignment vertical="center"/>
    </xf>
    <xf numFmtId="0" fontId="14" fillId="8" borderId="0" xfId="19">
      <alignment vertical="center"/>
    </xf>
    <xf numFmtId="0" fontId="0" fillId="0" borderId="0" xfId="0"/>
    <xf numFmtId="0" fontId="15" fillId="8" borderId="0" xfId="19" applyFont="1">
      <alignment vertical="center"/>
    </xf>
    <xf numFmtId="164" fontId="13" fillId="7" borderId="2" xfId="20">
      <alignment horizontal="center" vertical="center" wrapText="1"/>
    </xf>
    <xf numFmtId="164" fontId="13" fillId="7" borderId="2" xfId="20" applyAlignment="1">
      <alignment horizontal="center" vertical="center"/>
    </xf>
    <xf numFmtId="0" fontId="15" fillId="8" borderId="0" xfId="21">
      <alignment horizontal="left" vertical="center" indent="1"/>
    </xf>
    <xf numFmtId="0" fontId="7" fillId="2" borderId="0" xfId="8" applyFont="1" applyAlignment="1">
      <alignment wrapText="1"/>
    </xf>
    <xf numFmtId="0" fontId="14" fillId="8" borderId="0" xfId="19" applyAlignment="1">
      <alignment vertical="center" wrapText="1"/>
    </xf>
    <xf numFmtId="0" fontId="7" fillId="0" borderId="0" xfId="0" applyFont="1" applyAlignment="1">
      <alignment wrapText="1"/>
    </xf>
    <xf numFmtId="0" fontId="14" fillId="8" borderId="3" xfId="19" applyBorder="1">
      <alignment vertical="center"/>
    </xf>
    <xf numFmtId="0" fontId="14" fillId="8" borderId="3" xfId="19" applyFill="1" applyBorder="1">
      <alignment vertical="center"/>
    </xf>
    <xf numFmtId="0" fontId="7" fillId="8" borderId="3" xfId="0" applyFont="1" applyFill="1" applyBorder="1"/>
    <xf numFmtId="0" fontId="3" fillId="0" borderId="0" xfId="17"/>
    <xf numFmtId="164" fontId="13" fillId="7" borderId="2" xfId="20" applyAlignment="1">
      <alignment horizontal="center" vertical="center" wrapText="1"/>
    </xf>
    <xf numFmtId="0" fontId="14" fillId="2" borderId="0" xfId="8" applyFont="1" applyAlignment="1">
      <alignment vertical="center"/>
    </xf>
    <xf numFmtId="164" fontId="13" fillId="7" borderId="4" xfId="20" applyBorder="1">
      <alignment horizontal="center" vertical="center" wrapText="1"/>
    </xf>
    <xf numFmtId="164" fontId="13" fillId="7" borderId="4" xfId="20" applyBorder="1" applyAlignment="1">
      <alignment horizontal="center" vertical="center"/>
    </xf>
    <xf numFmtId="43" fontId="7" fillId="2" borderId="0" xfId="13" applyFont="1" applyFill="1" applyAlignment="1"/>
    <xf numFmtId="43" fontId="15" fillId="8" borderId="0" xfId="13" applyFont="1" applyFill="1" applyAlignment="1">
      <alignment horizontal="left" vertical="center" indent="1"/>
    </xf>
    <xf numFmtId="0" fontId="14" fillId="0" borderId="0" xfId="19" applyFill="1">
      <alignment vertical="center"/>
    </xf>
    <xf numFmtId="3" fontId="14" fillId="9" borderId="1" xfId="23">
      <alignment horizontal="center" vertical="center" wrapText="1"/>
      <protection locked="0"/>
    </xf>
    <xf numFmtId="2" fontId="14" fillId="9" borderId="1" xfId="23" applyNumberFormat="1">
      <alignment horizontal="center" vertical="center" wrapText="1"/>
      <protection locked="0"/>
    </xf>
    <xf numFmtId="3" fontId="14" fillId="9" borderId="1" xfId="23" applyAlignment="1">
      <alignment horizontal="right" vertical="center" wrapText="1"/>
      <protection locked="0"/>
    </xf>
    <xf numFmtId="3" fontId="14" fillId="9" borderId="1" xfId="23" quotePrefix="1">
      <alignment horizontal="center" vertical="center" wrapText="1"/>
      <protection locked="0"/>
    </xf>
    <xf numFmtId="165" fontId="14" fillId="9" borderId="1" xfId="22" applyNumberFormat="1" applyFont="1" applyFill="1" applyBorder="1" applyAlignment="1">
      <alignment horizontal="center" vertical="center" wrapText="1"/>
    </xf>
    <xf numFmtId="10" fontId="14" fillId="9" borderId="1" xfId="22" applyNumberFormat="1" applyFont="1" applyFill="1" applyBorder="1" applyAlignment="1">
      <alignment horizontal="center" vertical="center" wrapText="1"/>
    </xf>
    <xf numFmtId="3" fontId="14" fillId="9" borderId="1" xfId="23" applyAlignment="1">
      <alignment horizontal="center" vertical="center"/>
      <protection locked="0"/>
    </xf>
    <xf numFmtId="0" fontId="3" fillId="6" borderId="0" xfId="18" applyAlignment="1">
      <alignment vertical="center"/>
    </xf>
    <xf numFmtId="0" fontId="14" fillId="8" borderId="0" xfId="19" applyAlignment="1">
      <alignment vertical="center"/>
    </xf>
    <xf numFmtId="4" fontId="14" fillId="9" borderId="1" xfId="23" applyNumberFormat="1" applyAlignment="1">
      <alignment horizontal="center" vertical="center"/>
      <protection locked="0"/>
    </xf>
    <xf numFmtId="10" fontId="14" fillId="9" borderId="1" xfId="22" applyNumberFormat="1" applyFont="1" applyFill="1" applyBorder="1" applyAlignment="1">
      <alignment horizontal="center" vertical="center"/>
    </xf>
    <xf numFmtId="0" fontId="7" fillId="0" borderId="0" xfId="4" applyNumberFormat="1" applyFont="1" applyFill="1" applyAlignment="1"/>
    <xf numFmtId="0" fontId="14" fillId="8" borderId="0" xfId="19" applyBorder="1">
      <alignment vertical="center"/>
    </xf>
    <xf numFmtId="0" fontId="3" fillId="6" borderId="3" xfId="18" applyBorder="1">
      <alignment vertical="center"/>
    </xf>
    <xf numFmtId="3" fontId="14" fillId="5" borderId="1" xfId="25">
      <alignment horizontal="center" vertical="center" wrapText="1"/>
    </xf>
    <xf numFmtId="3" fontId="14" fillId="5" borderId="1" xfId="25" applyAlignment="1">
      <alignment horizontal="center" vertical="center"/>
    </xf>
    <xf numFmtId="0" fontId="14" fillId="8" borderId="8" xfId="19" applyBorder="1">
      <alignment vertical="center"/>
    </xf>
    <xf numFmtId="0" fontId="14" fillId="8" borderId="7" xfId="19" applyBorder="1">
      <alignment vertical="center"/>
    </xf>
    <xf numFmtId="0" fontId="3" fillId="2" borderId="0" xfId="8" applyFont="1" applyAlignment="1">
      <alignment vertical="center"/>
    </xf>
    <xf numFmtId="0" fontId="3" fillId="2" borderId="0" xfId="8" applyFont="1" applyAlignment="1"/>
    <xf numFmtId="0" fontId="3" fillId="2" borderId="0" xfId="8" applyFont="1" applyBorder="1" applyAlignment="1">
      <alignment vertical="center"/>
    </xf>
    <xf numFmtId="43" fontId="15" fillId="2" borderId="0" xfId="8" applyNumberFormat="1" applyFont="1" applyAlignment="1">
      <alignment horizontal="left" vertical="center" indent="1"/>
    </xf>
    <xf numFmtId="0" fontId="14" fillId="8" borderId="0" xfId="19" applyAlignment="1">
      <alignment horizontal="center" vertical="center"/>
    </xf>
    <xf numFmtId="0" fontId="14" fillId="8" borderId="3" xfId="19" applyBorder="1" applyAlignment="1">
      <alignment vertical="center" wrapText="1"/>
    </xf>
    <xf numFmtId="164" fontId="13" fillId="7" borderId="2" xfId="20" applyBorder="1">
      <alignment horizontal="center" vertical="center" wrapText="1"/>
    </xf>
    <xf numFmtId="165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3" fontId="14" fillId="8" borderId="0" xfId="19" applyNumberFormat="1" applyAlignment="1">
      <alignment vertical="center" wrapText="1"/>
    </xf>
    <xf numFmtId="3" fontId="14" fillId="8" borderId="0" xfId="19" applyNumberFormat="1">
      <alignment vertical="center"/>
    </xf>
    <xf numFmtId="3" fontId="16" fillId="5" borderId="1" xfId="3" applyNumberFormat="1" applyAlignment="1">
      <alignment horizontal="center" vertical="center" wrapText="1"/>
      <protection locked="0"/>
    </xf>
    <xf numFmtId="0" fontId="16" fillId="5" borderId="1" xfId="3" applyNumberFormat="1" applyAlignment="1">
      <alignment horizontal="center" vertical="center"/>
      <protection locked="0"/>
    </xf>
    <xf numFmtId="166" fontId="14" fillId="9" borderId="1" xfId="23" applyNumberFormat="1">
      <alignment horizontal="center" vertical="center" wrapText="1"/>
      <protection locked="0"/>
    </xf>
    <xf numFmtId="4" fontId="14" fillId="9" borderId="1" xfId="26">
      <alignment horizontal="center" vertical="center" wrapText="1"/>
      <protection locked="0"/>
    </xf>
    <xf numFmtId="4" fontId="14" fillId="9" borderId="1" xfId="23" applyNumberFormat="1" applyAlignment="1">
      <alignment vertical="center"/>
      <protection locked="0"/>
    </xf>
    <xf numFmtId="4" fontId="14" fillId="9" borderId="1" xfId="26" applyProtection="1">
      <alignment horizontal="center" vertical="center" wrapText="1"/>
      <protection locked="0"/>
    </xf>
    <xf numFmtId="49" fontId="14" fillId="9" borderId="1" xfId="23" applyNumberFormat="1">
      <alignment horizontal="center" vertical="center" wrapText="1"/>
      <protection locked="0"/>
    </xf>
    <xf numFmtId="164" fontId="13" fillId="7" borderId="2" xfId="20" applyBorder="1" applyAlignment="1">
      <alignment horizontal="center" vertical="center" wrapText="1"/>
    </xf>
    <xf numFmtId="167" fontId="0" fillId="0" borderId="0" xfId="27" applyNumberFormat="1" applyFont="1" applyAlignment="1">
      <alignment vertical="center"/>
    </xf>
    <xf numFmtId="3" fontId="14" fillId="9" borderId="1" xfId="23" quotePrefix="1">
      <alignment horizontal="center" vertical="center" wrapText="1"/>
      <protection locked="0"/>
    </xf>
    <xf numFmtId="10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/>
    <xf numFmtId="3" fontId="14" fillId="9" borderId="1" xfId="23">
      <alignment horizontal="center" vertical="center" wrapText="1"/>
      <protection locked="0"/>
    </xf>
    <xf numFmtId="165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10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166" fontId="14" fillId="9" borderId="1" xfId="23" applyNumberFormat="1">
      <alignment horizontal="center" vertical="center" wrapText="1"/>
      <protection locked="0"/>
    </xf>
    <xf numFmtId="3" fontId="14" fillId="9" borderId="1" xfId="23">
      <alignment horizontal="center" vertical="center" wrapText="1"/>
      <protection locked="0"/>
    </xf>
    <xf numFmtId="3" fontId="14" fillId="9" borderId="1" xfId="23" quotePrefix="1">
      <alignment horizontal="center" vertical="center" wrapText="1"/>
      <protection locked="0"/>
    </xf>
    <xf numFmtId="43" fontId="14" fillId="8" borderId="0" xfId="27" applyFont="1" applyFill="1" applyAlignment="1">
      <alignment vertical="center"/>
    </xf>
    <xf numFmtId="3" fontId="14" fillId="5" borderId="1" xfId="25" applyNumberFormat="1">
      <alignment horizontal="center" vertical="center" wrapText="1"/>
    </xf>
    <xf numFmtId="3" fontId="7" fillId="2" borderId="0" xfId="8" applyNumberFormat="1" applyFont="1" applyAlignment="1"/>
    <xf numFmtId="167" fontId="14" fillId="8" borderId="0" xfId="27" applyNumberFormat="1" applyFont="1" applyFill="1" applyBorder="1" applyAlignment="1">
      <alignment vertical="center"/>
    </xf>
    <xf numFmtId="10" fontId="14" fillId="10" borderId="1" xfId="22" applyNumberFormat="1" applyFont="1" applyFill="1" applyBorder="1" applyAlignment="1" applyProtection="1">
      <alignment horizontal="center" vertical="center" wrapText="1"/>
      <protection locked="0"/>
    </xf>
    <xf numFmtId="167" fontId="14" fillId="8" borderId="3" xfId="27" applyNumberFormat="1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3" fontId="0" fillId="0" borderId="0" xfId="0" applyNumberFormat="1"/>
    <xf numFmtId="165" fontId="0" fillId="0" borderId="0" xfId="22" applyNumberFormat="1" applyFont="1"/>
    <xf numFmtId="43" fontId="0" fillId="0" borderId="0" xfId="27" applyFont="1"/>
    <xf numFmtId="167" fontId="0" fillId="2" borderId="0" xfId="27" applyNumberFormat="1" applyFont="1" applyFill="1" applyAlignment="1"/>
    <xf numFmtId="167" fontId="7" fillId="0" borderId="0" xfId="27" applyNumberFormat="1" applyFont="1"/>
    <xf numFmtId="167" fontId="0" fillId="0" borderId="0" xfId="27" applyNumberFormat="1" applyFont="1"/>
    <xf numFmtId="167" fontId="0" fillId="0" borderId="0" xfId="27" applyNumberFormat="1" applyFont="1" applyAlignment="1">
      <alignment vertical="center" wrapText="1"/>
    </xf>
    <xf numFmtId="167" fontId="0" fillId="0" borderId="0" xfId="0" applyNumberFormat="1"/>
    <xf numFmtId="9" fontId="7" fillId="0" borderId="0" xfId="0" applyNumberFormat="1" applyFont="1"/>
    <xf numFmtId="167" fontId="7" fillId="0" borderId="0" xfId="0" applyNumberFormat="1" applyFont="1"/>
    <xf numFmtId="9" fontId="14" fillId="9" borderId="1" xfId="22" applyFont="1" applyFill="1" applyBorder="1" applyAlignment="1">
      <alignment horizontal="center" vertical="center"/>
    </xf>
    <xf numFmtId="4" fontId="14" fillId="9" borderId="1" xfId="23" applyNumberFormat="1">
      <alignment horizontal="center" vertical="center" wrapText="1"/>
      <protection locked="0"/>
    </xf>
    <xf numFmtId="3" fontId="14" fillId="9" borderId="10" xfId="23" quotePrefix="1" applyBorder="1">
      <alignment horizontal="center" vertical="center" wrapText="1"/>
      <protection locked="0"/>
    </xf>
    <xf numFmtId="3" fontId="14" fillId="9" borderId="10" xfId="23" applyBorder="1">
      <alignment horizontal="center" vertical="center" wrapText="1"/>
      <protection locked="0"/>
    </xf>
    <xf numFmtId="10" fontId="14" fillId="9" borderId="10" xfId="22" applyNumberFormat="1" applyFont="1" applyFill="1" applyBorder="1" applyAlignment="1" applyProtection="1">
      <alignment horizontal="center" vertical="center" wrapText="1"/>
      <protection locked="0"/>
    </xf>
    <xf numFmtId="3" fontId="14" fillId="9" borderId="11" xfId="23" quotePrefix="1" applyBorder="1">
      <alignment horizontal="center" vertical="center" wrapText="1"/>
      <protection locked="0"/>
    </xf>
    <xf numFmtId="3" fontId="14" fillId="9" borderId="11" xfId="23" applyBorder="1">
      <alignment horizontal="center" vertical="center" wrapText="1"/>
      <protection locked="0"/>
    </xf>
    <xf numFmtId="166" fontId="14" fillId="9" borderId="11" xfId="23" applyNumberFormat="1" applyBorder="1">
      <alignment horizontal="center" vertical="center" wrapText="1"/>
      <protection locked="0"/>
    </xf>
    <xf numFmtId="10" fontId="14" fillId="9" borderId="11" xfId="22" applyNumberFormat="1" applyFont="1" applyFill="1" applyBorder="1" applyAlignment="1" applyProtection="1">
      <alignment horizontal="center" vertical="center" wrapText="1"/>
      <protection locked="0"/>
    </xf>
    <xf numFmtId="4" fontId="14" fillId="9" borderId="11" xfId="23" applyNumberFormat="1" applyBorder="1">
      <alignment horizontal="center" vertical="center" wrapText="1"/>
      <protection locked="0"/>
    </xf>
    <xf numFmtId="167" fontId="14" fillId="8" borderId="12" xfId="27" applyNumberFormat="1" applyFont="1" applyFill="1" applyBorder="1" applyAlignment="1">
      <alignment vertical="center"/>
    </xf>
    <xf numFmtId="10" fontId="14" fillId="10" borderId="11" xfId="22" applyNumberFormat="1" applyFont="1" applyFill="1" applyBorder="1" applyAlignment="1" applyProtection="1">
      <alignment horizontal="center" vertical="center" wrapText="1"/>
      <protection locked="0"/>
    </xf>
    <xf numFmtId="3" fontId="14" fillId="10" borderId="11" xfId="23" applyFill="1" applyBorder="1">
      <alignment horizontal="center" vertical="center" wrapText="1"/>
      <protection locked="0"/>
    </xf>
    <xf numFmtId="3" fontId="14" fillId="9" borderId="1" xfId="23" applyAlignment="1">
      <alignment horizontal="center" vertical="center" wrapText="1"/>
      <protection locked="0"/>
    </xf>
    <xf numFmtId="9" fontId="14" fillId="9" borderId="1" xfId="22" applyFont="1" applyFill="1" applyBorder="1" applyAlignment="1" applyProtection="1">
      <alignment horizontal="center" vertical="center" wrapText="1"/>
      <protection locked="0"/>
    </xf>
    <xf numFmtId="0" fontId="17" fillId="8" borderId="5" xfId="7" applyFill="1" applyBorder="1" applyAlignment="1">
      <alignment horizontal="left" vertical="center"/>
    </xf>
    <xf numFmtId="0" fontId="17" fillId="8" borderId="6" xfId="7" applyFill="1" applyBorder="1" applyAlignment="1">
      <alignment horizontal="left" vertical="center"/>
    </xf>
    <xf numFmtId="0" fontId="17" fillId="8" borderId="2" xfId="7" applyFill="1">
      <alignment horizontal="left" vertical="center" wrapText="1"/>
    </xf>
    <xf numFmtId="0" fontId="17" fillId="8" borderId="5" xfId="7" applyFill="1" applyBorder="1" applyAlignment="1">
      <alignment horizontal="left" vertical="center" wrapText="1"/>
    </xf>
    <xf numFmtId="0" fontId="17" fillId="8" borderId="9" xfId="7" applyFill="1" applyBorder="1" applyAlignment="1">
      <alignment horizontal="left" vertical="center" wrapText="1"/>
    </xf>
    <xf numFmtId="0" fontId="17" fillId="8" borderId="6" xfId="7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33">
    <cellStyle name="Bordecito" xfId="18"/>
    <cellStyle name="Estilo 1" xfId="4"/>
    <cellStyle name="Estilo 1 2" xfId="31"/>
    <cellStyle name="Estilo 1 3" xfId="29"/>
    <cellStyle name="Estilo 2" xfId="24"/>
    <cellStyle name="Fondo" xfId="19"/>
    <cellStyle name="headerCell" xfId="5"/>
    <cellStyle name="headerCells" xfId="20"/>
    <cellStyle name="inputCell" xfId="3"/>
    <cellStyle name="InputCell2" xfId="23"/>
    <cellStyle name="InputCell2 Num" xfId="26"/>
    <cellStyle name="InputCellDecimals" xfId="28"/>
    <cellStyle name="Millares" xfId="27" builtinId="3"/>
    <cellStyle name="Millares 2" xfId="13"/>
    <cellStyle name="Millares 3" xfId="14"/>
    <cellStyle name="Millares 4" xfId="15"/>
    <cellStyle name="Normal" xfId="0" builtinId="0"/>
    <cellStyle name="Normal 2" xfId="1"/>
    <cellStyle name="Normal 3" xfId="9"/>
    <cellStyle name="Normal 4" xfId="16"/>
    <cellStyle name="Normal 5" xfId="17"/>
    <cellStyle name="outputCell" xfId="6"/>
    <cellStyle name="OutputCell2" xfId="25"/>
    <cellStyle name="Porcentaje" xfId="22" builtinId="5"/>
    <cellStyle name="Porcentaje 2" xfId="2"/>
    <cellStyle name="Porcentaje 3" xfId="12"/>
    <cellStyle name="systemCell" xfId="8"/>
    <cellStyle name="systemCell 2" xfId="32"/>
    <cellStyle name="systemCell 3" xfId="30"/>
    <cellStyle name="Title" xfId="21"/>
    <cellStyle name="titleCell" xfId="7"/>
    <cellStyle name="Título 1 2" xfId="10"/>
    <cellStyle name="Título 2 2" xfId="11"/>
  </cellStyles>
  <dxfs count="0"/>
  <tableStyles count="0" defaultTableStyle="TableStyleMedium2" defaultPivotStyle="PivotStyleLight16"/>
  <colors>
    <mruColors>
      <color rgb="FFC0C0C0"/>
      <color rgb="FFF0EBD2"/>
      <color rgb="FFFAFAF0"/>
      <color rgb="FF9A958E"/>
      <color rgb="FFFFF7E1"/>
      <color rgb="FF404040"/>
      <color rgb="FF646464"/>
      <color rgb="FF444444"/>
      <color rgb="FFF4F7ED"/>
      <color rgb="FFCDE4E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</xdr:row>
      <xdr:rowOff>9525</xdr:rowOff>
    </xdr:from>
    <xdr:to>
      <xdr:col>4</xdr:col>
      <xdr:colOff>422775</xdr:colOff>
      <xdr:row>8</xdr:row>
      <xdr:rowOff>159975</xdr:rowOff>
    </xdr:to>
    <xdr:sp macro="[0]!botonHojaNettingSets" textlink="">
      <xdr:nvSpPr>
        <xdr:cNvPr id="3" name="2 Rectángulo"/>
        <xdr:cNvSpPr/>
      </xdr:nvSpPr>
      <xdr:spPr>
        <a:xfrm>
          <a:off x="200025" y="809625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4</xdr:row>
      <xdr:rowOff>352424</xdr:rowOff>
    </xdr:from>
    <xdr:to>
      <xdr:col>4</xdr:col>
      <xdr:colOff>251325</xdr:colOff>
      <xdr:row>6</xdr:row>
      <xdr:rowOff>150449</xdr:rowOff>
    </xdr:to>
    <xdr:sp macro="[0]!botonHojaOperations" textlink="">
      <xdr:nvSpPr>
        <xdr:cNvPr id="3" name="2 Rectángulo"/>
        <xdr:cNvSpPr/>
      </xdr:nvSpPr>
      <xdr:spPr>
        <a:xfrm>
          <a:off x="180975" y="485774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76200</xdr:rowOff>
    </xdr:from>
    <xdr:to>
      <xdr:col>4</xdr:col>
      <xdr:colOff>241800</xdr:colOff>
      <xdr:row>6</xdr:row>
      <xdr:rowOff>74250</xdr:rowOff>
    </xdr:to>
    <xdr:sp macro="[0]!botonHojaCustomAmortizations" textlink="">
      <xdr:nvSpPr>
        <xdr:cNvPr id="2" name="1 Rectángulo"/>
        <xdr:cNvSpPr/>
      </xdr:nvSpPr>
      <xdr:spPr>
        <a:xfrm>
          <a:off x="1943100" y="1000125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485774</xdr:rowOff>
    </xdr:from>
    <xdr:to>
      <xdr:col>4</xdr:col>
      <xdr:colOff>384675</xdr:colOff>
      <xdr:row>6</xdr:row>
      <xdr:rowOff>131399</xdr:rowOff>
    </xdr:to>
    <xdr:sp macro="[0]!botonHojaMkt" textlink="">
      <xdr:nvSpPr>
        <xdr:cNvPr id="2" name="btnMkt"/>
        <xdr:cNvSpPr/>
      </xdr:nvSpPr>
      <xdr:spPr>
        <a:xfrm>
          <a:off x="200025" y="619124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</xdr:row>
      <xdr:rowOff>466725</xdr:rowOff>
    </xdr:from>
    <xdr:to>
      <xdr:col>4</xdr:col>
      <xdr:colOff>137025</xdr:colOff>
      <xdr:row>5</xdr:row>
      <xdr:rowOff>64725</xdr:rowOff>
    </xdr:to>
    <xdr:sp macro="[0]!botonHojaModelParameters" textlink="">
      <xdr:nvSpPr>
        <xdr:cNvPr id="4" name="btnMkt"/>
        <xdr:cNvSpPr/>
      </xdr:nvSpPr>
      <xdr:spPr>
        <a:xfrm>
          <a:off x="219075" y="647700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3</xdr:row>
      <xdr:rowOff>466725</xdr:rowOff>
    </xdr:from>
    <xdr:to>
      <xdr:col>6</xdr:col>
      <xdr:colOff>3675</xdr:colOff>
      <xdr:row>5</xdr:row>
      <xdr:rowOff>112350</xdr:rowOff>
    </xdr:to>
    <xdr:sp macro="[0]!botonSimularHojaSimulacion" textlink="">
      <xdr:nvSpPr>
        <xdr:cNvPr id="2" name="btnMkt"/>
        <xdr:cNvSpPr/>
      </xdr:nvSpPr>
      <xdr:spPr>
        <a:xfrm>
          <a:off x="1476375" y="600075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Simular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  <xdr:twoCellAnchor>
    <xdr:from>
      <xdr:col>3</xdr:col>
      <xdr:colOff>0</xdr:colOff>
      <xdr:row>3</xdr:row>
      <xdr:rowOff>466725</xdr:rowOff>
    </xdr:from>
    <xdr:to>
      <xdr:col>4</xdr:col>
      <xdr:colOff>257175</xdr:colOff>
      <xdr:row>5</xdr:row>
      <xdr:rowOff>112350</xdr:rowOff>
    </xdr:to>
    <xdr:sp macro="[0]!botonCargaParamHojaSimulacion" textlink="">
      <xdr:nvSpPr>
        <xdr:cNvPr id="3" name="btnMkt"/>
        <xdr:cNvSpPr/>
      </xdr:nvSpPr>
      <xdr:spPr>
        <a:xfrm>
          <a:off x="200025" y="600075"/>
          <a:ext cx="12192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Carga Param</a:t>
          </a:r>
          <a:endParaRPr lang="es-CL" sz="1100">
            <a:ln>
              <a:noFill/>
            </a:ln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3</xdr:row>
      <xdr:rowOff>504825</xdr:rowOff>
    </xdr:from>
    <xdr:to>
      <xdr:col>5</xdr:col>
      <xdr:colOff>51300</xdr:colOff>
      <xdr:row>5</xdr:row>
      <xdr:rowOff>140925</xdr:rowOff>
    </xdr:to>
    <xdr:sp macro="[0]!botonValorizacionHojaValorizacionMetricas" textlink="">
      <xdr:nvSpPr>
        <xdr:cNvPr id="2" name="btnMkt"/>
        <xdr:cNvSpPr/>
      </xdr:nvSpPr>
      <xdr:spPr>
        <a:xfrm>
          <a:off x="1219200" y="638175"/>
          <a:ext cx="937125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Valorizar </a:t>
          </a:r>
        </a:p>
      </xdr:txBody>
    </xdr:sp>
    <xdr:clientData/>
  </xdr:twoCellAnchor>
  <xdr:twoCellAnchor>
    <xdr:from>
      <xdr:col>6</xdr:col>
      <xdr:colOff>781050</xdr:colOff>
      <xdr:row>3</xdr:row>
      <xdr:rowOff>485774</xdr:rowOff>
    </xdr:from>
    <xdr:to>
      <xdr:col>8</xdr:col>
      <xdr:colOff>600</xdr:colOff>
      <xdr:row>5</xdr:row>
      <xdr:rowOff>121874</xdr:rowOff>
    </xdr:to>
    <xdr:sp macro="[0]!botonMetricasHojaValorizacionMetricas" textlink="">
      <xdr:nvSpPr>
        <xdr:cNvPr id="3" name="btnMkt"/>
        <xdr:cNvSpPr/>
      </xdr:nvSpPr>
      <xdr:spPr>
        <a:xfrm>
          <a:off x="3086100" y="619124"/>
          <a:ext cx="1296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Calcular</a:t>
          </a:r>
          <a:r>
            <a:rPr lang="es-CL" sz="11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 M</a:t>
          </a:r>
          <a:r>
            <a:rPr lang="es-CL" sz="1100" smtClean="0">
              <a:solidFill>
                <a:schemeClr val="lt1"/>
              </a:solidFill>
              <a:latin typeface="+mn-lt"/>
              <a:ea typeface="+mn-ea"/>
              <a:cs typeface="+mn-cs"/>
            </a:rPr>
            <a:t>ValorPercentil</a:t>
          </a:r>
          <a:r>
            <a:rPr lang="es-CL" sz="11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étricas</a:t>
          </a:r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</xdr:txBody>
    </xdr:sp>
    <xdr:clientData/>
  </xdr:twoCellAnchor>
  <xdr:twoCellAnchor>
    <xdr:from>
      <xdr:col>3</xdr:col>
      <xdr:colOff>0</xdr:colOff>
      <xdr:row>3</xdr:row>
      <xdr:rowOff>504825</xdr:rowOff>
    </xdr:from>
    <xdr:to>
      <xdr:col>3</xdr:col>
      <xdr:colOff>937125</xdr:colOff>
      <xdr:row>5</xdr:row>
      <xdr:rowOff>140925</xdr:rowOff>
    </xdr:to>
    <xdr:sp macro="[0]!botonCargaParamValorizacionHojaValorizacionMetricas" textlink="">
      <xdr:nvSpPr>
        <xdr:cNvPr id="4" name="btnMkt"/>
        <xdr:cNvSpPr/>
      </xdr:nvSpPr>
      <xdr:spPr>
        <a:xfrm>
          <a:off x="200025" y="638175"/>
          <a:ext cx="937125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Cargar Parámetros</a:t>
          </a:r>
        </a:p>
      </xdr:txBody>
    </xdr:sp>
    <xdr:clientData/>
  </xdr:twoCellAnchor>
  <xdr:twoCellAnchor>
    <xdr:from>
      <xdr:col>6</xdr:col>
      <xdr:colOff>9525</xdr:colOff>
      <xdr:row>3</xdr:row>
      <xdr:rowOff>485775</xdr:rowOff>
    </xdr:from>
    <xdr:to>
      <xdr:col>6</xdr:col>
      <xdr:colOff>742950</xdr:colOff>
      <xdr:row>5</xdr:row>
      <xdr:rowOff>121875</xdr:rowOff>
    </xdr:to>
    <xdr:sp macro="[0]!botonPercentilHojaValorizacionMetricas" textlink="">
      <xdr:nvSpPr>
        <xdr:cNvPr id="5" name="btnMkt"/>
        <xdr:cNvSpPr/>
      </xdr:nvSpPr>
      <xdr:spPr>
        <a:xfrm>
          <a:off x="2314575" y="619125"/>
          <a:ext cx="733425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Percentil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190501</xdr:colOff>
      <xdr:row>8</xdr:row>
      <xdr:rowOff>123824</xdr:rowOff>
    </xdr:from>
    <xdr:to>
      <xdr:col>5</xdr:col>
      <xdr:colOff>448426</xdr:colOff>
      <xdr:row>10</xdr:row>
      <xdr:rowOff>121874</xdr:rowOff>
    </xdr:to>
    <xdr:sp macro="[0]!botonActualizarHojaDatosEstaticos" textlink="">
      <xdr:nvSpPr>
        <xdr:cNvPr id="3" name="2 Rectángulo"/>
        <xdr:cNvSpPr/>
      </xdr:nvSpPr>
      <xdr:spPr>
        <a:xfrm>
          <a:off x="190501" y="1352549"/>
          <a:ext cx="162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FX y Curvas</a:t>
          </a:r>
        </a:p>
      </xdr:txBody>
    </xdr:sp>
    <xdr:clientData/>
  </xdr:twoCellAnchor>
  <xdr:twoCellAnchor>
    <xdr:from>
      <xdr:col>4</xdr:col>
      <xdr:colOff>200024</xdr:colOff>
      <xdr:row>5</xdr:row>
      <xdr:rowOff>180974</xdr:rowOff>
    </xdr:from>
    <xdr:to>
      <xdr:col>7</xdr:col>
      <xdr:colOff>19050</xdr:colOff>
      <xdr:row>7</xdr:row>
      <xdr:rowOff>161924</xdr:rowOff>
    </xdr:to>
    <xdr:sp macro="[0]!botonMonedaBaseHojaDatosEstaticos" textlink="">
      <xdr:nvSpPr>
        <xdr:cNvPr id="5" name="4 Rectángulo"/>
        <xdr:cNvSpPr/>
      </xdr:nvSpPr>
      <xdr:spPr>
        <a:xfrm>
          <a:off x="1362074" y="847724"/>
          <a:ext cx="1181101" cy="36195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M.</a:t>
          </a:r>
          <a:r>
            <a:rPr lang="es-CL" sz="11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 Base</a:t>
          </a:r>
          <a:endParaRPr lang="es-CL" sz="1100">
            <a:ln>
              <a:noFill/>
            </a:ln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5</xdr:row>
      <xdr:rowOff>180976</xdr:rowOff>
    </xdr:from>
    <xdr:to>
      <xdr:col>5</xdr:col>
      <xdr:colOff>742950</xdr:colOff>
      <xdr:row>8</xdr:row>
      <xdr:rowOff>19051</xdr:rowOff>
    </xdr:to>
    <xdr:sp macro="" textlink="">
      <xdr:nvSpPr>
        <xdr:cNvPr id="2" name="1 CuadroTexto"/>
        <xdr:cNvSpPr txBox="1"/>
      </xdr:nvSpPr>
      <xdr:spPr>
        <a:xfrm>
          <a:off x="4419600" y="1762126"/>
          <a:ext cx="2790825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Sólo se da la descripción de los campos cuyo nombre comienza con b y que corresponden a los de la pata comprada o activa de la operación.</a:t>
          </a:r>
        </a:p>
        <a:p>
          <a:r>
            <a:rPr lang="es-CL" sz="1100"/>
            <a:t>Los campos cuyo nombre comienzan con s corresponden a los de la pata vendida</a:t>
          </a:r>
          <a:r>
            <a:rPr lang="es-CL" sz="1100" baseline="0"/>
            <a:t> o pasiva de la operación.</a:t>
          </a:r>
          <a:endParaRPr lang="es-CL" sz="1100"/>
        </a:p>
      </xdr:txBody>
    </xdr:sp>
    <xdr:clientData/>
  </xdr:twoCellAnchor>
</xdr:wsDr>
</file>

<file path=xl/theme/theme1.xml><?xml version="1.0" encoding="utf-8"?>
<a:theme xmlns:a="http://schemas.openxmlformats.org/drawingml/2006/main" name="MiTema">
  <a:themeElements>
    <a:clrScheme name="Project Budget">
      <a:dk1>
        <a:srgbClr val="000000"/>
      </a:dk1>
      <a:lt1>
        <a:srgbClr val="FFFFFF"/>
      </a:lt1>
      <a:dk2>
        <a:srgbClr val="510B0C"/>
      </a:dk2>
      <a:lt2>
        <a:srgbClr val="FCFAF3"/>
      </a:lt2>
      <a:accent1>
        <a:srgbClr val="E8A52E"/>
      </a:accent1>
      <a:accent2>
        <a:srgbClr val="44A5C4"/>
      </a:accent2>
      <a:accent3>
        <a:srgbClr val="F17724"/>
      </a:accent3>
      <a:accent4>
        <a:srgbClr val="C1272D"/>
      </a:accent4>
      <a:accent5>
        <a:srgbClr val="57B09A"/>
      </a:accent5>
      <a:accent6>
        <a:srgbClr val="902154"/>
      </a:accent6>
      <a:hlink>
        <a:srgbClr val="44A5C4"/>
      </a:hlink>
      <a:folHlink>
        <a:srgbClr val="902154"/>
      </a:folHlink>
    </a:clrScheme>
    <a:fontScheme name="Project Budget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W1574"/>
  <sheetViews>
    <sheetView showGridLines="0" topLeftCell="C5" workbookViewId="0">
      <selection activeCell="H16" sqref="H16"/>
    </sheetView>
  </sheetViews>
  <sheetFormatPr baseColWidth="10" defaultColWidth="2.125" defaultRowHeight="14.25" outlineLevelRow="1" outlineLevelCol="1" x14ac:dyDescent="0.2"/>
  <cols>
    <col min="1" max="1" width="17" style="2" hidden="1" customWidth="1" outlineLevel="1"/>
    <col min="2" max="2" width="14.875" style="2" hidden="1" customWidth="1" outlineLevel="1"/>
    <col min="3" max="3" width="2.625" style="30" customWidth="1" collapsed="1"/>
    <col min="4" max="4" width="15.75" style="50" customWidth="1"/>
    <col min="5" max="6" width="8.625" style="54" customWidth="1"/>
    <col min="7" max="7" width="8.625" style="50" customWidth="1"/>
    <col min="8" max="8" width="14.375" style="52" customWidth="1"/>
    <col min="9" max="9" width="13.75" style="52" bestFit="1" customWidth="1"/>
    <col min="10" max="10" width="12" style="52" customWidth="1"/>
    <col min="11" max="11" width="10.75" style="52" customWidth="1"/>
    <col min="12" max="12" width="8.625" style="50" customWidth="1"/>
    <col min="13" max="13" width="9.75" style="50" customWidth="1"/>
    <col min="14" max="14" width="8.375" style="50" customWidth="1"/>
    <col min="15" max="15" width="2.5" style="30" customWidth="1"/>
    <col min="16" max="17" width="10.625" style="84" customWidth="1"/>
    <col min="18" max="18" width="2.625" style="30" customWidth="1"/>
    <col min="19" max="22" width="8.625" style="30" customWidth="1"/>
    <col min="23" max="23" width="2.625" style="41" customWidth="1"/>
    <col min="24" max="16384" width="2.125" style="1"/>
  </cols>
  <sheetData>
    <row r="1" spans="1:23" s="2" customFormat="1" ht="14.25" hidden="1" customHeight="1" outlineLevel="1" x14ac:dyDescent="0.2">
      <c r="B1" s="2" t="str">
        <f ca="1">nameOfThisSheet()</f>
        <v>NettingSets</v>
      </c>
      <c r="D1" s="4">
        <f t="shared" ref="D1:N1" si="0">COUNTA(D12:D1048576)</f>
        <v>13</v>
      </c>
      <c r="E1" s="4">
        <f t="shared" si="0"/>
        <v>13</v>
      </c>
      <c r="F1" s="4">
        <f t="shared" si="0"/>
        <v>13</v>
      </c>
      <c r="G1" s="4">
        <f t="shared" si="0"/>
        <v>13</v>
      </c>
      <c r="H1" s="4">
        <f t="shared" si="0"/>
        <v>13</v>
      </c>
      <c r="I1" s="4">
        <f t="shared" si="0"/>
        <v>13</v>
      </c>
      <c r="J1" s="4">
        <f t="shared" si="0"/>
        <v>13</v>
      </c>
      <c r="K1" s="4">
        <f t="shared" si="0"/>
        <v>13</v>
      </c>
      <c r="L1" s="4">
        <f t="shared" si="0"/>
        <v>13</v>
      </c>
      <c r="M1" s="4">
        <f t="shared" si="0"/>
        <v>13</v>
      </c>
      <c r="N1" s="4">
        <f t="shared" si="0"/>
        <v>13</v>
      </c>
    </row>
    <row r="2" spans="1:23" s="2" customFormat="1" ht="14.25" hidden="1" customHeight="1" outlineLevel="1" x14ac:dyDescent="0.2">
      <c r="B2" s="2" t="str">
        <f ca="1">B1&amp;"!"&amp;rangeNettingSets</f>
        <v>NettingSets!D12:N24</v>
      </c>
      <c r="D2" s="4"/>
      <c r="E2" s="4"/>
      <c r="F2" s="4">
        <f ca="1">ROW(INDIRECT("originNettingSets"))</f>
        <v>12</v>
      </c>
      <c r="G2" s="4"/>
      <c r="H2" s="4"/>
      <c r="I2" s="4"/>
      <c r="J2" s="4"/>
      <c r="K2" s="4"/>
      <c r="L2" s="4"/>
      <c r="M2" s="4"/>
      <c r="N2" s="4"/>
    </row>
    <row r="3" spans="1:23" s="2" customFormat="1" ht="14.25" hidden="1" customHeight="1" outlineLevel="1" x14ac:dyDescent="0.2">
      <c r="D3" s="4"/>
      <c r="E3" s="4"/>
      <c r="F3" s="4">
        <f ca="1">COLUMN(INDIRECT("originNettingSets"))</f>
        <v>4</v>
      </c>
      <c r="G3" s="4" t="str">
        <f ca="1">numbertoletter(9+F3)</f>
        <v>M</v>
      </c>
      <c r="H3" s="4"/>
      <c r="I3" s="4"/>
      <c r="J3" s="4"/>
      <c r="K3" s="4"/>
      <c r="L3" s="4"/>
      <c r="M3" s="4"/>
      <c r="N3" s="4"/>
    </row>
    <row r="4" spans="1:23" s="2" customFormat="1" ht="14.25" hidden="1" customHeight="1" outlineLevel="1" x14ac:dyDescent="0.2">
      <c r="D4" s="4" t="b">
        <f>equalValues(D1:L1)</f>
        <v>1</v>
      </c>
      <c r="E4" s="4" t="str">
        <f ca="1">B1&amp;"!C6:I"&amp;(6+D1-1)</f>
        <v>NettingSets!C6:I18</v>
      </c>
      <c r="F4" s="4" t="str">
        <f ca="1">B1&amp;"!"&amp;numbertoletter(F3)&amp;F2&amp;":"&amp;"D"&amp;(F1+F2-1)</f>
        <v>NettingSets!D12:D24</v>
      </c>
      <c r="G4" s="4" t="s">
        <v>175</v>
      </c>
      <c r="H4" s="4"/>
      <c r="I4" s="4"/>
      <c r="J4" s="4"/>
      <c r="K4" s="4"/>
      <c r="L4" s="4"/>
      <c r="M4" s="4"/>
      <c r="N4" s="4"/>
    </row>
    <row r="5" spans="1:23" s="26" customFormat="1" ht="10.5" customHeight="1" collapsed="1" x14ac:dyDescent="0.2">
      <c r="C5" s="30"/>
      <c r="D5" s="29"/>
      <c r="E5" s="27"/>
      <c r="F5" s="27"/>
      <c r="G5" s="27"/>
      <c r="H5" s="27"/>
      <c r="I5" s="27"/>
      <c r="J5" s="27"/>
      <c r="K5" s="27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</row>
    <row r="6" spans="1:23" s="26" customFormat="1" ht="10.5" customHeight="1" x14ac:dyDescent="0.2"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9"/>
    </row>
    <row r="7" spans="1:23" s="26" customFormat="1" ht="42" customHeight="1" x14ac:dyDescent="0.2">
      <c r="A7" s="26" t="s">
        <v>146</v>
      </c>
      <c r="C7" s="32" t="s">
        <v>119</v>
      </c>
      <c r="D7" s="32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9"/>
    </row>
    <row r="8" spans="1:23" s="8" customFormat="1" ht="16.5" customHeight="1" x14ac:dyDescent="0.2">
      <c r="A8" s="10"/>
      <c r="B8" s="1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9"/>
    </row>
    <row r="9" spans="1:23" s="8" customFormat="1" ht="16.5" customHeight="1" x14ac:dyDescent="0.2">
      <c r="A9" s="10"/>
      <c r="B9" s="1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9"/>
    </row>
    <row r="10" spans="1:23" s="15" customFormat="1" ht="15.75" customHeight="1" x14ac:dyDescent="0.2">
      <c r="A10" s="2" t="s">
        <v>99</v>
      </c>
      <c r="B10" s="2"/>
      <c r="C10" s="30"/>
      <c r="D10" s="131" t="s">
        <v>73</v>
      </c>
      <c r="E10" s="132"/>
      <c r="F10" s="132"/>
      <c r="G10" s="132"/>
      <c r="H10" s="132"/>
      <c r="I10" s="132"/>
      <c r="J10" s="132"/>
      <c r="K10" s="132"/>
      <c r="L10" s="132"/>
      <c r="M10" s="132"/>
      <c r="N10" s="133"/>
      <c r="O10" s="30"/>
      <c r="P10" s="128" t="s">
        <v>118</v>
      </c>
      <c r="Q10" s="129"/>
      <c r="R10" s="30"/>
      <c r="S10" s="130" t="s">
        <v>72</v>
      </c>
      <c r="T10" s="130"/>
      <c r="U10" s="130"/>
      <c r="V10" s="130"/>
      <c r="W10" s="39"/>
    </row>
    <row r="11" spans="1:23" ht="25.5" customHeight="1" x14ac:dyDescent="0.2">
      <c r="A11" s="2" t="s">
        <v>84</v>
      </c>
      <c r="B11" s="2">
        <f ca="1">ROW(INDIRECT("originNettingSets"))</f>
        <v>12</v>
      </c>
      <c r="D11" s="45" t="s">
        <v>65</v>
      </c>
      <c r="E11" s="46" t="s">
        <v>66</v>
      </c>
      <c r="F11" s="45" t="s">
        <v>71</v>
      </c>
      <c r="G11" s="45" t="s">
        <v>70</v>
      </c>
      <c r="H11" s="45" t="s">
        <v>67</v>
      </c>
      <c r="I11" s="45" t="s">
        <v>68</v>
      </c>
      <c r="J11" s="45" t="s">
        <v>225</v>
      </c>
      <c r="K11" s="45" t="s">
        <v>226</v>
      </c>
      <c r="L11" s="45" t="s">
        <v>69</v>
      </c>
      <c r="M11" s="74" t="s">
        <v>147</v>
      </c>
      <c r="N11" s="85" t="s">
        <v>145</v>
      </c>
      <c r="P11" s="34" t="s">
        <v>18</v>
      </c>
      <c r="Q11" s="33" t="s">
        <v>64</v>
      </c>
      <c r="S11" s="34" t="s">
        <v>71</v>
      </c>
      <c r="T11" s="34" t="s">
        <v>66</v>
      </c>
      <c r="U11" s="34" t="s">
        <v>82</v>
      </c>
      <c r="V11" s="34" t="s">
        <v>83</v>
      </c>
      <c r="W11" s="39"/>
    </row>
    <row r="12" spans="1:23" ht="15.75" customHeight="1" x14ac:dyDescent="0.2">
      <c r="A12" s="2" t="s">
        <v>85</v>
      </c>
      <c r="B12" s="2">
        <f ca="1">COLUMN(INDIRECT("originNettingSets"))</f>
        <v>4</v>
      </c>
      <c r="D12" s="95" t="s">
        <v>141</v>
      </c>
      <c r="E12" s="54">
        <v>0.5</v>
      </c>
      <c r="F12" s="54">
        <v>1.7295793270035699E-2</v>
      </c>
      <c r="G12" s="50" t="s">
        <v>2</v>
      </c>
      <c r="H12" s="52">
        <v>5000000000000</v>
      </c>
      <c r="I12" s="52">
        <v>5000000000000</v>
      </c>
      <c r="J12" s="126">
        <v>-10</v>
      </c>
      <c r="K12" s="126">
        <v>100000</v>
      </c>
      <c r="L12" s="50">
        <v>5</v>
      </c>
      <c r="M12" s="75">
        <v>0</v>
      </c>
      <c r="N12" s="50">
        <v>0</v>
      </c>
      <c r="P12" s="95" t="s">
        <v>204</v>
      </c>
      <c r="Q12" s="87" t="s">
        <v>141</v>
      </c>
      <c r="S12" s="75">
        <v>1.5428540529566642E-2</v>
      </c>
      <c r="T12" s="75">
        <v>0.4</v>
      </c>
      <c r="U12" s="75">
        <v>5.0000000000000001E-3</v>
      </c>
      <c r="V12" s="75">
        <v>5.0000000000000001E-3</v>
      </c>
      <c r="W12" s="39"/>
    </row>
    <row r="13" spans="1:23" x14ac:dyDescent="0.2">
      <c r="A13" s="2" t="s">
        <v>86</v>
      </c>
      <c r="B13" s="18" t="str">
        <f ca="1">numbertoletter(B12)</f>
        <v>D</v>
      </c>
      <c r="D13" s="95" t="s">
        <v>183</v>
      </c>
      <c r="E13" s="54">
        <v>0.5</v>
      </c>
      <c r="F13" s="54">
        <v>2.7890939167404399E-2</v>
      </c>
      <c r="G13" s="94" t="s">
        <v>2</v>
      </c>
      <c r="H13" s="52">
        <v>5000000000000</v>
      </c>
      <c r="I13" s="52">
        <v>5000000000000</v>
      </c>
      <c r="J13" s="126">
        <v>-10</v>
      </c>
      <c r="K13" s="126">
        <v>100000</v>
      </c>
      <c r="L13" s="94">
        <v>5</v>
      </c>
      <c r="M13" s="75">
        <v>0</v>
      </c>
      <c r="N13" s="50">
        <v>0</v>
      </c>
      <c r="P13" s="95" t="s">
        <v>205</v>
      </c>
      <c r="Q13" s="87" t="s">
        <v>183</v>
      </c>
      <c r="W13" s="39"/>
    </row>
    <row r="14" spans="1:23" s="15" customFormat="1" ht="15.75" customHeight="1" x14ac:dyDescent="0.2">
      <c r="A14" s="2" t="s">
        <v>87</v>
      </c>
      <c r="B14" s="18" t="str">
        <f ca="1">B13&amp;B11&amp;":"&amp;B13&amp;maxRowsValue</f>
        <v>D12:D1048576</v>
      </c>
      <c r="C14" s="30"/>
      <c r="D14" s="95" t="s">
        <v>184</v>
      </c>
      <c r="E14" s="54">
        <v>0.5</v>
      </c>
      <c r="F14" s="54">
        <v>2.7228624554439224E-2</v>
      </c>
      <c r="G14" s="94" t="s">
        <v>2</v>
      </c>
      <c r="H14" s="52">
        <v>5000000000000</v>
      </c>
      <c r="I14" s="52">
        <v>5000000000000</v>
      </c>
      <c r="J14" s="126">
        <v>-10</v>
      </c>
      <c r="K14" s="126">
        <v>100000</v>
      </c>
      <c r="L14" s="94">
        <v>5</v>
      </c>
      <c r="M14" s="91">
        <v>0</v>
      </c>
      <c r="N14" s="94">
        <v>0</v>
      </c>
      <c r="O14" s="30"/>
      <c r="P14" s="95" t="s">
        <v>206</v>
      </c>
      <c r="Q14" s="87" t="s">
        <v>184</v>
      </c>
      <c r="R14" s="30"/>
      <c r="S14" s="30"/>
      <c r="T14" s="30"/>
      <c r="U14" s="30"/>
      <c r="V14" s="30"/>
      <c r="W14" s="39"/>
    </row>
    <row r="15" spans="1:23" s="38" customFormat="1" ht="15.75" customHeight="1" x14ac:dyDescent="0.2">
      <c r="A15" s="36" t="s">
        <v>88</v>
      </c>
      <c r="B15" s="36">
        <f ca="1">COUNTA(INDIRECT(B14))</f>
        <v>13</v>
      </c>
      <c r="C15" s="37"/>
      <c r="D15" s="95" t="s">
        <v>185</v>
      </c>
      <c r="E15" s="54">
        <v>0.5</v>
      </c>
      <c r="F15" s="54">
        <v>2.1638328720394045E-2</v>
      </c>
      <c r="G15" s="94" t="s">
        <v>2</v>
      </c>
      <c r="H15" s="52">
        <v>20000000</v>
      </c>
      <c r="I15" s="52">
        <v>5000000000000</v>
      </c>
      <c r="J15" s="126">
        <v>-10</v>
      </c>
      <c r="K15" s="126">
        <v>100000</v>
      </c>
      <c r="L15" s="94">
        <v>5</v>
      </c>
      <c r="M15" s="91">
        <v>0</v>
      </c>
      <c r="N15" s="94">
        <v>0</v>
      </c>
      <c r="O15" s="37"/>
      <c r="P15" s="95" t="s">
        <v>207</v>
      </c>
      <c r="Q15" s="87" t="s">
        <v>185</v>
      </c>
      <c r="R15" s="37"/>
      <c r="S15" s="76"/>
      <c r="T15" s="76"/>
      <c r="U15" s="76"/>
      <c r="V15" s="37"/>
      <c r="W15" s="39"/>
    </row>
    <row r="16" spans="1:23" ht="14.25" customHeight="1" x14ac:dyDescent="0.25">
      <c r="A16" s="2" t="s">
        <v>89</v>
      </c>
      <c r="B16" s="19">
        <v>11</v>
      </c>
      <c r="D16" s="95" t="s">
        <v>208</v>
      </c>
      <c r="E16" s="54">
        <v>0.5</v>
      </c>
      <c r="F16" s="54">
        <v>2.1638328720394045E-2</v>
      </c>
      <c r="G16" s="94" t="s">
        <v>2</v>
      </c>
      <c r="H16" s="52">
        <v>5000000000000</v>
      </c>
      <c r="I16" s="52">
        <v>5000000000000</v>
      </c>
      <c r="J16" s="126">
        <v>-10</v>
      </c>
      <c r="K16" s="126">
        <v>100000</v>
      </c>
      <c r="L16" s="94">
        <v>5</v>
      </c>
      <c r="M16" s="91">
        <v>0</v>
      </c>
      <c r="N16" s="94">
        <v>0</v>
      </c>
      <c r="P16" s="95" t="s">
        <v>209</v>
      </c>
      <c r="Q16" s="95" t="s">
        <v>208</v>
      </c>
      <c r="T16" s="76"/>
      <c r="U16" s="77"/>
      <c r="W16" s="39"/>
    </row>
    <row r="17" spans="1:23" x14ac:dyDescent="0.2">
      <c r="A17" s="2" t="s">
        <v>90</v>
      </c>
      <c r="B17" s="18" t="str">
        <f ca="1">B13&amp;B11&amp;":"&amp;numbertoletter(B12+B16-1)&amp;(B11+B15-1)</f>
        <v>D12:N24</v>
      </c>
      <c r="D17" s="95" t="s">
        <v>211</v>
      </c>
      <c r="E17" s="54">
        <v>0.5</v>
      </c>
      <c r="F17" s="54">
        <v>1.7295793270035699E-2</v>
      </c>
      <c r="G17" s="94" t="s">
        <v>2</v>
      </c>
      <c r="H17" s="52">
        <v>5000000000000</v>
      </c>
      <c r="I17" s="52">
        <v>5000000000000</v>
      </c>
      <c r="J17" s="126">
        <v>-10</v>
      </c>
      <c r="K17" s="126">
        <v>100000</v>
      </c>
      <c r="L17" s="94">
        <v>5</v>
      </c>
      <c r="M17" s="91">
        <v>0</v>
      </c>
      <c r="N17" s="94">
        <v>0</v>
      </c>
      <c r="P17" s="87" t="s">
        <v>211</v>
      </c>
      <c r="Q17" s="95" t="s">
        <v>211</v>
      </c>
      <c r="T17" s="76"/>
      <c r="U17" s="77"/>
      <c r="W17" s="39"/>
    </row>
    <row r="18" spans="1:23" x14ac:dyDescent="0.2">
      <c r="B18" s="4"/>
      <c r="D18" s="95" t="s">
        <v>219</v>
      </c>
      <c r="E18" s="54">
        <v>0.5</v>
      </c>
      <c r="F18" s="54">
        <v>2.7890939167404399E-2</v>
      </c>
      <c r="G18" s="94" t="s">
        <v>2</v>
      </c>
      <c r="H18" s="52">
        <v>5000000000000</v>
      </c>
      <c r="I18" s="52">
        <v>5000000000000</v>
      </c>
      <c r="J18" s="126">
        <v>-10</v>
      </c>
      <c r="K18" s="126">
        <v>100000</v>
      </c>
      <c r="L18" s="94">
        <v>5</v>
      </c>
      <c r="M18" s="91">
        <v>0</v>
      </c>
      <c r="N18" s="94">
        <v>0</v>
      </c>
      <c r="P18" s="87" t="s">
        <v>212</v>
      </c>
      <c r="Q18" s="95" t="s">
        <v>219</v>
      </c>
      <c r="T18" s="76"/>
      <c r="U18" s="77"/>
      <c r="W18" s="39"/>
    </row>
    <row r="19" spans="1:23" x14ac:dyDescent="0.2">
      <c r="A19" s="2" t="s">
        <v>100</v>
      </c>
      <c r="D19" s="95" t="s">
        <v>220</v>
      </c>
      <c r="E19" s="54">
        <v>0.5</v>
      </c>
      <c r="F19" s="54">
        <v>2.7228624554439224E-2</v>
      </c>
      <c r="G19" s="94" t="s">
        <v>2</v>
      </c>
      <c r="H19" s="52">
        <v>5000000000000</v>
      </c>
      <c r="I19" s="52">
        <v>5000000000000</v>
      </c>
      <c r="J19" s="126">
        <v>-10</v>
      </c>
      <c r="K19" s="126">
        <v>100000</v>
      </c>
      <c r="L19" s="94">
        <v>5</v>
      </c>
      <c r="M19" s="91">
        <v>0</v>
      </c>
      <c r="N19" s="94">
        <v>0</v>
      </c>
      <c r="P19" s="87" t="s">
        <v>213</v>
      </c>
      <c r="Q19" s="87" t="s">
        <v>220</v>
      </c>
      <c r="T19" s="76"/>
      <c r="U19" s="77"/>
      <c r="W19" s="40"/>
    </row>
    <row r="20" spans="1:23" x14ac:dyDescent="0.2">
      <c r="A20" s="2" t="s">
        <v>84</v>
      </c>
      <c r="B20" s="2">
        <f ca="1">ROW(INDIRECT("originDealNumberNettingSet"))</f>
        <v>12</v>
      </c>
      <c r="D20" s="95" t="s">
        <v>221</v>
      </c>
      <c r="E20" s="54">
        <v>0.5</v>
      </c>
      <c r="F20" s="54">
        <v>2.1638328720394045E-2</v>
      </c>
      <c r="G20" s="94" t="s">
        <v>2</v>
      </c>
      <c r="H20" s="52">
        <v>5000000000000</v>
      </c>
      <c r="I20" s="52">
        <v>5000000000000</v>
      </c>
      <c r="J20" s="126">
        <v>-10</v>
      </c>
      <c r="K20" s="126">
        <v>100000</v>
      </c>
      <c r="L20" s="94">
        <v>5</v>
      </c>
      <c r="M20" s="91">
        <v>0</v>
      </c>
      <c r="N20" s="94">
        <v>0</v>
      </c>
      <c r="P20" s="87" t="s">
        <v>214</v>
      </c>
      <c r="Q20" s="87" t="s">
        <v>221</v>
      </c>
      <c r="T20" s="76"/>
      <c r="U20" s="77"/>
      <c r="W20" s="40"/>
    </row>
    <row r="21" spans="1:23" x14ac:dyDescent="0.2">
      <c r="A21" s="2" t="s">
        <v>85</v>
      </c>
      <c r="B21" s="2">
        <f ca="1">COLUMN(INDIRECT("originDealNumberNettingSet"))</f>
        <v>16</v>
      </c>
      <c r="D21" s="95" t="s">
        <v>218</v>
      </c>
      <c r="E21" s="54">
        <v>0.5</v>
      </c>
      <c r="F21" s="54">
        <v>1.7295793270035699E-2</v>
      </c>
      <c r="G21" s="94" t="s">
        <v>2</v>
      </c>
      <c r="H21" s="52">
        <v>5000000000000</v>
      </c>
      <c r="I21" s="52">
        <v>5000000000000</v>
      </c>
      <c r="J21" s="126">
        <v>-10</v>
      </c>
      <c r="K21" s="126">
        <v>100000</v>
      </c>
      <c r="L21" s="94">
        <v>5</v>
      </c>
      <c r="M21" s="91">
        <v>0</v>
      </c>
      <c r="N21" s="94">
        <v>0</v>
      </c>
      <c r="P21" s="87" t="s">
        <v>218</v>
      </c>
      <c r="Q21" s="87" t="s">
        <v>218</v>
      </c>
      <c r="T21" s="76"/>
      <c r="W21" s="40"/>
    </row>
    <row r="22" spans="1:23" x14ac:dyDescent="0.2">
      <c r="A22" s="2" t="s">
        <v>86</v>
      </c>
      <c r="B22" s="18" t="str">
        <f ca="1">numbertoletter(B21)</f>
        <v>P</v>
      </c>
      <c r="D22" s="95" t="s">
        <v>222</v>
      </c>
      <c r="E22" s="54">
        <v>0.5</v>
      </c>
      <c r="F22" s="54">
        <v>2.7890939167404399E-2</v>
      </c>
      <c r="G22" s="94" t="s">
        <v>2</v>
      </c>
      <c r="H22" s="52">
        <v>5000000000000</v>
      </c>
      <c r="I22" s="52">
        <v>5000000000000</v>
      </c>
      <c r="J22" s="126">
        <v>-10</v>
      </c>
      <c r="K22" s="126">
        <v>100000</v>
      </c>
      <c r="L22" s="94">
        <v>5</v>
      </c>
      <c r="M22" s="91">
        <v>0</v>
      </c>
      <c r="N22" s="94">
        <v>0</v>
      </c>
      <c r="P22" s="87" t="s">
        <v>215</v>
      </c>
      <c r="Q22" s="87" t="s">
        <v>222</v>
      </c>
      <c r="T22" s="76"/>
      <c r="W22" s="40"/>
    </row>
    <row r="23" spans="1:23" x14ac:dyDescent="0.2">
      <c r="A23" s="2" t="s">
        <v>87</v>
      </c>
      <c r="B23" s="18" t="str">
        <f ca="1">B22&amp;B20&amp;":"&amp;B22&amp;maxRowsValue</f>
        <v>P12:P1048576</v>
      </c>
      <c r="D23" s="95" t="s">
        <v>223</v>
      </c>
      <c r="E23" s="54">
        <v>0.5</v>
      </c>
      <c r="F23" s="54">
        <v>2.7228624554439224E-2</v>
      </c>
      <c r="G23" s="94" t="s">
        <v>2</v>
      </c>
      <c r="H23" s="52">
        <v>5000000000000</v>
      </c>
      <c r="I23" s="52">
        <v>5000000000000</v>
      </c>
      <c r="J23" s="126">
        <v>-10</v>
      </c>
      <c r="K23" s="126">
        <v>100000</v>
      </c>
      <c r="L23" s="94">
        <v>5</v>
      </c>
      <c r="M23" s="91">
        <v>0</v>
      </c>
      <c r="N23" s="94">
        <v>0</v>
      </c>
      <c r="P23" s="53" t="s">
        <v>216</v>
      </c>
      <c r="Q23" s="53" t="s">
        <v>223</v>
      </c>
      <c r="T23" s="76"/>
      <c r="W23" s="40"/>
    </row>
    <row r="24" spans="1:23" x14ac:dyDescent="0.2">
      <c r="A24" s="2" t="s">
        <v>88</v>
      </c>
      <c r="B24" s="2">
        <f ca="1">COUNTA(INDIRECT(B23))</f>
        <v>13</v>
      </c>
      <c r="D24" s="95" t="s">
        <v>224</v>
      </c>
      <c r="E24" s="54">
        <v>0.5</v>
      </c>
      <c r="F24" s="54">
        <v>2.1638328720394045E-2</v>
      </c>
      <c r="G24" s="94" t="s">
        <v>2</v>
      </c>
      <c r="H24" s="52">
        <v>5000000000000</v>
      </c>
      <c r="I24" s="52">
        <v>5000000000000</v>
      </c>
      <c r="J24" s="126">
        <v>-10</v>
      </c>
      <c r="K24" s="126">
        <v>100000</v>
      </c>
      <c r="L24" s="94">
        <v>5</v>
      </c>
      <c r="M24" s="91">
        <v>0</v>
      </c>
      <c r="N24" s="94">
        <v>0</v>
      </c>
      <c r="P24" s="53" t="s">
        <v>217</v>
      </c>
      <c r="Q24" s="53" t="s">
        <v>224</v>
      </c>
      <c r="T24" s="76"/>
      <c r="W24" s="40"/>
    </row>
    <row r="25" spans="1:23" ht="14.25" customHeight="1" x14ac:dyDescent="0.25">
      <c r="A25" s="2" t="s">
        <v>89</v>
      </c>
      <c r="B25" s="19">
        <v>2</v>
      </c>
      <c r="D25" s="95"/>
      <c r="G25" s="94"/>
      <c r="L25" s="94"/>
      <c r="M25" s="91"/>
      <c r="N25" s="94"/>
      <c r="P25" s="95"/>
      <c r="Q25" s="95"/>
      <c r="T25" s="76"/>
      <c r="W25" s="40"/>
    </row>
    <row r="26" spans="1:23" x14ac:dyDescent="0.2">
      <c r="A26" s="2" t="s">
        <v>90</v>
      </c>
      <c r="B26" s="18" t="str">
        <f ca="1">B22&amp;B20&amp;":"&amp;numbertoletter(B21+B25-1)&amp;(B20+B24-1)</f>
        <v>P12:Q24</v>
      </c>
      <c r="D26" s="95"/>
      <c r="G26" s="94"/>
      <c r="L26" s="94"/>
      <c r="M26" s="91"/>
      <c r="N26" s="94"/>
      <c r="P26" s="53"/>
      <c r="Q26" s="53"/>
      <c r="T26" s="76"/>
      <c r="W26" s="40"/>
    </row>
    <row r="27" spans="1:23" x14ac:dyDescent="0.2"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P27" s="53"/>
      <c r="Q27" s="53"/>
      <c r="T27" s="76"/>
      <c r="W27" s="40"/>
    </row>
    <row r="28" spans="1:23" x14ac:dyDescent="0.2">
      <c r="D28" s="95"/>
      <c r="E28" s="94"/>
      <c r="F28" s="94"/>
      <c r="G28" s="94"/>
      <c r="H28" s="94"/>
      <c r="I28" s="94"/>
      <c r="J28" s="94"/>
      <c r="K28" s="94"/>
      <c r="L28" s="94"/>
      <c r="M28" s="94"/>
      <c r="N28" s="94"/>
      <c r="P28" s="53"/>
      <c r="Q28" s="53"/>
      <c r="W28" s="40"/>
    </row>
    <row r="29" spans="1:23" x14ac:dyDescent="0.2">
      <c r="D29" s="95"/>
      <c r="E29" s="94"/>
      <c r="F29" s="94"/>
      <c r="G29" s="94"/>
      <c r="H29" s="94"/>
      <c r="I29" s="94"/>
      <c r="J29" s="94"/>
      <c r="K29" s="94"/>
      <c r="L29" s="94"/>
      <c r="M29" s="94"/>
      <c r="N29" s="94"/>
      <c r="P29" s="53"/>
      <c r="Q29" s="53"/>
      <c r="W29" s="40"/>
    </row>
    <row r="30" spans="1:23" x14ac:dyDescent="0.2">
      <c r="D30" s="95"/>
      <c r="E30" s="94"/>
      <c r="F30" s="94"/>
      <c r="G30" s="94"/>
      <c r="H30" s="94"/>
      <c r="I30" s="94"/>
      <c r="J30" s="94"/>
      <c r="K30" s="94"/>
      <c r="L30" s="94"/>
      <c r="M30" s="94"/>
      <c r="N30" s="94"/>
      <c r="P30" s="53"/>
      <c r="Q30" s="53"/>
      <c r="W30" s="40"/>
    </row>
    <row r="31" spans="1:23" x14ac:dyDescent="0.2">
      <c r="D31" s="95"/>
      <c r="E31" s="94"/>
      <c r="F31" s="94"/>
      <c r="G31" s="94"/>
      <c r="H31" s="94"/>
      <c r="I31" s="94"/>
      <c r="J31" s="94"/>
      <c r="K31" s="94"/>
      <c r="L31" s="94"/>
      <c r="M31" s="94"/>
      <c r="N31" s="94"/>
      <c r="P31" s="53"/>
      <c r="Q31" s="53"/>
      <c r="W31" s="40"/>
    </row>
    <row r="32" spans="1:23" x14ac:dyDescent="0.2">
      <c r="D32" s="95"/>
      <c r="E32" s="94"/>
      <c r="F32" s="94"/>
      <c r="G32" s="94"/>
      <c r="H32" s="94"/>
      <c r="I32" s="94"/>
      <c r="J32" s="94"/>
      <c r="K32" s="94"/>
      <c r="L32" s="94"/>
      <c r="M32" s="94"/>
      <c r="N32" s="94"/>
      <c r="P32" s="53"/>
      <c r="Q32" s="53"/>
      <c r="W32" s="40"/>
    </row>
    <row r="33" spans="4:23" x14ac:dyDescent="0.2">
      <c r="D33" s="95"/>
      <c r="E33" s="94"/>
      <c r="F33" s="94"/>
      <c r="G33" s="94"/>
      <c r="H33" s="94"/>
      <c r="I33" s="94"/>
      <c r="J33" s="94"/>
      <c r="K33" s="94"/>
      <c r="L33" s="94"/>
      <c r="M33" s="94"/>
      <c r="N33" s="94"/>
      <c r="P33" s="53"/>
      <c r="Q33" s="53"/>
      <c r="W33" s="40"/>
    </row>
    <row r="34" spans="4:23" x14ac:dyDescent="0.2">
      <c r="D34" s="95"/>
      <c r="E34" s="94"/>
      <c r="F34" s="94"/>
      <c r="G34" s="94"/>
      <c r="H34" s="94"/>
      <c r="I34" s="94"/>
      <c r="J34" s="94"/>
      <c r="K34" s="94"/>
      <c r="L34" s="94"/>
      <c r="M34" s="94"/>
      <c r="N34" s="94"/>
      <c r="P34" s="53"/>
      <c r="Q34" s="53"/>
      <c r="W34" s="40"/>
    </row>
    <row r="35" spans="4:23" x14ac:dyDescent="0.2">
      <c r="D35" s="95"/>
      <c r="E35" s="94"/>
      <c r="F35" s="94"/>
      <c r="G35" s="94"/>
      <c r="H35" s="94"/>
      <c r="I35" s="94"/>
      <c r="J35" s="94"/>
      <c r="K35" s="94"/>
      <c r="L35" s="94"/>
      <c r="M35" s="94"/>
      <c r="N35" s="94"/>
      <c r="P35" s="53"/>
      <c r="Q35" s="53"/>
      <c r="W35" s="40"/>
    </row>
    <row r="36" spans="4:23" x14ac:dyDescent="0.2">
      <c r="D36" s="95"/>
      <c r="E36" s="94"/>
      <c r="F36" s="94"/>
      <c r="G36" s="94"/>
      <c r="H36" s="94"/>
      <c r="I36" s="94"/>
      <c r="J36" s="94"/>
      <c r="K36" s="94"/>
      <c r="L36" s="94"/>
      <c r="M36" s="94"/>
      <c r="N36" s="94"/>
      <c r="P36" s="53"/>
      <c r="Q36" s="53"/>
      <c r="W36" s="40"/>
    </row>
    <row r="37" spans="4:23" x14ac:dyDescent="0.2">
      <c r="D37" s="95"/>
      <c r="E37" s="94"/>
      <c r="F37" s="94"/>
      <c r="G37" s="94"/>
      <c r="H37" s="94"/>
      <c r="I37" s="94"/>
      <c r="J37" s="94"/>
      <c r="K37" s="94"/>
      <c r="L37" s="94"/>
      <c r="M37" s="94"/>
      <c r="N37" s="94"/>
      <c r="P37" s="53"/>
      <c r="Q37" s="53"/>
      <c r="W37" s="40"/>
    </row>
    <row r="38" spans="4:23" x14ac:dyDescent="0.2">
      <c r="D38" s="95"/>
      <c r="E38" s="94"/>
      <c r="F38" s="94"/>
      <c r="G38" s="94"/>
      <c r="H38" s="94"/>
      <c r="I38" s="94"/>
      <c r="J38" s="94"/>
      <c r="K38" s="94"/>
      <c r="L38" s="94"/>
      <c r="M38" s="94"/>
      <c r="N38" s="94"/>
      <c r="P38" s="53"/>
      <c r="Q38" s="53"/>
      <c r="W38" s="40"/>
    </row>
    <row r="39" spans="4:23" x14ac:dyDescent="0.2">
      <c r="D39" s="95"/>
      <c r="E39" s="94"/>
      <c r="F39" s="94"/>
      <c r="G39" s="94"/>
      <c r="H39" s="94"/>
      <c r="I39" s="94"/>
      <c r="J39" s="94"/>
      <c r="K39" s="94"/>
      <c r="L39" s="94"/>
      <c r="M39" s="94"/>
      <c r="N39" s="94"/>
      <c r="P39" s="53"/>
      <c r="Q39" s="53"/>
      <c r="W39" s="40"/>
    </row>
    <row r="40" spans="4:23" x14ac:dyDescent="0.2">
      <c r="D40" s="95"/>
      <c r="E40" s="94"/>
      <c r="F40" s="94"/>
      <c r="G40" s="94"/>
      <c r="H40" s="94"/>
      <c r="I40" s="94"/>
      <c r="J40" s="94"/>
      <c r="K40" s="94"/>
      <c r="L40" s="94"/>
      <c r="M40" s="94"/>
      <c r="N40" s="94"/>
      <c r="P40" s="53"/>
      <c r="Q40" s="53"/>
      <c r="W40" s="40"/>
    </row>
    <row r="41" spans="4:23" x14ac:dyDescent="0.2">
      <c r="D41" s="95"/>
      <c r="E41" s="94"/>
      <c r="F41" s="94"/>
      <c r="G41" s="94"/>
      <c r="H41" s="94"/>
      <c r="I41" s="94"/>
      <c r="J41" s="94"/>
      <c r="K41" s="94"/>
      <c r="L41" s="94"/>
      <c r="M41" s="94"/>
      <c r="N41" s="94"/>
      <c r="P41" s="53"/>
      <c r="Q41" s="53"/>
      <c r="W41" s="40"/>
    </row>
    <row r="42" spans="4:23" x14ac:dyDescent="0.2">
      <c r="D42" s="95"/>
      <c r="E42" s="94"/>
      <c r="F42" s="94"/>
      <c r="G42" s="94"/>
      <c r="H42" s="94"/>
      <c r="I42" s="94"/>
      <c r="J42" s="94"/>
      <c r="K42" s="94"/>
      <c r="L42" s="94"/>
      <c r="M42" s="94"/>
      <c r="N42" s="94"/>
      <c r="P42" s="53"/>
      <c r="Q42" s="53"/>
      <c r="W42" s="40"/>
    </row>
    <row r="43" spans="4:23" x14ac:dyDescent="0.2">
      <c r="D43" s="95"/>
      <c r="E43" s="94"/>
      <c r="F43" s="94"/>
      <c r="G43" s="94"/>
      <c r="H43" s="94"/>
      <c r="I43" s="94"/>
      <c r="J43" s="94"/>
      <c r="K43" s="94"/>
      <c r="L43" s="94"/>
      <c r="M43" s="94"/>
      <c r="N43" s="94"/>
      <c r="P43" s="53"/>
      <c r="Q43" s="53"/>
      <c r="W43" s="40"/>
    </row>
    <row r="44" spans="4:23" x14ac:dyDescent="0.2">
      <c r="D44" s="95"/>
      <c r="E44" s="94"/>
      <c r="F44" s="94"/>
      <c r="G44" s="94"/>
      <c r="H44" s="94"/>
      <c r="I44" s="94"/>
      <c r="J44" s="94"/>
      <c r="K44" s="94"/>
      <c r="L44" s="94"/>
      <c r="M44" s="94"/>
      <c r="N44" s="94"/>
      <c r="P44" s="53"/>
      <c r="Q44" s="53"/>
      <c r="W44" s="40"/>
    </row>
    <row r="45" spans="4:23" x14ac:dyDescent="0.2">
      <c r="D45" s="95"/>
      <c r="E45" s="94"/>
      <c r="F45" s="94"/>
      <c r="G45" s="94"/>
      <c r="H45" s="94"/>
      <c r="I45" s="94"/>
      <c r="J45" s="94"/>
      <c r="K45" s="94"/>
      <c r="L45" s="94"/>
      <c r="M45" s="94"/>
      <c r="N45" s="94"/>
      <c r="P45" s="53"/>
      <c r="Q45" s="53"/>
      <c r="W45" s="40"/>
    </row>
    <row r="46" spans="4:23" x14ac:dyDescent="0.2">
      <c r="D46" s="95"/>
      <c r="E46" s="94"/>
      <c r="F46" s="94"/>
      <c r="G46" s="94"/>
      <c r="H46" s="94"/>
      <c r="I46" s="94"/>
      <c r="J46" s="94"/>
      <c r="K46" s="94"/>
      <c r="L46" s="94"/>
      <c r="M46" s="94"/>
      <c r="N46" s="94"/>
      <c r="P46" s="53"/>
      <c r="Q46" s="53"/>
      <c r="W46" s="40"/>
    </row>
    <row r="47" spans="4:23" x14ac:dyDescent="0.2"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P47" s="53"/>
      <c r="Q47" s="53"/>
      <c r="W47" s="40"/>
    </row>
    <row r="48" spans="4:23" x14ac:dyDescent="0.2">
      <c r="D48" s="95"/>
      <c r="E48" s="94"/>
      <c r="F48" s="94"/>
      <c r="G48" s="94"/>
      <c r="H48" s="94"/>
      <c r="I48" s="94"/>
      <c r="J48" s="94"/>
      <c r="K48" s="94"/>
      <c r="L48" s="94"/>
      <c r="M48" s="94"/>
      <c r="N48" s="94"/>
      <c r="P48" s="53"/>
      <c r="Q48" s="53"/>
      <c r="W48" s="40"/>
    </row>
    <row r="49" spans="4:23" x14ac:dyDescent="0.2"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  <c r="P49" s="53"/>
      <c r="Q49" s="53"/>
      <c r="W49" s="40"/>
    </row>
    <row r="50" spans="4:23" x14ac:dyDescent="0.2">
      <c r="D50" s="95"/>
      <c r="E50" s="94"/>
      <c r="F50" s="94"/>
      <c r="G50" s="94"/>
      <c r="H50" s="94"/>
      <c r="I50" s="94"/>
      <c r="J50" s="94"/>
      <c r="K50" s="94"/>
      <c r="L50" s="94"/>
      <c r="M50" s="94"/>
      <c r="N50" s="94"/>
      <c r="P50" s="53"/>
      <c r="Q50" s="53"/>
      <c r="W50" s="40"/>
    </row>
    <row r="51" spans="4:23" x14ac:dyDescent="0.2">
      <c r="D51" s="95"/>
      <c r="E51" s="94"/>
      <c r="F51" s="94"/>
      <c r="G51" s="94"/>
      <c r="H51" s="94"/>
      <c r="I51" s="94"/>
      <c r="J51" s="94"/>
      <c r="K51" s="94"/>
      <c r="L51" s="94"/>
      <c r="M51" s="94"/>
      <c r="N51" s="94"/>
      <c r="P51" s="53"/>
      <c r="Q51" s="53"/>
      <c r="W51" s="40"/>
    </row>
    <row r="52" spans="4:23" x14ac:dyDescent="0.2">
      <c r="D52" s="95"/>
      <c r="E52" s="94"/>
      <c r="F52" s="94"/>
      <c r="G52" s="94"/>
      <c r="H52" s="94"/>
      <c r="I52" s="94"/>
      <c r="J52" s="94"/>
      <c r="K52" s="94"/>
      <c r="L52" s="94"/>
      <c r="M52" s="94"/>
      <c r="N52" s="94"/>
      <c r="P52" s="53"/>
      <c r="Q52" s="53"/>
      <c r="W52" s="40"/>
    </row>
    <row r="53" spans="4:23" x14ac:dyDescent="0.2">
      <c r="D53" s="95"/>
      <c r="E53" s="94"/>
      <c r="F53" s="94"/>
      <c r="G53" s="94"/>
      <c r="H53" s="94"/>
      <c r="I53" s="94"/>
      <c r="J53" s="94"/>
      <c r="K53" s="94"/>
      <c r="L53" s="94"/>
      <c r="M53" s="94"/>
      <c r="N53" s="94"/>
      <c r="P53" s="53"/>
      <c r="Q53" s="53"/>
      <c r="W53" s="40"/>
    </row>
    <row r="54" spans="4:23" x14ac:dyDescent="0.2">
      <c r="D54" s="95"/>
      <c r="E54" s="94"/>
      <c r="F54" s="94"/>
      <c r="G54" s="94"/>
      <c r="H54" s="94"/>
      <c r="I54" s="94"/>
      <c r="J54" s="94"/>
      <c r="K54" s="94"/>
      <c r="L54" s="94"/>
      <c r="M54" s="94"/>
      <c r="N54" s="94"/>
      <c r="P54" s="53"/>
      <c r="Q54" s="53"/>
      <c r="W54" s="40"/>
    </row>
    <row r="55" spans="4:23" x14ac:dyDescent="0.2">
      <c r="D55" s="95"/>
      <c r="E55" s="94"/>
      <c r="F55" s="94"/>
      <c r="G55" s="94"/>
      <c r="H55" s="94"/>
      <c r="I55" s="94"/>
      <c r="J55" s="94"/>
      <c r="K55" s="94"/>
      <c r="L55" s="94"/>
      <c r="M55" s="94"/>
      <c r="N55" s="94"/>
      <c r="P55" s="53"/>
      <c r="Q55" s="53"/>
      <c r="W55" s="40"/>
    </row>
    <row r="56" spans="4:23" x14ac:dyDescent="0.2">
      <c r="D56" s="95"/>
      <c r="E56" s="94"/>
      <c r="F56" s="94"/>
      <c r="G56" s="94"/>
      <c r="H56" s="94"/>
      <c r="I56" s="94"/>
      <c r="J56" s="94"/>
      <c r="K56" s="94"/>
      <c r="L56" s="94"/>
      <c r="M56" s="94"/>
      <c r="N56" s="94"/>
      <c r="P56" s="53"/>
      <c r="Q56" s="53"/>
      <c r="W56" s="40"/>
    </row>
    <row r="57" spans="4:23" x14ac:dyDescent="0.2"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P57" s="53"/>
      <c r="Q57" s="53"/>
      <c r="W57" s="40"/>
    </row>
    <row r="58" spans="4:23" x14ac:dyDescent="0.2">
      <c r="D58" s="95"/>
      <c r="E58" s="94"/>
      <c r="F58" s="94"/>
      <c r="G58" s="94"/>
      <c r="H58" s="94"/>
      <c r="I58" s="94"/>
      <c r="J58" s="94"/>
      <c r="K58" s="94"/>
      <c r="L58" s="94"/>
      <c r="M58" s="94"/>
      <c r="N58" s="94"/>
      <c r="P58" s="53"/>
      <c r="Q58" s="53"/>
      <c r="W58" s="40"/>
    </row>
    <row r="59" spans="4:23" x14ac:dyDescent="0.2">
      <c r="D59" s="95"/>
      <c r="E59" s="94"/>
      <c r="F59" s="94"/>
      <c r="G59" s="94"/>
      <c r="H59" s="94"/>
      <c r="I59" s="94"/>
      <c r="J59" s="94"/>
      <c r="K59" s="94"/>
      <c r="L59" s="94"/>
      <c r="M59" s="94"/>
      <c r="N59" s="94"/>
      <c r="P59" s="53"/>
      <c r="Q59" s="53"/>
      <c r="W59" s="40"/>
    </row>
    <row r="60" spans="4:23" x14ac:dyDescent="0.2">
      <c r="D60" s="95"/>
      <c r="E60" s="94"/>
      <c r="F60" s="94"/>
      <c r="G60" s="94"/>
      <c r="H60" s="94"/>
      <c r="I60" s="94"/>
      <c r="J60" s="94"/>
      <c r="K60" s="94"/>
      <c r="L60" s="94"/>
      <c r="M60" s="94"/>
      <c r="N60" s="94"/>
      <c r="P60" s="53"/>
      <c r="Q60" s="53"/>
      <c r="W60" s="40"/>
    </row>
    <row r="61" spans="4:23" x14ac:dyDescent="0.2">
      <c r="D61" s="95"/>
      <c r="E61" s="94"/>
      <c r="F61" s="94"/>
      <c r="G61" s="94"/>
      <c r="H61" s="94"/>
      <c r="I61" s="94"/>
      <c r="J61" s="94"/>
      <c r="K61" s="94"/>
      <c r="L61" s="94"/>
      <c r="M61" s="94"/>
      <c r="N61" s="94"/>
      <c r="P61" s="53"/>
      <c r="Q61" s="53"/>
      <c r="W61" s="40"/>
    </row>
    <row r="62" spans="4:23" x14ac:dyDescent="0.2">
      <c r="D62" s="95"/>
      <c r="E62" s="94"/>
      <c r="F62" s="94"/>
      <c r="G62" s="94"/>
      <c r="H62" s="94"/>
      <c r="I62" s="94"/>
      <c r="J62" s="94"/>
      <c r="K62" s="94"/>
      <c r="L62" s="94"/>
      <c r="M62" s="94"/>
      <c r="N62" s="94"/>
      <c r="P62" s="53"/>
      <c r="Q62" s="53"/>
      <c r="W62" s="40"/>
    </row>
    <row r="63" spans="4:23" x14ac:dyDescent="0.2">
      <c r="D63" s="95"/>
      <c r="E63" s="94"/>
      <c r="F63" s="94"/>
      <c r="G63" s="94"/>
      <c r="H63" s="94"/>
      <c r="I63" s="94"/>
      <c r="J63" s="94"/>
      <c r="K63" s="94"/>
      <c r="L63" s="94"/>
      <c r="M63" s="94"/>
      <c r="N63" s="94"/>
      <c r="P63" s="53"/>
      <c r="Q63" s="53"/>
      <c r="W63" s="40"/>
    </row>
    <row r="64" spans="4:23" x14ac:dyDescent="0.2">
      <c r="D64" s="95"/>
      <c r="E64" s="94"/>
      <c r="F64" s="94"/>
      <c r="G64" s="94"/>
      <c r="H64" s="94"/>
      <c r="I64" s="94"/>
      <c r="J64" s="94"/>
      <c r="K64" s="94"/>
      <c r="L64" s="94"/>
      <c r="M64" s="94"/>
      <c r="N64" s="94"/>
      <c r="P64" s="53"/>
      <c r="Q64" s="53"/>
      <c r="W64" s="40"/>
    </row>
    <row r="65" spans="4:23" x14ac:dyDescent="0.2"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P65" s="53"/>
      <c r="Q65" s="53"/>
      <c r="W65" s="40"/>
    </row>
    <row r="66" spans="4:23" x14ac:dyDescent="0.2">
      <c r="D66" s="95"/>
      <c r="E66" s="94"/>
      <c r="F66" s="94"/>
      <c r="G66" s="94"/>
      <c r="H66" s="94"/>
      <c r="I66" s="94"/>
      <c r="J66" s="94"/>
      <c r="K66" s="94"/>
      <c r="L66" s="94"/>
      <c r="M66" s="94"/>
      <c r="N66" s="94"/>
      <c r="P66" s="53"/>
      <c r="Q66" s="53"/>
      <c r="W66" s="40"/>
    </row>
    <row r="67" spans="4:23" x14ac:dyDescent="0.2"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P67" s="53"/>
      <c r="Q67" s="53"/>
      <c r="W67" s="40"/>
    </row>
    <row r="68" spans="4:23" x14ac:dyDescent="0.2">
      <c r="D68" s="95"/>
      <c r="E68" s="94"/>
      <c r="F68" s="94"/>
      <c r="G68" s="94"/>
      <c r="H68" s="94"/>
      <c r="I68" s="94"/>
      <c r="J68" s="94"/>
      <c r="K68" s="94"/>
      <c r="L68" s="94"/>
      <c r="M68" s="94"/>
      <c r="N68" s="94"/>
      <c r="P68" s="53"/>
      <c r="Q68" s="53"/>
      <c r="W68" s="40"/>
    </row>
    <row r="69" spans="4:23" x14ac:dyDescent="0.2">
      <c r="D69" s="95"/>
      <c r="E69" s="94"/>
      <c r="F69" s="94"/>
      <c r="G69" s="94"/>
      <c r="H69" s="94"/>
      <c r="I69" s="94"/>
      <c r="J69" s="94"/>
      <c r="K69" s="94"/>
      <c r="L69" s="94"/>
      <c r="M69" s="94"/>
      <c r="N69" s="94"/>
      <c r="P69" s="53"/>
      <c r="Q69" s="53"/>
      <c r="W69" s="40"/>
    </row>
    <row r="70" spans="4:23" x14ac:dyDescent="0.2">
      <c r="D70" s="95"/>
      <c r="E70" s="94"/>
      <c r="F70" s="94"/>
      <c r="G70" s="94"/>
      <c r="H70" s="94"/>
      <c r="I70" s="94"/>
      <c r="J70" s="94"/>
      <c r="K70" s="94"/>
      <c r="L70" s="94"/>
      <c r="M70" s="94"/>
      <c r="N70" s="94"/>
      <c r="P70" s="53"/>
      <c r="Q70" s="53"/>
      <c r="W70" s="40"/>
    </row>
    <row r="71" spans="4:23" x14ac:dyDescent="0.2"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P71" s="53"/>
      <c r="Q71" s="53"/>
      <c r="W71" s="40"/>
    </row>
    <row r="72" spans="4:23" x14ac:dyDescent="0.2">
      <c r="D72" s="95"/>
      <c r="E72" s="94"/>
      <c r="F72" s="94"/>
      <c r="G72" s="94"/>
      <c r="H72" s="94"/>
      <c r="I72" s="94"/>
      <c r="J72" s="94"/>
      <c r="K72" s="94"/>
      <c r="L72" s="94"/>
      <c r="M72" s="94"/>
      <c r="N72" s="94"/>
      <c r="P72" s="53"/>
      <c r="Q72" s="53"/>
      <c r="W72" s="40"/>
    </row>
    <row r="73" spans="4:23" x14ac:dyDescent="0.2">
      <c r="D73" s="95"/>
      <c r="E73" s="94"/>
      <c r="F73" s="94"/>
      <c r="G73" s="94"/>
      <c r="H73" s="94"/>
      <c r="I73" s="94"/>
      <c r="J73" s="94"/>
      <c r="K73" s="94"/>
      <c r="L73" s="94"/>
      <c r="M73" s="94"/>
      <c r="N73" s="94"/>
      <c r="P73" s="53"/>
      <c r="Q73" s="53"/>
      <c r="W73" s="40"/>
    </row>
    <row r="74" spans="4:23" x14ac:dyDescent="0.2">
      <c r="D74" s="95"/>
      <c r="E74" s="94"/>
      <c r="F74" s="94"/>
      <c r="G74" s="94"/>
      <c r="H74" s="94"/>
      <c r="I74" s="94"/>
      <c r="J74" s="94"/>
      <c r="K74" s="94"/>
      <c r="L74" s="94"/>
      <c r="M74" s="94"/>
      <c r="N74" s="94"/>
      <c r="P74" s="53"/>
      <c r="Q74" s="53"/>
      <c r="W74" s="40"/>
    </row>
    <row r="75" spans="4:23" x14ac:dyDescent="0.2">
      <c r="D75" s="95"/>
      <c r="E75" s="94"/>
      <c r="F75" s="94"/>
      <c r="G75" s="94"/>
      <c r="H75" s="94"/>
      <c r="I75" s="94"/>
      <c r="J75" s="94"/>
      <c r="K75" s="94"/>
      <c r="L75" s="94"/>
      <c r="M75" s="94"/>
      <c r="N75" s="94"/>
      <c r="P75" s="53"/>
      <c r="Q75" s="53"/>
      <c r="W75" s="40"/>
    </row>
    <row r="76" spans="4:23" x14ac:dyDescent="0.2">
      <c r="D76" s="95"/>
      <c r="E76" s="94"/>
      <c r="F76" s="94"/>
      <c r="G76" s="94"/>
      <c r="H76" s="94"/>
      <c r="I76" s="94"/>
      <c r="J76" s="94"/>
      <c r="K76" s="94"/>
      <c r="L76" s="94"/>
      <c r="M76" s="94"/>
      <c r="N76" s="94"/>
      <c r="P76" s="53"/>
      <c r="Q76" s="53"/>
      <c r="W76" s="40"/>
    </row>
    <row r="77" spans="4:23" x14ac:dyDescent="0.2">
      <c r="D77" s="95"/>
      <c r="E77" s="94"/>
      <c r="F77" s="94"/>
      <c r="G77" s="94"/>
      <c r="H77" s="94"/>
      <c r="I77" s="94"/>
      <c r="J77" s="94"/>
      <c r="K77" s="94"/>
      <c r="L77" s="94"/>
      <c r="M77" s="94"/>
      <c r="N77" s="94"/>
      <c r="P77" s="53"/>
      <c r="Q77" s="53"/>
      <c r="W77" s="40"/>
    </row>
    <row r="78" spans="4:23" x14ac:dyDescent="0.2">
      <c r="D78" s="95"/>
      <c r="E78" s="94"/>
      <c r="F78" s="94"/>
      <c r="G78" s="94"/>
      <c r="H78" s="94"/>
      <c r="I78" s="94"/>
      <c r="J78" s="94"/>
      <c r="K78" s="94"/>
      <c r="L78" s="94"/>
      <c r="M78" s="94"/>
      <c r="N78" s="94"/>
      <c r="P78" s="53"/>
      <c r="Q78" s="53"/>
      <c r="W78" s="40"/>
    </row>
    <row r="79" spans="4:23" x14ac:dyDescent="0.2">
      <c r="D79" s="95"/>
      <c r="E79" s="94"/>
      <c r="F79" s="94"/>
      <c r="G79" s="94"/>
      <c r="H79" s="94"/>
      <c r="I79" s="94"/>
      <c r="J79" s="94"/>
      <c r="K79" s="94"/>
      <c r="L79" s="94"/>
      <c r="M79" s="94"/>
      <c r="N79" s="94"/>
      <c r="P79" s="53"/>
      <c r="Q79" s="53"/>
      <c r="W79" s="40"/>
    </row>
    <row r="80" spans="4:23" x14ac:dyDescent="0.2">
      <c r="D80" s="95"/>
      <c r="E80" s="94"/>
      <c r="F80" s="94"/>
      <c r="G80" s="94"/>
      <c r="H80" s="94"/>
      <c r="I80" s="94"/>
      <c r="J80" s="94"/>
      <c r="K80" s="94"/>
      <c r="L80" s="94"/>
      <c r="M80" s="94"/>
      <c r="N80" s="94"/>
      <c r="P80" s="53"/>
      <c r="Q80" s="53"/>
      <c r="W80" s="40"/>
    </row>
    <row r="81" spans="4:23" x14ac:dyDescent="0.2">
      <c r="D81" s="95"/>
      <c r="E81" s="94"/>
      <c r="F81" s="94"/>
      <c r="G81" s="94"/>
      <c r="H81" s="94"/>
      <c r="I81" s="94"/>
      <c r="J81" s="94"/>
      <c r="K81" s="94"/>
      <c r="L81" s="94"/>
      <c r="M81" s="94"/>
      <c r="N81" s="94"/>
      <c r="P81" s="53"/>
      <c r="Q81" s="53"/>
      <c r="W81" s="40"/>
    </row>
    <row r="82" spans="4:23" x14ac:dyDescent="0.2">
      <c r="D82" s="95"/>
      <c r="E82" s="94"/>
      <c r="F82" s="94"/>
      <c r="G82" s="94"/>
      <c r="H82" s="94"/>
      <c r="I82" s="94"/>
      <c r="J82" s="94"/>
      <c r="K82" s="94"/>
      <c r="L82" s="94"/>
      <c r="M82" s="94"/>
      <c r="N82" s="94"/>
      <c r="P82" s="53"/>
      <c r="Q82" s="53"/>
      <c r="W82" s="40"/>
    </row>
    <row r="83" spans="4:23" x14ac:dyDescent="0.2">
      <c r="D83" s="95"/>
      <c r="E83" s="94"/>
      <c r="F83" s="94"/>
      <c r="G83" s="94"/>
      <c r="H83" s="94"/>
      <c r="I83" s="94"/>
      <c r="J83" s="94"/>
      <c r="K83" s="94"/>
      <c r="L83" s="94"/>
      <c r="M83" s="94"/>
      <c r="N83" s="94"/>
      <c r="P83" s="53"/>
      <c r="Q83" s="53"/>
      <c r="W83" s="40"/>
    </row>
    <row r="84" spans="4:23" x14ac:dyDescent="0.2">
      <c r="D84" s="95"/>
      <c r="E84" s="94"/>
      <c r="F84" s="94"/>
      <c r="G84" s="94"/>
      <c r="H84" s="94"/>
      <c r="I84" s="94"/>
      <c r="J84" s="94"/>
      <c r="K84" s="94"/>
      <c r="L84" s="94"/>
      <c r="M84" s="94"/>
      <c r="N84" s="94"/>
      <c r="P84" s="53"/>
      <c r="Q84" s="53"/>
      <c r="W84" s="40"/>
    </row>
    <row r="85" spans="4:23" x14ac:dyDescent="0.2">
      <c r="D85" s="95"/>
      <c r="E85" s="94"/>
      <c r="F85" s="94"/>
      <c r="G85" s="94"/>
      <c r="H85" s="94"/>
      <c r="I85" s="94"/>
      <c r="J85" s="94"/>
      <c r="K85" s="94"/>
      <c r="L85" s="94"/>
      <c r="M85" s="94"/>
      <c r="N85" s="94"/>
      <c r="P85" s="53"/>
      <c r="Q85" s="53"/>
      <c r="W85" s="40"/>
    </row>
    <row r="86" spans="4:23" x14ac:dyDescent="0.2">
      <c r="D86" s="95"/>
      <c r="E86" s="94"/>
      <c r="F86" s="94"/>
      <c r="G86" s="94"/>
      <c r="H86" s="94"/>
      <c r="I86" s="94"/>
      <c r="J86" s="94"/>
      <c r="K86" s="94"/>
      <c r="L86" s="94"/>
      <c r="M86" s="94"/>
      <c r="N86" s="94"/>
      <c r="P86" s="53"/>
      <c r="Q86" s="53"/>
      <c r="W86" s="40"/>
    </row>
    <row r="87" spans="4:23" x14ac:dyDescent="0.2">
      <c r="D87" s="95"/>
      <c r="E87" s="94"/>
      <c r="F87" s="94"/>
      <c r="G87" s="94"/>
      <c r="H87" s="94"/>
      <c r="I87" s="94"/>
      <c r="J87" s="94"/>
      <c r="K87" s="94"/>
      <c r="L87" s="94"/>
      <c r="M87" s="94"/>
      <c r="N87" s="94"/>
      <c r="P87" s="53"/>
      <c r="Q87" s="53"/>
      <c r="W87" s="40"/>
    </row>
    <row r="88" spans="4:23" x14ac:dyDescent="0.2">
      <c r="D88" s="95"/>
      <c r="E88" s="94"/>
      <c r="F88" s="94"/>
      <c r="G88" s="94"/>
      <c r="H88" s="94"/>
      <c r="I88" s="94"/>
      <c r="J88" s="94"/>
      <c r="K88" s="94"/>
      <c r="L88" s="94"/>
      <c r="M88" s="94"/>
      <c r="N88" s="94"/>
      <c r="P88" s="53"/>
      <c r="Q88" s="53"/>
      <c r="W88" s="40"/>
    </row>
    <row r="89" spans="4:23" x14ac:dyDescent="0.2">
      <c r="D89" s="95"/>
      <c r="E89" s="94"/>
      <c r="F89" s="94"/>
      <c r="G89" s="94"/>
      <c r="H89" s="94"/>
      <c r="I89" s="94"/>
      <c r="J89" s="94"/>
      <c r="K89" s="94"/>
      <c r="L89" s="94"/>
      <c r="M89" s="94"/>
      <c r="N89" s="94"/>
      <c r="P89" s="53"/>
      <c r="Q89" s="53"/>
      <c r="W89" s="40"/>
    </row>
    <row r="90" spans="4:23" x14ac:dyDescent="0.2">
      <c r="D90" s="95"/>
      <c r="E90" s="94"/>
      <c r="F90" s="94"/>
      <c r="G90" s="94"/>
      <c r="H90" s="94"/>
      <c r="I90" s="94"/>
      <c r="J90" s="94"/>
      <c r="K90" s="94"/>
      <c r="L90" s="94"/>
      <c r="M90" s="94"/>
      <c r="N90" s="94"/>
      <c r="P90" s="53"/>
      <c r="Q90" s="53"/>
      <c r="W90" s="40"/>
    </row>
    <row r="91" spans="4:23" x14ac:dyDescent="0.2">
      <c r="D91" s="95"/>
      <c r="E91" s="94"/>
      <c r="F91" s="94"/>
      <c r="G91" s="94"/>
      <c r="H91" s="94"/>
      <c r="I91" s="94"/>
      <c r="J91" s="94"/>
      <c r="K91" s="94"/>
      <c r="L91" s="94"/>
      <c r="M91" s="94"/>
      <c r="N91" s="94"/>
      <c r="P91" s="53"/>
      <c r="Q91" s="53"/>
      <c r="W91" s="40"/>
    </row>
    <row r="92" spans="4:23" x14ac:dyDescent="0.2">
      <c r="D92" s="95"/>
      <c r="E92" s="94"/>
      <c r="F92" s="94"/>
      <c r="G92" s="94"/>
      <c r="H92" s="94"/>
      <c r="I92" s="94"/>
      <c r="J92" s="94"/>
      <c r="K92" s="94"/>
      <c r="L92" s="94"/>
      <c r="M92" s="94"/>
      <c r="N92" s="94"/>
      <c r="P92" s="53"/>
      <c r="Q92" s="53"/>
      <c r="W92" s="40"/>
    </row>
    <row r="93" spans="4:23" x14ac:dyDescent="0.2">
      <c r="D93" s="95"/>
      <c r="E93" s="94"/>
      <c r="F93" s="94"/>
      <c r="G93" s="94"/>
      <c r="H93" s="94"/>
      <c r="I93" s="94"/>
      <c r="J93" s="94"/>
      <c r="K93" s="94"/>
      <c r="L93" s="94"/>
      <c r="M93" s="94"/>
      <c r="N93" s="94"/>
      <c r="P93" s="53"/>
      <c r="Q93" s="53"/>
      <c r="W93" s="40"/>
    </row>
    <row r="94" spans="4:23" x14ac:dyDescent="0.2">
      <c r="D94" s="95"/>
      <c r="E94" s="94"/>
      <c r="F94" s="94"/>
      <c r="G94" s="94"/>
      <c r="H94" s="94"/>
      <c r="I94" s="94"/>
      <c r="J94" s="94"/>
      <c r="K94" s="94"/>
      <c r="L94" s="94"/>
      <c r="M94" s="94"/>
      <c r="N94" s="94"/>
      <c r="P94" s="53"/>
      <c r="Q94" s="53"/>
      <c r="W94" s="40"/>
    </row>
    <row r="95" spans="4:23" x14ac:dyDescent="0.2">
      <c r="D95" s="95"/>
      <c r="E95" s="94"/>
      <c r="F95" s="94"/>
      <c r="G95" s="94"/>
      <c r="H95" s="94"/>
      <c r="I95" s="94"/>
      <c r="J95" s="94"/>
      <c r="K95" s="94"/>
      <c r="L95" s="94"/>
      <c r="M95" s="94"/>
      <c r="N95" s="94"/>
      <c r="P95" s="53"/>
      <c r="Q95" s="53"/>
      <c r="W95" s="40"/>
    </row>
    <row r="96" spans="4:23" x14ac:dyDescent="0.2">
      <c r="D96" s="95"/>
      <c r="E96" s="94"/>
      <c r="F96" s="94"/>
      <c r="G96" s="94"/>
      <c r="H96" s="94"/>
      <c r="I96" s="94"/>
      <c r="J96" s="94"/>
      <c r="K96" s="94"/>
      <c r="L96" s="94"/>
      <c r="M96" s="94"/>
      <c r="N96" s="94"/>
      <c r="P96" s="53"/>
      <c r="Q96" s="53"/>
      <c r="W96" s="40"/>
    </row>
    <row r="97" spans="4:23" x14ac:dyDescent="0.2">
      <c r="D97" s="95"/>
      <c r="E97" s="94"/>
      <c r="F97" s="94"/>
      <c r="G97" s="94"/>
      <c r="H97" s="94"/>
      <c r="I97" s="94"/>
      <c r="J97" s="94"/>
      <c r="K97" s="94"/>
      <c r="L97" s="94"/>
      <c r="M97" s="94"/>
      <c r="N97" s="94"/>
      <c r="P97" s="53"/>
      <c r="Q97" s="53"/>
      <c r="W97" s="40"/>
    </row>
    <row r="98" spans="4:23" x14ac:dyDescent="0.2">
      <c r="D98" s="95"/>
      <c r="E98" s="94"/>
      <c r="F98" s="94"/>
      <c r="G98" s="94"/>
      <c r="H98" s="94"/>
      <c r="I98" s="94"/>
      <c r="J98" s="94"/>
      <c r="K98" s="94"/>
      <c r="L98" s="94"/>
      <c r="M98" s="94"/>
      <c r="N98" s="94"/>
      <c r="P98" s="53"/>
      <c r="Q98" s="53"/>
      <c r="W98" s="40"/>
    </row>
    <row r="99" spans="4:23" x14ac:dyDescent="0.2">
      <c r="D99" s="95"/>
      <c r="E99" s="94"/>
      <c r="F99" s="94"/>
      <c r="G99" s="94"/>
      <c r="H99" s="94"/>
      <c r="I99" s="94"/>
      <c r="J99" s="94"/>
      <c r="K99" s="94"/>
      <c r="L99" s="94"/>
      <c r="M99" s="94"/>
      <c r="N99" s="94"/>
      <c r="P99" s="53"/>
      <c r="Q99" s="53"/>
      <c r="W99" s="40"/>
    </row>
    <row r="100" spans="4:23" x14ac:dyDescent="0.2">
      <c r="D100" s="95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P100" s="53"/>
      <c r="Q100" s="53"/>
      <c r="W100" s="40"/>
    </row>
    <row r="101" spans="4:23" x14ac:dyDescent="0.2">
      <c r="D101" s="95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P101" s="53"/>
      <c r="Q101" s="53"/>
      <c r="W101" s="40"/>
    </row>
    <row r="102" spans="4:23" x14ac:dyDescent="0.2">
      <c r="D102" s="95"/>
      <c r="E102" s="94"/>
      <c r="F102" s="94"/>
      <c r="G102" s="94"/>
      <c r="H102" s="94"/>
      <c r="I102" s="94"/>
      <c r="J102" s="94"/>
      <c r="K102" s="94"/>
      <c r="L102" s="94"/>
      <c r="M102" s="94"/>
      <c r="N102" s="94"/>
      <c r="P102" s="53"/>
      <c r="Q102" s="53"/>
      <c r="W102" s="40"/>
    </row>
    <row r="103" spans="4:23" x14ac:dyDescent="0.2"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P103" s="53"/>
      <c r="Q103" s="53"/>
      <c r="W103" s="40"/>
    </row>
    <row r="104" spans="4:23" x14ac:dyDescent="0.2">
      <c r="D104" s="95"/>
      <c r="E104" s="94"/>
      <c r="F104" s="94"/>
      <c r="G104" s="94"/>
      <c r="H104" s="94"/>
      <c r="I104" s="94"/>
      <c r="J104" s="94"/>
      <c r="K104" s="94"/>
      <c r="L104" s="94"/>
      <c r="M104" s="94"/>
      <c r="N104" s="94"/>
      <c r="P104" s="53"/>
      <c r="Q104" s="53"/>
      <c r="W104" s="40"/>
    </row>
    <row r="105" spans="4:23" x14ac:dyDescent="0.2">
      <c r="D105" s="95"/>
      <c r="E105" s="94"/>
      <c r="F105" s="94"/>
      <c r="G105" s="94"/>
      <c r="H105" s="94"/>
      <c r="I105" s="94"/>
      <c r="J105" s="94"/>
      <c r="K105" s="94"/>
      <c r="L105" s="94"/>
      <c r="M105" s="94"/>
      <c r="N105" s="94"/>
      <c r="P105" s="53"/>
      <c r="Q105" s="53"/>
      <c r="W105" s="40"/>
    </row>
    <row r="106" spans="4:23" x14ac:dyDescent="0.2">
      <c r="D106" s="95"/>
      <c r="E106" s="94"/>
      <c r="F106" s="94"/>
      <c r="G106" s="94"/>
      <c r="H106" s="94"/>
      <c r="I106" s="94"/>
      <c r="J106" s="94"/>
      <c r="K106" s="94"/>
      <c r="L106" s="94"/>
      <c r="M106" s="94"/>
      <c r="N106" s="94"/>
      <c r="P106" s="53"/>
      <c r="Q106" s="53"/>
      <c r="W106" s="40"/>
    </row>
    <row r="107" spans="4:23" x14ac:dyDescent="0.2">
      <c r="D107" s="95"/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P107" s="53"/>
      <c r="Q107" s="53"/>
      <c r="W107" s="40"/>
    </row>
    <row r="108" spans="4:23" x14ac:dyDescent="0.2">
      <c r="D108" s="95"/>
      <c r="E108" s="94"/>
      <c r="F108" s="94"/>
      <c r="G108" s="94"/>
      <c r="H108" s="94"/>
      <c r="I108" s="94"/>
      <c r="J108" s="94"/>
      <c r="K108" s="94"/>
      <c r="L108" s="94"/>
      <c r="M108" s="94"/>
      <c r="N108" s="94"/>
      <c r="P108" s="53"/>
      <c r="Q108" s="53"/>
      <c r="W108" s="40"/>
    </row>
    <row r="109" spans="4:23" x14ac:dyDescent="0.2">
      <c r="D109" s="95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P109" s="53"/>
      <c r="Q109" s="53"/>
      <c r="W109" s="40"/>
    </row>
    <row r="110" spans="4:23" x14ac:dyDescent="0.2">
      <c r="D110" s="95"/>
      <c r="E110" s="94"/>
      <c r="F110" s="94"/>
      <c r="G110" s="94"/>
      <c r="H110" s="94"/>
      <c r="I110" s="94"/>
      <c r="J110" s="94"/>
      <c r="K110" s="94"/>
      <c r="L110" s="94"/>
      <c r="M110" s="94"/>
      <c r="N110" s="94"/>
      <c r="P110" s="53"/>
      <c r="Q110" s="53"/>
      <c r="W110" s="40"/>
    </row>
    <row r="111" spans="4:23" x14ac:dyDescent="0.2">
      <c r="D111" s="95"/>
      <c r="E111" s="94"/>
      <c r="F111" s="94"/>
      <c r="G111" s="94"/>
      <c r="H111" s="94"/>
      <c r="I111" s="94"/>
      <c r="J111" s="94"/>
      <c r="K111" s="94"/>
      <c r="L111" s="94"/>
      <c r="M111" s="94"/>
      <c r="N111" s="94"/>
      <c r="P111" s="53"/>
      <c r="Q111" s="53"/>
      <c r="W111" s="40"/>
    </row>
    <row r="112" spans="4:23" x14ac:dyDescent="0.2">
      <c r="D112" s="95"/>
      <c r="E112" s="94"/>
      <c r="F112" s="94"/>
      <c r="G112" s="94"/>
      <c r="H112" s="94"/>
      <c r="I112" s="94"/>
      <c r="J112" s="94"/>
      <c r="K112" s="94"/>
      <c r="L112" s="94"/>
      <c r="M112" s="94"/>
      <c r="N112" s="94"/>
      <c r="P112" s="53"/>
      <c r="Q112" s="53"/>
      <c r="W112" s="40"/>
    </row>
    <row r="113" spans="4:23" x14ac:dyDescent="0.2">
      <c r="D113" s="95"/>
      <c r="E113" s="94"/>
      <c r="F113" s="94"/>
      <c r="G113" s="94"/>
      <c r="H113" s="94"/>
      <c r="I113" s="94"/>
      <c r="J113" s="94"/>
      <c r="K113" s="94"/>
      <c r="L113" s="94"/>
      <c r="M113" s="94"/>
      <c r="N113" s="94"/>
      <c r="P113" s="53"/>
      <c r="Q113" s="53"/>
      <c r="W113" s="40"/>
    </row>
    <row r="114" spans="4:23" x14ac:dyDescent="0.2">
      <c r="D114" s="95"/>
      <c r="E114" s="94"/>
      <c r="F114" s="94"/>
      <c r="G114" s="94"/>
      <c r="H114" s="94"/>
      <c r="I114" s="94"/>
      <c r="J114" s="94"/>
      <c r="K114" s="94"/>
      <c r="L114" s="94"/>
      <c r="M114" s="94"/>
      <c r="N114" s="94"/>
      <c r="P114" s="53"/>
      <c r="Q114" s="53"/>
      <c r="W114" s="40"/>
    </row>
    <row r="115" spans="4:23" x14ac:dyDescent="0.2">
      <c r="D115" s="95"/>
      <c r="E115" s="94"/>
      <c r="F115" s="94"/>
      <c r="G115" s="94"/>
      <c r="H115" s="94"/>
      <c r="I115" s="94"/>
      <c r="J115" s="94"/>
      <c r="K115" s="94"/>
      <c r="L115" s="94"/>
      <c r="M115" s="94"/>
      <c r="N115" s="94"/>
      <c r="P115" s="53"/>
      <c r="Q115" s="53"/>
      <c r="W115" s="40"/>
    </row>
    <row r="116" spans="4:23" x14ac:dyDescent="0.2">
      <c r="D116" s="95"/>
      <c r="E116" s="94"/>
      <c r="F116" s="94"/>
      <c r="G116" s="94"/>
      <c r="H116" s="94"/>
      <c r="I116" s="94"/>
      <c r="J116" s="94"/>
      <c r="K116" s="94"/>
      <c r="L116" s="94"/>
      <c r="M116" s="94"/>
      <c r="N116" s="94"/>
      <c r="P116" s="53"/>
      <c r="Q116" s="53"/>
      <c r="W116" s="40"/>
    </row>
    <row r="117" spans="4:23" x14ac:dyDescent="0.2">
      <c r="D117" s="95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P117" s="53"/>
      <c r="Q117" s="53"/>
      <c r="W117" s="40"/>
    </row>
    <row r="118" spans="4:23" x14ac:dyDescent="0.2">
      <c r="D118" s="95"/>
      <c r="E118" s="94"/>
      <c r="F118" s="94"/>
      <c r="G118" s="94"/>
      <c r="H118" s="94"/>
      <c r="I118" s="94"/>
      <c r="J118" s="94"/>
      <c r="K118" s="94"/>
      <c r="L118" s="94"/>
      <c r="M118" s="94"/>
      <c r="N118" s="94"/>
      <c r="P118" s="53"/>
      <c r="Q118" s="53"/>
      <c r="W118" s="40"/>
    </row>
    <row r="119" spans="4:23" x14ac:dyDescent="0.2">
      <c r="D119" s="95"/>
      <c r="E119" s="94"/>
      <c r="F119" s="94"/>
      <c r="G119" s="94"/>
      <c r="H119" s="94"/>
      <c r="I119" s="94"/>
      <c r="J119" s="94"/>
      <c r="K119" s="94"/>
      <c r="L119" s="94"/>
      <c r="M119" s="94"/>
      <c r="N119" s="94"/>
      <c r="P119" s="53"/>
      <c r="Q119" s="53"/>
      <c r="W119" s="40"/>
    </row>
    <row r="120" spans="4:23" x14ac:dyDescent="0.2">
      <c r="D120" s="95"/>
      <c r="E120" s="94"/>
      <c r="F120" s="94"/>
      <c r="G120" s="94"/>
      <c r="H120" s="94"/>
      <c r="I120" s="94"/>
      <c r="J120" s="94"/>
      <c r="K120" s="94"/>
      <c r="L120" s="94"/>
      <c r="M120" s="94"/>
      <c r="N120" s="94"/>
      <c r="P120" s="53"/>
      <c r="Q120" s="53"/>
      <c r="W120" s="40"/>
    </row>
    <row r="121" spans="4:23" x14ac:dyDescent="0.2">
      <c r="D121" s="95"/>
      <c r="E121" s="94"/>
      <c r="F121" s="94"/>
      <c r="G121" s="94"/>
      <c r="H121" s="94"/>
      <c r="I121" s="94"/>
      <c r="J121" s="94"/>
      <c r="K121" s="94"/>
      <c r="L121" s="94"/>
      <c r="M121" s="94"/>
      <c r="N121" s="94"/>
      <c r="P121" s="53"/>
      <c r="Q121" s="53"/>
      <c r="W121" s="40"/>
    </row>
    <row r="122" spans="4:23" x14ac:dyDescent="0.2">
      <c r="D122" s="95"/>
      <c r="E122" s="94"/>
      <c r="F122" s="94"/>
      <c r="G122" s="94"/>
      <c r="H122" s="94"/>
      <c r="I122" s="94"/>
      <c r="J122" s="94"/>
      <c r="K122" s="94"/>
      <c r="L122" s="94"/>
      <c r="M122" s="94"/>
      <c r="N122" s="94"/>
      <c r="P122" s="53"/>
      <c r="Q122" s="53"/>
      <c r="W122" s="40"/>
    </row>
    <row r="123" spans="4:23" x14ac:dyDescent="0.2">
      <c r="D123" s="95"/>
      <c r="E123" s="94"/>
      <c r="F123" s="94"/>
      <c r="G123" s="94"/>
      <c r="H123" s="94"/>
      <c r="I123" s="94"/>
      <c r="J123" s="94"/>
      <c r="K123" s="94"/>
      <c r="L123" s="94"/>
      <c r="M123" s="94"/>
      <c r="N123" s="94"/>
      <c r="P123" s="53"/>
      <c r="Q123" s="53"/>
      <c r="W123" s="40"/>
    </row>
    <row r="124" spans="4:23" x14ac:dyDescent="0.2">
      <c r="D124" s="95"/>
      <c r="E124" s="94"/>
      <c r="F124" s="94"/>
      <c r="G124" s="94"/>
      <c r="H124" s="94"/>
      <c r="I124" s="94"/>
      <c r="J124" s="94"/>
      <c r="K124" s="94"/>
      <c r="L124" s="94"/>
      <c r="M124" s="94"/>
      <c r="N124" s="94"/>
      <c r="P124" s="53"/>
      <c r="Q124" s="53"/>
      <c r="W124" s="40"/>
    </row>
    <row r="125" spans="4:23" x14ac:dyDescent="0.2">
      <c r="D125" s="95"/>
      <c r="E125" s="94"/>
      <c r="F125" s="94"/>
      <c r="G125" s="94"/>
      <c r="H125" s="94"/>
      <c r="I125" s="94"/>
      <c r="J125" s="94"/>
      <c r="K125" s="94"/>
      <c r="L125" s="94"/>
      <c r="M125" s="94"/>
      <c r="N125" s="94"/>
      <c r="P125" s="53"/>
      <c r="Q125" s="53"/>
      <c r="W125" s="40"/>
    </row>
    <row r="126" spans="4:23" x14ac:dyDescent="0.2">
      <c r="D126" s="95"/>
      <c r="E126" s="94"/>
      <c r="F126" s="94"/>
      <c r="G126" s="94"/>
      <c r="H126" s="94"/>
      <c r="I126" s="94"/>
      <c r="J126" s="94"/>
      <c r="K126" s="94"/>
      <c r="L126" s="94"/>
      <c r="M126" s="94"/>
      <c r="N126" s="94"/>
      <c r="P126" s="53"/>
      <c r="Q126" s="53"/>
      <c r="W126" s="40"/>
    </row>
    <row r="127" spans="4:23" x14ac:dyDescent="0.2">
      <c r="D127" s="95"/>
      <c r="E127" s="94"/>
      <c r="F127" s="94"/>
      <c r="G127" s="94"/>
      <c r="H127" s="94"/>
      <c r="I127" s="94"/>
      <c r="J127" s="94"/>
      <c r="K127" s="94"/>
      <c r="L127" s="94"/>
      <c r="M127" s="94"/>
      <c r="N127" s="94"/>
      <c r="P127" s="53"/>
      <c r="Q127" s="53"/>
      <c r="W127" s="40"/>
    </row>
    <row r="128" spans="4:23" x14ac:dyDescent="0.2">
      <c r="D128" s="95"/>
      <c r="E128" s="94"/>
      <c r="F128" s="94"/>
      <c r="G128" s="94"/>
      <c r="H128" s="94"/>
      <c r="I128" s="94"/>
      <c r="J128" s="94"/>
      <c r="K128" s="94"/>
      <c r="L128" s="94"/>
      <c r="M128" s="94"/>
      <c r="N128" s="94"/>
      <c r="P128" s="53"/>
      <c r="Q128" s="53"/>
      <c r="W128" s="40"/>
    </row>
    <row r="129" spans="4:23" x14ac:dyDescent="0.2">
      <c r="D129" s="95"/>
      <c r="E129" s="94"/>
      <c r="F129" s="94"/>
      <c r="G129" s="94"/>
      <c r="H129" s="94"/>
      <c r="I129" s="94"/>
      <c r="J129" s="94"/>
      <c r="K129" s="94"/>
      <c r="L129" s="94"/>
      <c r="M129" s="94"/>
      <c r="N129" s="94"/>
      <c r="P129" s="53"/>
      <c r="Q129" s="53"/>
      <c r="W129" s="40"/>
    </row>
    <row r="130" spans="4:23" x14ac:dyDescent="0.2">
      <c r="D130" s="95"/>
      <c r="E130" s="94"/>
      <c r="F130" s="94"/>
      <c r="G130" s="94"/>
      <c r="H130" s="94"/>
      <c r="I130" s="94"/>
      <c r="J130" s="94"/>
      <c r="K130" s="94"/>
      <c r="L130" s="94"/>
      <c r="M130" s="94"/>
      <c r="N130" s="94"/>
      <c r="P130" s="53"/>
      <c r="Q130" s="53"/>
      <c r="W130" s="40"/>
    </row>
    <row r="131" spans="4:23" x14ac:dyDescent="0.2">
      <c r="D131" s="95"/>
      <c r="E131" s="94"/>
      <c r="F131" s="94"/>
      <c r="G131" s="94"/>
      <c r="H131" s="94"/>
      <c r="I131" s="94"/>
      <c r="J131" s="94"/>
      <c r="K131" s="94"/>
      <c r="L131" s="94"/>
      <c r="M131" s="94"/>
      <c r="N131" s="94"/>
      <c r="P131" s="53"/>
      <c r="Q131" s="53"/>
      <c r="W131" s="40"/>
    </row>
    <row r="132" spans="4:23" x14ac:dyDescent="0.2">
      <c r="D132" s="95"/>
      <c r="E132" s="94"/>
      <c r="F132" s="94"/>
      <c r="G132" s="94"/>
      <c r="H132" s="94"/>
      <c r="I132" s="94"/>
      <c r="J132" s="94"/>
      <c r="K132" s="94"/>
      <c r="L132" s="94"/>
      <c r="M132" s="94"/>
      <c r="N132" s="94"/>
      <c r="P132" s="53"/>
      <c r="Q132" s="53"/>
      <c r="W132" s="40"/>
    </row>
    <row r="133" spans="4:23" x14ac:dyDescent="0.2">
      <c r="D133" s="95"/>
      <c r="E133" s="94"/>
      <c r="F133" s="94"/>
      <c r="G133" s="94"/>
      <c r="H133" s="94"/>
      <c r="I133" s="94"/>
      <c r="J133" s="94"/>
      <c r="K133" s="94"/>
      <c r="L133" s="94"/>
      <c r="M133" s="94"/>
      <c r="N133" s="94"/>
      <c r="P133" s="53"/>
      <c r="Q133" s="53"/>
      <c r="W133" s="40"/>
    </row>
    <row r="134" spans="4:23" x14ac:dyDescent="0.2">
      <c r="D134" s="95"/>
      <c r="E134" s="94"/>
      <c r="F134" s="94"/>
      <c r="G134" s="94"/>
      <c r="H134" s="94"/>
      <c r="I134" s="94"/>
      <c r="J134" s="94"/>
      <c r="K134" s="94"/>
      <c r="L134" s="94"/>
      <c r="M134" s="94"/>
      <c r="N134" s="94"/>
      <c r="P134" s="53"/>
      <c r="Q134" s="53"/>
      <c r="W134" s="40"/>
    </row>
    <row r="135" spans="4:23" x14ac:dyDescent="0.2">
      <c r="D135" s="95"/>
      <c r="E135" s="94"/>
      <c r="F135" s="94"/>
      <c r="G135" s="94"/>
      <c r="H135" s="94"/>
      <c r="I135" s="94"/>
      <c r="J135" s="94"/>
      <c r="K135" s="94"/>
      <c r="L135" s="94"/>
      <c r="M135" s="94"/>
      <c r="N135" s="94"/>
      <c r="P135" s="53"/>
      <c r="Q135" s="53"/>
      <c r="W135" s="40"/>
    </row>
    <row r="136" spans="4:23" x14ac:dyDescent="0.2">
      <c r="D136" s="95"/>
      <c r="E136" s="94"/>
      <c r="F136" s="94"/>
      <c r="G136" s="94"/>
      <c r="H136" s="94"/>
      <c r="I136" s="94"/>
      <c r="J136" s="94"/>
      <c r="K136" s="94"/>
      <c r="L136" s="94"/>
      <c r="M136" s="94"/>
      <c r="N136" s="94"/>
      <c r="P136" s="53"/>
      <c r="Q136" s="53"/>
      <c r="W136" s="40"/>
    </row>
    <row r="137" spans="4:23" x14ac:dyDescent="0.2">
      <c r="D137" s="95"/>
      <c r="E137" s="94"/>
      <c r="F137" s="94"/>
      <c r="G137" s="94"/>
      <c r="H137" s="94"/>
      <c r="I137" s="94"/>
      <c r="J137" s="94"/>
      <c r="K137" s="94"/>
      <c r="L137" s="94"/>
      <c r="M137" s="94"/>
      <c r="N137" s="94"/>
      <c r="P137" s="53"/>
      <c r="Q137" s="53"/>
      <c r="W137" s="40"/>
    </row>
    <row r="138" spans="4:23" x14ac:dyDescent="0.2">
      <c r="D138" s="95"/>
      <c r="E138" s="94"/>
      <c r="F138" s="94"/>
      <c r="G138" s="94"/>
      <c r="H138" s="94"/>
      <c r="I138" s="94"/>
      <c r="J138" s="94"/>
      <c r="K138" s="94"/>
      <c r="L138" s="94"/>
      <c r="M138" s="94"/>
      <c r="N138" s="94"/>
      <c r="P138" s="53"/>
      <c r="Q138" s="53"/>
      <c r="W138" s="40"/>
    </row>
    <row r="139" spans="4:23" x14ac:dyDescent="0.2">
      <c r="D139" s="95"/>
      <c r="E139" s="94"/>
      <c r="F139" s="94"/>
      <c r="G139" s="94"/>
      <c r="H139" s="94"/>
      <c r="I139" s="94"/>
      <c r="J139" s="94"/>
      <c r="K139" s="94"/>
      <c r="L139" s="94"/>
      <c r="M139" s="94"/>
      <c r="N139" s="94"/>
      <c r="P139" s="53"/>
      <c r="Q139" s="53"/>
      <c r="W139" s="40"/>
    </row>
    <row r="140" spans="4:23" x14ac:dyDescent="0.2">
      <c r="D140" s="95"/>
      <c r="E140" s="94"/>
      <c r="F140" s="94"/>
      <c r="G140" s="94"/>
      <c r="H140" s="94"/>
      <c r="I140" s="94"/>
      <c r="J140" s="94"/>
      <c r="K140" s="94"/>
      <c r="L140" s="94"/>
      <c r="M140" s="94"/>
      <c r="N140" s="94"/>
      <c r="P140" s="53"/>
      <c r="Q140" s="53"/>
      <c r="W140" s="40"/>
    </row>
    <row r="141" spans="4:23" x14ac:dyDescent="0.2">
      <c r="D141" s="95"/>
      <c r="E141" s="94"/>
      <c r="F141" s="94"/>
      <c r="G141" s="94"/>
      <c r="H141" s="94"/>
      <c r="I141" s="94"/>
      <c r="J141" s="94"/>
      <c r="K141" s="94"/>
      <c r="L141" s="94"/>
      <c r="M141" s="94"/>
      <c r="N141" s="94"/>
      <c r="P141" s="53"/>
      <c r="Q141" s="53"/>
      <c r="W141" s="40"/>
    </row>
    <row r="142" spans="4:23" x14ac:dyDescent="0.2">
      <c r="D142" s="95"/>
      <c r="E142" s="94"/>
      <c r="F142" s="94"/>
      <c r="G142" s="94"/>
      <c r="H142" s="94"/>
      <c r="I142" s="94"/>
      <c r="J142" s="94"/>
      <c r="K142" s="94"/>
      <c r="L142" s="94"/>
      <c r="M142" s="94"/>
      <c r="N142" s="94"/>
      <c r="P142" s="53"/>
      <c r="Q142" s="53"/>
      <c r="W142" s="40"/>
    </row>
    <row r="143" spans="4:23" x14ac:dyDescent="0.2">
      <c r="D143" s="95"/>
      <c r="E143" s="94"/>
      <c r="F143" s="94"/>
      <c r="G143" s="94"/>
      <c r="H143" s="94"/>
      <c r="I143" s="94"/>
      <c r="J143" s="94"/>
      <c r="K143" s="94"/>
      <c r="L143" s="94"/>
      <c r="M143" s="94"/>
      <c r="N143" s="94"/>
      <c r="P143" s="53"/>
      <c r="Q143" s="53"/>
      <c r="W143" s="40"/>
    </row>
    <row r="144" spans="4:23" x14ac:dyDescent="0.2">
      <c r="D144" s="95"/>
      <c r="E144" s="94"/>
      <c r="F144" s="94"/>
      <c r="G144" s="94"/>
      <c r="H144" s="94"/>
      <c r="I144" s="94"/>
      <c r="J144" s="94"/>
      <c r="K144" s="94"/>
      <c r="L144" s="94"/>
      <c r="M144" s="94"/>
      <c r="N144" s="94"/>
      <c r="P144" s="53"/>
      <c r="Q144" s="53"/>
      <c r="W144" s="40"/>
    </row>
    <row r="145" spans="4:23" x14ac:dyDescent="0.2">
      <c r="D145" s="95"/>
      <c r="E145" s="94"/>
      <c r="F145" s="94"/>
      <c r="G145" s="94"/>
      <c r="H145" s="94"/>
      <c r="I145" s="94"/>
      <c r="J145" s="94"/>
      <c r="K145" s="94"/>
      <c r="L145" s="94"/>
      <c r="M145" s="94"/>
      <c r="N145" s="94"/>
      <c r="P145" s="53"/>
      <c r="Q145" s="53"/>
      <c r="W145" s="40"/>
    </row>
    <row r="146" spans="4:23" x14ac:dyDescent="0.2">
      <c r="D146" s="95"/>
      <c r="E146" s="94"/>
      <c r="F146" s="94"/>
      <c r="G146" s="94"/>
      <c r="H146" s="94"/>
      <c r="I146" s="94"/>
      <c r="J146" s="94"/>
      <c r="K146" s="94"/>
      <c r="L146" s="94"/>
      <c r="M146" s="94"/>
      <c r="N146" s="94"/>
      <c r="P146" s="53"/>
      <c r="Q146" s="53"/>
      <c r="W146" s="40"/>
    </row>
    <row r="147" spans="4:23" x14ac:dyDescent="0.2">
      <c r="D147" s="95"/>
      <c r="E147" s="94"/>
      <c r="F147" s="94"/>
      <c r="G147" s="94"/>
      <c r="H147" s="94"/>
      <c r="I147" s="94"/>
      <c r="J147" s="94"/>
      <c r="K147" s="94"/>
      <c r="L147" s="94"/>
      <c r="M147" s="94"/>
      <c r="N147" s="94"/>
      <c r="P147" s="53"/>
      <c r="Q147" s="53"/>
      <c r="W147" s="40"/>
    </row>
    <row r="148" spans="4:23" x14ac:dyDescent="0.2">
      <c r="D148" s="95"/>
      <c r="E148" s="94"/>
      <c r="F148" s="94"/>
      <c r="G148" s="94"/>
      <c r="H148" s="94"/>
      <c r="I148" s="94"/>
      <c r="J148" s="94"/>
      <c r="K148" s="94"/>
      <c r="L148" s="94"/>
      <c r="M148" s="94"/>
      <c r="N148" s="94"/>
      <c r="P148" s="53"/>
      <c r="Q148" s="53"/>
      <c r="W148" s="40"/>
    </row>
    <row r="149" spans="4:23" x14ac:dyDescent="0.2">
      <c r="D149" s="95"/>
      <c r="E149" s="94"/>
      <c r="F149" s="94"/>
      <c r="G149" s="94"/>
      <c r="H149" s="94"/>
      <c r="I149" s="94"/>
      <c r="J149" s="94"/>
      <c r="K149" s="94"/>
      <c r="L149" s="94"/>
      <c r="M149" s="94"/>
      <c r="N149" s="94"/>
      <c r="P149" s="53"/>
      <c r="Q149" s="53"/>
      <c r="W149" s="40"/>
    </row>
    <row r="150" spans="4:23" x14ac:dyDescent="0.2">
      <c r="D150" s="95"/>
      <c r="E150" s="94"/>
      <c r="F150" s="94"/>
      <c r="G150" s="94"/>
      <c r="H150" s="94"/>
      <c r="I150" s="94"/>
      <c r="J150" s="94"/>
      <c r="K150" s="94"/>
      <c r="L150" s="94"/>
      <c r="M150" s="94"/>
      <c r="N150" s="94"/>
      <c r="P150" s="53"/>
      <c r="Q150" s="53"/>
      <c r="W150" s="40"/>
    </row>
    <row r="151" spans="4:23" x14ac:dyDescent="0.2">
      <c r="D151" s="95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P151" s="53"/>
      <c r="Q151" s="53"/>
      <c r="W151" s="40"/>
    </row>
    <row r="152" spans="4:23" x14ac:dyDescent="0.2">
      <c r="D152" s="95"/>
      <c r="E152" s="94"/>
      <c r="F152" s="94"/>
      <c r="G152" s="94"/>
      <c r="H152" s="94"/>
      <c r="I152" s="94"/>
      <c r="J152" s="94"/>
      <c r="K152" s="94"/>
      <c r="L152" s="94"/>
      <c r="M152" s="94"/>
      <c r="N152" s="94"/>
      <c r="P152" s="53"/>
      <c r="Q152" s="53"/>
      <c r="W152" s="40"/>
    </row>
    <row r="153" spans="4:23" x14ac:dyDescent="0.2">
      <c r="D153" s="95"/>
      <c r="E153" s="94"/>
      <c r="F153" s="94"/>
      <c r="G153" s="94"/>
      <c r="H153" s="94"/>
      <c r="I153" s="94"/>
      <c r="J153" s="94"/>
      <c r="K153" s="94"/>
      <c r="L153" s="94"/>
      <c r="M153" s="94"/>
      <c r="N153" s="94"/>
      <c r="P153" s="53"/>
      <c r="Q153" s="53"/>
      <c r="W153" s="40"/>
    </row>
    <row r="154" spans="4:23" x14ac:dyDescent="0.2">
      <c r="D154" s="95"/>
      <c r="E154" s="94"/>
      <c r="F154" s="94"/>
      <c r="G154" s="94"/>
      <c r="H154" s="94"/>
      <c r="I154" s="94"/>
      <c r="J154" s="94"/>
      <c r="K154" s="94"/>
      <c r="L154" s="94"/>
      <c r="M154" s="94"/>
      <c r="N154" s="94"/>
      <c r="P154" s="53"/>
      <c r="Q154" s="53"/>
      <c r="W154" s="40"/>
    </row>
    <row r="155" spans="4:23" x14ac:dyDescent="0.2">
      <c r="D155" s="95"/>
      <c r="E155" s="94"/>
      <c r="F155" s="94"/>
      <c r="G155" s="94"/>
      <c r="H155" s="94"/>
      <c r="I155" s="94"/>
      <c r="J155" s="94"/>
      <c r="K155" s="94"/>
      <c r="L155" s="94"/>
      <c r="M155" s="94"/>
      <c r="N155" s="94"/>
      <c r="P155" s="53"/>
      <c r="Q155" s="53"/>
      <c r="W155" s="40"/>
    </row>
    <row r="156" spans="4:23" x14ac:dyDescent="0.2">
      <c r="D156" s="95"/>
      <c r="E156" s="94"/>
      <c r="F156" s="94"/>
      <c r="G156" s="94"/>
      <c r="H156" s="94"/>
      <c r="I156" s="94"/>
      <c r="J156" s="94"/>
      <c r="K156" s="94"/>
      <c r="L156" s="94"/>
      <c r="M156" s="94"/>
      <c r="N156" s="94"/>
      <c r="P156" s="53"/>
      <c r="Q156" s="53"/>
      <c r="W156" s="40"/>
    </row>
    <row r="157" spans="4:23" x14ac:dyDescent="0.2">
      <c r="D157" s="95"/>
      <c r="E157" s="94"/>
      <c r="F157" s="94"/>
      <c r="G157" s="94"/>
      <c r="H157" s="94"/>
      <c r="I157" s="94"/>
      <c r="J157" s="94"/>
      <c r="K157" s="94"/>
      <c r="L157" s="94"/>
      <c r="M157" s="94"/>
      <c r="N157" s="94"/>
      <c r="P157" s="53"/>
      <c r="Q157" s="53"/>
      <c r="W157" s="40"/>
    </row>
    <row r="158" spans="4:23" x14ac:dyDescent="0.2">
      <c r="D158" s="95"/>
      <c r="E158" s="94"/>
      <c r="F158" s="94"/>
      <c r="G158" s="94"/>
      <c r="H158" s="94"/>
      <c r="I158" s="94"/>
      <c r="J158" s="94"/>
      <c r="K158" s="94"/>
      <c r="L158" s="94"/>
      <c r="M158" s="94"/>
      <c r="N158" s="94"/>
      <c r="P158" s="53"/>
      <c r="Q158" s="53"/>
      <c r="W158" s="40"/>
    </row>
    <row r="159" spans="4:23" x14ac:dyDescent="0.2">
      <c r="D159" s="95"/>
      <c r="E159" s="94"/>
      <c r="F159" s="94"/>
      <c r="G159" s="94"/>
      <c r="H159" s="94"/>
      <c r="I159" s="94"/>
      <c r="J159" s="94"/>
      <c r="K159" s="94"/>
      <c r="L159" s="94"/>
      <c r="M159" s="94"/>
      <c r="N159" s="94"/>
      <c r="P159" s="53"/>
      <c r="Q159" s="53"/>
      <c r="W159" s="40"/>
    </row>
    <row r="160" spans="4:23" x14ac:dyDescent="0.2">
      <c r="D160" s="95"/>
      <c r="E160" s="94"/>
      <c r="F160" s="94"/>
      <c r="G160" s="94"/>
      <c r="H160" s="94"/>
      <c r="I160" s="94"/>
      <c r="J160" s="94"/>
      <c r="K160" s="94"/>
      <c r="L160" s="94"/>
      <c r="M160" s="94"/>
      <c r="N160" s="94"/>
      <c r="P160" s="53"/>
      <c r="Q160" s="53"/>
      <c r="W160" s="40"/>
    </row>
    <row r="161" spans="4:23" x14ac:dyDescent="0.2">
      <c r="D161" s="95"/>
      <c r="E161" s="94"/>
      <c r="F161" s="94"/>
      <c r="G161" s="94"/>
      <c r="H161" s="94"/>
      <c r="I161" s="94"/>
      <c r="J161" s="94"/>
      <c r="K161" s="94"/>
      <c r="L161" s="94"/>
      <c r="M161" s="94"/>
      <c r="N161" s="94"/>
      <c r="P161" s="53"/>
      <c r="Q161" s="53"/>
      <c r="W161" s="40"/>
    </row>
    <row r="162" spans="4:23" x14ac:dyDescent="0.2">
      <c r="D162" s="95"/>
      <c r="E162" s="94"/>
      <c r="F162" s="94"/>
      <c r="G162" s="94"/>
      <c r="H162" s="94"/>
      <c r="I162" s="94"/>
      <c r="J162" s="94"/>
      <c r="K162" s="94"/>
      <c r="L162" s="94"/>
      <c r="M162" s="94"/>
      <c r="N162" s="94"/>
      <c r="P162" s="53"/>
      <c r="Q162" s="53"/>
      <c r="W162" s="40"/>
    </row>
    <row r="163" spans="4:23" x14ac:dyDescent="0.2">
      <c r="D163" s="95"/>
      <c r="E163" s="94"/>
      <c r="F163" s="94"/>
      <c r="G163" s="94"/>
      <c r="H163" s="94"/>
      <c r="I163" s="94"/>
      <c r="J163" s="94"/>
      <c r="K163" s="94"/>
      <c r="L163" s="94"/>
      <c r="M163" s="94"/>
      <c r="N163" s="94"/>
      <c r="P163" s="53"/>
      <c r="Q163" s="53"/>
      <c r="W163" s="40"/>
    </row>
    <row r="164" spans="4:23" x14ac:dyDescent="0.2">
      <c r="D164" s="95"/>
      <c r="E164" s="94"/>
      <c r="F164" s="94"/>
      <c r="G164" s="94"/>
      <c r="H164" s="94"/>
      <c r="I164" s="94"/>
      <c r="J164" s="94"/>
      <c r="K164" s="94"/>
      <c r="L164" s="94"/>
      <c r="M164" s="94"/>
      <c r="N164" s="94"/>
      <c r="P164" s="53"/>
      <c r="Q164" s="53"/>
      <c r="W164" s="40"/>
    </row>
    <row r="165" spans="4:23" x14ac:dyDescent="0.2">
      <c r="D165" s="95"/>
      <c r="E165" s="94"/>
      <c r="F165" s="94"/>
      <c r="G165" s="94"/>
      <c r="H165" s="94"/>
      <c r="I165" s="94"/>
      <c r="J165" s="94"/>
      <c r="K165" s="94"/>
      <c r="L165" s="94"/>
      <c r="M165" s="94"/>
      <c r="N165" s="94"/>
      <c r="P165" s="53"/>
      <c r="Q165" s="53"/>
      <c r="W165" s="40"/>
    </row>
    <row r="166" spans="4:23" x14ac:dyDescent="0.2">
      <c r="D166" s="95"/>
      <c r="E166" s="94"/>
      <c r="F166" s="94"/>
      <c r="G166" s="94"/>
      <c r="H166" s="94"/>
      <c r="I166" s="94"/>
      <c r="J166" s="94"/>
      <c r="K166" s="94"/>
      <c r="L166" s="94"/>
      <c r="M166" s="94"/>
      <c r="N166" s="94"/>
      <c r="P166" s="53"/>
      <c r="Q166" s="53"/>
      <c r="W166" s="40"/>
    </row>
    <row r="167" spans="4:23" x14ac:dyDescent="0.2">
      <c r="D167" s="95"/>
      <c r="E167" s="94"/>
      <c r="F167" s="94"/>
      <c r="G167" s="94"/>
      <c r="H167" s="94"/>
      <c r="I167" s="94"/>
      <c r="J167" s="94"/>
      <c r="K167" s="94"/>
      <c r="L167" s="94"/>
      <c r="M167" s="94"/>
      <c r="N167" s="94"/>
      <c r="P167" s="53"/>
      <c r="Q167" s="53"/>
      <c r="W167" s="40"/>
    </row>
    <row r="168" spans="4:23" x14ac:dyDescent="0.2">
      <c r="D168" s="95"/>
      <c r="E168" s="94"/>
      <c r="F168" s="94"/>
      <c r="G168" s="94"/>
      <c r="H168" s="94"/>
      <c r="I168" s="94"/>
      <c r="J168" s="94"/>
      <c r="K168" s="94"/>
      <c r="L168" s="94"/>
      <c r="M168" s="94"/>
      <c r="N168" s="94"/>
      <c r="P168" s="53"/>
      <c r="Q168" s="53"/>
      <c r="W168" s="40"/>
    </row>
    <row r="169" spans="4:23" x14ac:dyDescent="0.2">
      <c r="D169" s="95"/>
      <c r="E169" s="94"/>
      <c r="F169" s="94"/>
      <c r="G169" s="94"/>
      <c r="H169" s="94"/>
      <c r="I169" s="94"/>
      <c r="J169" s="94"/>
      <c r="K169" s="94"/>
      <c r="L169" s="94"/>
      <c r="M169" s="94"/>
      <c r="N169" s="94"/>
      <c r="P169" s="53"/>
      <c r="Q169" s="53"/>
      <c r="W169" s="40"/>
    </row>
    <row r="170" spans="4:23" x14ac:dyDescent="0.2">
      <c r="D170" s="95"/>
      <c r="E170" s="94"/>
      <c r="F170" s="94"/>
      <c r="G170" s="94"/>
      <c r="H170" s="94"/>
      <c r="I170" s="94"/>
      <c r="J170" s="94"/>
      <c r="K170" s="94"/>
      <c r="L170" s="94"/>
      <c r="M170" s="94"/>
      <c r="N170" s="94"/>
      <c r="P170" s="53"/>
      <c r="Q170" s="53"/>
      <c r="W170" s="40"/>
    </row>
    <row r="171" spans="4:23" x14ac:dyDescent="0.2">
      <c r="D171" s="95"/>
      <c r="E171" s="94"/>
      <c r="F171" s="94"/>
      <c r="G171" s="94"/>
      <c r="H171" s="94"/>
      <c r="I171" s="94"/>
      <c r="J171" s="94"/>
      <c r="K171" s="94"/>
      <c r="L171" s="94"/>
      <c r="M171" s="94"/>
      <c r="N171" s="94"/>
      <c r="P171" s="53"/>
      <c r="Q171" s="53"/>
      <c r="W171" s="40"/>
    </row>
    <row r="172" spans="4:23" x14ac:dyDescent="0.2">
      <c r="D172" s="95"/>
      <c r="E172" s="94"/>
      <c r="F172" s="94"/>
      <c r="G172" s="94"/>
      <c r="H172" s="94"/>
      <c r="I172" s="94"/>
      <c r="J172" s="94"/>
      <c r="K172" s="94"/>
      <c r="L172" s="94"/>
      <c r="M172" s="94"/>
      <c r="N172" s="94"/>
      <c r="P172" s="53"/>
      <c r="Q172" s="53"/>
      <c r="W172" s="40"/>
    </row>
    <row r="173" spans="4:23" x14ac:dyDescent="0.2">
      <c r="D173" s="95"/>
      <c r="E173" s="94"/>
      <c r="F173" s="94"/>
      <c r="G173" s="94"/>
      <c r="H173" s="94"/>
      <c r="I173" s="94"/>
      <c r="J173" s="94"/>
      <c r="K173" s="94"/>
      <c r="L173" s="94"/>
      <c r="M173" s="94"/>
      <c r="N173" s="94"/>
      <c r="P173" s="53"/>
      <c r="Q173" s="53"/>
      <c r="W173" s="40"/>
    </row>
    <row r="174" spans="4:23" x14ac:dyDescent="0.2">
      <c r="D174" s="95"/>
      <c r="E174" s="94"/>
      <c r="F174" s="94"/>
      <c r="G174" s="94"/>
      <c r="H174" s="94"/>
      <c r="I174" s="94"/>
      <c r="J174" s="94"/>
      <c r="K174" s="94"/>
      <c r="L174" s="94"/>
      <c r="M174" s="94"/>
      <c r="N174" s="94"/>
      <c r="P174" s="53"/>
      <c r="Q174" s="53"/>
      <c r="W174" s="40"/>
    </row>
    <row r="175" spans="4:23" x14ac:dyDescent="0.2">
      <c r="D175" s="95"/>
      <c r="E175" s="94"/>
      <c r="F175" s="94"/>
      <c r="G175" s="94"/>
      <c r="H175" s="94"/>
      <c r="I175" s="94"/>
      <c r="J175" s="94"/>
      <c r="K175" s="94"/>
      <c r="L175" s="94"/>
      <c r="M175" s="94"/>
      <c r="N175" s="94"/>
      <c r="P175" s="53"/>
      <c r="Q175" s="53"/>
      <c r="W175" s="40"/>
    </row>
    <row r="176" spans="4:23" x14ac:dyDescent="0.2">
      <c r="D176" s="95"/>
      <c r="E176" s="94"/>
      <c r="F176" s="94"/>
      <c r="G176" s="94"/>
      <c r="H176" s="94"/>
      <c r="I176" s="94"/>
      <c r="J176" s="94"/>
      <c r="K176" s="94"/>
      <c r="L176" s="94"/>
      <c r="M176" s="94"/>
      <c r="N176" s="94"/>
      <c r="P176" s="53"/>
      <c r="Q176" s="53"/>
      <c r="W176" s="40"/>
    </row>
    <row r="177" spans="4:23" x14ac:dyDescent="0.2">
      <c r="D177" s="95"/>
      <c r="E177" s="94"/>
      <c r="F177" s="94"/>
      <c r="G177" s="94"/>
      <c r="H177" s="94"/>
      <c r="I177" s="94"/>
      <c r="J177" s="94"/>
      <c r="K177" s="94"/>
      <c r="L177" s="94"/>
      <c r="M177" s="94"/>
      <c r="N177" s="94"/>
      <c r="P177" s="53"/>
      <c r="Q177" s="53"/>
      <c r="W177" s="40"/>
    </row>
    <row r="178" spans="4:23" x14ac:dyDescent="0.2">
      <c r="D178" s="95"/>
      <c r="E178" s="94"/>
      <c r="F178" s="94"/>
      <c r="G178" s="94"/>
      <c r="H178" s="94"/>
      <c r="I178" s="94"/>
      <c r="J178" s="94"/>
      <c r="K178" s="94"/>
      <c r="L178" s="94"/>
      <c r="M178" s="94"/>
      <c r="N178" s="94"/>
      <c r="P178" s="53"/>
      <c r="Q178" s="53"/>
      <c r="W178" s="40"/>
    </row>
    <row r="179" spans="4:23" x14ac:dyDescent="0.2">
      <c r="D179" s="95"/>
      <c r="E179" s="94"/>
      <c r="F179" s="94"/>
      <c r="G179" s="94"/>
      <c r="H179" s="94"/>
      <c r="I179" s="94"/>
      <c r="J179" s="94"/>
      <c r="K179" s="94"/>
      <c r="L179" s="94"/>
      <c r="M179" s="94"/>
      <c r="N179" s="94"/>
      <c r="P179" s="53"/>
      <c r="Q179" s="53"/>
      <c r="W179" s="40"/>
    </row>
    <row r="180" spans="4:23" x14ac:dyDescent="0.2">
      <c r="D180" s="95"/>
      <c r="E180" s="94"/>
      <c r="F180" s="94"/>
      <c r="G180" s="94"/>
      <c r="H180" s="94"/>
      <c r="I180" s="94"/>
      <c r="J180" s="94"/>
      <c r="K180" s="94"/>
      <c r="L180" s="94"/>
      <c r="M180" s="94"/>
      <c r="N180" s="94"/>
      <c r="P180" s="53"/>
      <c r="Q180" s="53"/>
      <c r="W180" s="40"/>
    </row>
    <row r="181" spans="4:23" x14ac:dyDescent="0.2">
      <c r="D181" s="95"/>
      <c r="E181" s="94"/>
      <c r="F181" s="94"/>
      <c r="G181" s="94"/>
      <c r="H181" s="94"/>
      <c r="I181" s="94"/>
      <c r="J181" s="94"/>
      <c r="K181" s="94"/>
      <c r="L181" s="94"/>
      <c r="M181" s="94"/>
      <c r="N181" s="94"/>
      <c r="P181" s="53"/>
      <c r="Q181" s="53"/>
      <c r="W181" s="40"/>
    </row>
    <row r="182" spans="4:23" x14ac:dyDescent="0.2">
      <c r="D182" s="95"/>
      <c r="E182" s="94"/>
      <c r="F182" s="94"/>
      <c r="G182" s="94"/>
      <c r="H182" s="94"/>
      <c r="I182" s="94"/>
      <c r="J182" s="94"/>
      <c r="K182" s="94"/>
      <c r="L182" s="94"/>
      <c r="M182" s="94"/>
      <c r="N182" s="94"/>
      <c r="P182" s="53"/>
      <c r="Q182" s="53"/>
      <c r="W182" s="40"/>
    </row>
    <row r="183" spans="4:23" x14ac:dyDescent="0.2">
      <c r="D183" s="95"/>
      <c r="E183" s="94"/>
      <c r="F183" s="94"/>
      <c r="G183" s="94"/>
      <c r="H183" s="94"/>
      <c r="I183" s="94"/>
      <c r="J183" s="94"/>
      <c r="K183" s="94"/>
      <c r="L183" s="94"/>
      <c r="M183" s="94"/>
      <c r="N183" s="94"/>
      <c r="P183" s="53"/>
      <c r="Q183" s="53"/>
      <c r="W183" s="40"/>
    </row>
    <row r="184" spans="4:23" x14ac:dyDescent="0.2">
      <c r="D184" s="95"/>
      <c r="E184" s="94"/>
      <c r="F184" s="94"/>
      <c r="G184" s="94"/>
      <c r="H184" s="94"/>
      <c r="I184" s="94"/>
      <c r="J184" s="94"/>
      <c r="K184" s="94"/>
      <c r="L184" s="94"/>
      <c r="M184" s="94"/>
      <c r="N184" s="94"/>
      <c r="P184" s="53"/>
      <c r="Q184" s="53"/>
      <c r="W184" s="40"/>
    </row>
    <row r="185" spans="4:23" x14ac:dyDescent="0.2">
      <c r="D185" s="95"/>
      <c r="E185" s="94"/>
      <c r="F185" s="94"/>
      <c r="G185" s="94"/>
      <c r="H185" s="94"/>
      <c r="I185" s="94"/>
      <c r="J185" s="94"/>
      <c r="K185" s="94"/>
      <c r="L185" s="94"/>
      <c r="M185" s="94"/>
      <c r="N185" s="94"/>
      <c r="P185" s="53"/>
      <c r="Q185" s="53"/>
      <c r="W185" s="40"/>
    </row>
    <row r="186" spans="4:23" x14ac:dyDescent="0.2">
      <c r="D186" s="95"/>
      <c r="E186" s="94"/>
      <c r="F186" s="94"/>
      <c r="G186" s="94"/>
      <c r="H186" s="94"/>
      <c r="I186" s="94"/>
      <c r="J186" s="94"/>
      <c r="K186" s="94"/>
      <c r="L186" s="94"/>
      <c r="M186" s="94"/>
      <c r="N186" s="94"/>
      <c r="P186" s="53"/>
      <c r="Q186" s="53"/>
      <c r="W186" s="40"/>
    </row>
    <row r="187" spans="4:23" x14ac:dyDescent="0.2">
      <c r="D187" s="95"/>
      <c r="E187" s="94"/>
      <c r="F187" s="94"/>
      <c r="G187" s="94"/>
      <c r="H187" s="94"/>
      <c r="I187" s="94"/>
      <c r="J187" s="94"/>
      <c r="K187" s="94"/>
      <c r="L187" s="94"/>
      <c r="M187" s="94"/>
      <c r="N187" s="94"/>
      <c r="P187" s="53"/>
      <c r="Q187" s="53"/>
      <c r="W187" s="40"/>
    </row>
    <row r="188" spans="4:23" x14ac:dyDescent="0.2">
      <c r="D188" s="95"/>
      <c r="E188" s="94"/>
      <c r="F188" s="94"/>
      <c r="G188" s="94"/>
      <c r="H188" s="94"/>
      <c r="I188" s="94"/>
      <c r="J188" s="94"/>
      <c r="K188" s="94"/>
      <c r="L188" s="94"/>
      <c r="M188" s="94"/>
      <c r="N188" s="94"/>
      <c r="P188" s="53"/>
      <c r="Q188" s="53"/>
      <c r="W188" s="40"/>
    </row>
    <row r="189" spans="4:23" x14ac:dyDescent="0.2">
      <c r="D189" s="95"/>
      <c r="E189" s="94"/>
      <c r="F189" s="94"/>
      <c r="G189" s="94"/>
      <c r="H189" s="94"/>
      <c r="I189" s="94"/>
      <c r="J189" s="94"/>
      <c r="K189" s="94"/>
      <c r="L189" s="94"/>
      <c r="M189" s="94"/>
      <c r="N189" s="94"/>
      <c r="P189" s="53"/>
      <c r="Q189" s="53"/>
      <c r="W189" s="40"/>
    </row>
    <row r="190" spans="4:23" x14ac:dyDescent="0.2">
      <c r="D190" s="95"/>
      <c r="E190" s="94"/>
      <c r="F190" s="94"/>
      <c r="G190" s="94"/>
      <c r="H190" s="94"/>
      <c r="I190" s="94"/>
      <c r="J190" s="94"/>
      <c r="K190" s="94"/>
      <c r="L190" s="94"/>
      <c r="M190" s="94"/>
      <c r="N190" s="94"/>
      <c r="P190" s="53"/>
      <c r="Q190" s="53"/>
      <c r="W190" s="40"/>
    </row>
    <row r="191" spans="4:23" x14ac:dyDescent="0.2">
      <c r="D191" s="95"/>
      <c r="E191" s="94"/>
      <c r="F191" s="94"/>
      <c r="G191" s="94"/>
      <c r="H191" s="94"/>
      <c r="I191" s="94"/>
      <c r="J191" s="94"/>
      <c r="K191" s="94"/>
      <c r="L191" s="94"/>
      <c r="M191" s="94"/>
      <c r="N191" s="94"/>
      <c r="P191" s="53"/>
      <c r="Q191" s="53"/>
      <c r="W191" s="40"/>
    </row>
    <row r="192" spans="4:23" x14ac:dyDescent="0.2">
      <c r="D192" s="95"/>
      <c r="E192" s="94"/>
      <c r="F192" s="94"/>
      <c r="G192" s="94"/>
      <c r="H192" s="94"/>
      <c r="I192" s="94"/>
      <c r="J192" s="94"/>
      <c r="K192" s="94"/>
      <c r="L192" s="94"/>
      <c r="M192" s="94"/>
      <c r="N192" s="94"/>
      <c r="P192" s="53"/>
      <c r="Q192" s="53"/>
      <c r="W192" s="40"/>
    </row>
    <row r="193" spans="4:23" x14ac:dyDescent="0.2">
      <c r="D193" s="95"/>
      <c r="E193" s="94"/>
      <c r="F193" s="94"/>
      <c r="G193" s="94"/>
      <c r="H193" s="94"/>
      <c r="I193" s="94"/>
      <c r="J193" s="94"/>
      <c r="K193" s="94"/>
      <c r="L193" s="94"/>
      <c r="M193" s="94"/>
      <c r="N193" s="94"/>
      <c r="P193" s="53"/>
      <c r="Q193" s="53"/>
      <c r="W193" s="40"/>
    </row>
    <row r="194" spans="4:23" x14ac:dyDescent="0.2">
      <c r="D194" s="95"/>
      <c r="E194" s="94"/>
      <c r="F194" s="94"/>
      <c r="G194" s="94"/>
      <c r="H194" s="94"/>
      <c r="I194" s="94"/>
      <c r="J194" s="94"/>
      <c r="K194" s="94"/>
      <c r="L194" s="94"/>
      <c r="M194" s="94"/>
      <c r="N194" s="94"/>
      <c r="P194" s="53"/>
      <c r="Q194" s="53"/>
      <c r="W194" s="40"/>
    </row>
    <row r="195" spans="4:23" x14ac:dyDescent="0.2">
      <c r="D195" s="95"/>
      <c r="E195" s="94"/>
      <c r="F195" s="94"/>
      <c r="G195" s="94"/>
      <c r="H195" s="94"/>
      <c r="I195" s="94"/>
      <c r="J195" s="94"/>
      <c r="K195" s="94"/>
      <c r="L195" s="94"/>
      <c r="M195" s="94"/>
      <c r="N195" s="94"/>
      <c r="P195" s="53"/>
      <c r="Q195" s="53"/>
      <c r="W195" s="40"/>
    </row>
    <row r="196" spans="4:23" x14ac:dyDescent="0.2">
      <c r="D196" s="95"/>
      <c r="E196" s="94"/>
      <c r="F196" s="94"/>
      <c r="G196" s="94"/>
      <c r="H196" s="94"/>
      <c r="I196" s="94"/>
      <c r="J196" s="94"/>
      <c r="K196" s="94"/>
      <c r="L196" s="94"/>
      <c r="M196" s="94"/>
      <c r="N196" s="94"/>
      <c r="P196" s="53"/>
      <c r="Q196" s="53"/>
      <c r="W196" s="40"/>
    </row>
    <row r="197" spans="4:23" x14ac:dyDescent="0.2">
      <c r="D197" s="95"/>
      <c r="E197" s="94"/>
      <c r="F197" s="94"/>
      <c r="G197" s="94"/>
      <c r="H197" s="94"/>
      <c r="I197" s="94"/>
      <c r="J197" s="94"/>
      <c r="K197" s="94"/>
      <c r="L197" s="94"/>
      <c r="M197" s="94"/>
      <c r="N197" s="94"/>
      <c r="P197" s="53"/>
      <c r="Q197" s="53"/>
      <c r="W197" s="40"/>
    </row>
    <row r="198" spans="4:23" x14ac:dyDescent="0.2">
      <c r="D198" s="95"/>
      <c r="E198" s="94"/>
      <c r="F198" s="94"/>
      <c r="G198" s="94"/>
      <c r="H198" s="94"/>
      <c r="I198" s="94"/>
      <c r="J198" s="94"/>
      <c r="K198" s="94"/>
      <c r="L198" s="94"/>
      <c r="M198" s="94"/>
      <c r="N198" s="94"/>
      <c r="P198" s="53"/>
      <c r="Q198" s="53"/>
      <c r="W198" s="40"/>
    </row>
    <row r="199" spans="4:23" x14ac:dyDescent="0.2">
      <c r="D199" s="94"/>
      <c r="E199" s="94"/>
      <c r="F199" s="94"/>
      <c r="G199" s="94"/>
      <c r="H199" s="94"/>
      <c r="I199" s="94"/>
      <c r="J199" s="94"/>
      <c r="K199" s="94"/>
      <c r="L199" s="94"/>
      <c r="M199" s="94"/>
      <c r="N199" s="94"/>
      <c r="P199" s="53"/>
      <c r="Q199" s="53"/>
      <c r="W199" s="40"/>
    </row>
    <row r="200" spans="4:23" x14ac:dyDescent="0.2">
      <c r="D200" s="94"/>
      <c r="E200" s="94"/>
      <c r="F200" s="94"/>
      <c r="G200" s="94"/>
      <c r="H200" s="94"/>
      <c r="I200" s="94"/>
      <c r="J200" s="94"/>
      <c r="K200" s="94"/>
      <c r="L200" s="94"/>
      <c r="M200" s="94"/>
      <c r="N200" s="94"/>
      <c r="P200" s="53"/>
      <c r="Q200" s="53"/>
      <c r="W200" s="40"/>
    </row>
    <row r="201" spans="4:23" x14ac:dyDescent="0.2">
      <c r="D201" s="94"/>
      <c r="E201" s="94"/>
      <c r="F201" s="94"/>
      <c r="G201" s="94"/>
      <c r="H201" s="94"/>
      <c r="I201" s="94"/>
      <c r="J201" s="94"/>
      <c r="K201" s="94"/>
      <c r="L201" s="94"/>
      <c r="M201" s="94"/>
      <c r="N201" s="94"/>
      <c r="P201" s="53"/>
      <c r="Q201" s="53"/>
      <c r="W201" s="40"/>
    </row>
    <row r="202" spans="4:23" x14ac:dyDescent="0.2">
      <c r="D202" s="94"/>
      <c r="E202" s="94"/>
      <c r="F202" s="94"/>
      <c r="G202" s="94"/>
      <c r="H202" s="94"/>
      <c r="I202" s="94"/>
      <c r="J202" s="94"/>
      <c r="K202" s="94"/>
      <c r="L202" s="94"/>
      <c r="M202" s="94"/>
      <c r="N202" s="94"/>
      <c r="P202" s="53"/>
      <c r="Q202" s="53"/>
      <c r="W202" s="40"/>
    </row>
    <row r="203" spans="4:23" x14ac:dyDescent="0.2">
      <c r="D203" s="94"/>
      <c r="E203" s="94"/>
      <c r="F203" s="94"/>
      <c r="G203" s="94"/>
      <c r="H203" s="94"/>
      <c r="I203" s="94"/>
      <c r="J203" s="94"/>
      <c r="K203" s="94"/>
      <c r="L203" s="94"/>
      <c r="M203" s="94"/>
      <c r="N203" s="94"/>
      <c r="P203" s="53"/>
      <c r="Q203" s="53"/>
      <c r="W203" s="40"/>
    </row>
    <row r="204" spans="4:23" x14ac:dyDescent="0.2">
      <c r="D204" s="94"/>
      <c r="E204" s="94"/>
      <c r="F204" s="94"/>
      <c r="G204" s="94"/>
      <c r="H204" s="94"/>
      <c r="I204" s="94"/>
      <c r="J204" s="94"/>
      <c r="K204" s="94"/>
      <c r="L204" s="94"/>
      <c r="M204" s="94"/>
      <c r="N204" s="94"/>
      <c r="P204" s="53"/>
      <c r="Q204" s="53"/>
      <c r="W204" s="40"/>
    </row>
    <row r="205" spans="4:23" x14ac:dyDescent="0.2">
      <c r="D205" s="94"/>
      <c r="E205" s="94"/>
      <c r="F205" s="94"/>
      <c r="G205" s="94"/>
      <c r="H205" s="94"/>
      <c r="I205" s="94"/>
      <c r="J205" s="94"/>
      <c r="K205" s="94"/>
      <c r="L205" s="94"/>
      <c r="M205" s="94"/>
      <c r="N205" s="94"/>
      <c r="P205" s="53"/>
      <c r="Q205" s="53"/>
      <c r="W205" s="40"/>
    </row>
    <row r="206" spans="4:23" x14ac:dyDescent="0.2">
      <c r="D206" s="94"/>
      <c r="E206" s="94"/>
      <c r="F206" s="94"/>
      <c r="G206" s="94"/>
      <c r="H206" s="94"/>
      <c r="I206" s="94"/>
      <c r="J206" s="94"/>
      <c r="K206" s="94"/>
      <c r="L206" s="94"/>
      <c r="M206" s="94"/>
      <c r="N206" s="94"/>
      <c r="P206" s="53"/>
      <c r="Q206" s="53"/>
      <c r="W206" s="40"/>
    </row>
    <row r="207" spans="4:23" x14ac:dyDescent="0.2">
      <c r="D207" s="94"/>
      <c r="E207" s="94"/>
      <c r="F207" s="94"/>
      <c r="G207" s="94"/>
      <c r="H207" s="94"/>
      <c r="I207" s="94"/>
      <c r="J207" s="94"/>
      <c r="K207" s="94"/>
      <c r="L207" s="94"/>
      <c r="M207" s="94"/>
      <c r="N207" s="94"/>
      <c r="P207" s="53"/>
      <c r="Q207" s="53"/>
      <c r="W207" s="40"/>
    </row>
    <row r="208" spans="4:23" x14ac:dyDescent="0.2">
      <c r="D208" s="94"/>
      <c r="E208" s="94"/>
      <c r="F208" s="94"/>
      <c r="G208" s="94"/>
      <c r="H208" s="94"/>
      <c r="I208" s="94"/>
      <c r="J208" s="94"/>
      <c r="K208" s="94"/>
      <c r="L208" s="94"/>
      <c r="M208" s="94"/>
      <c r="N208" s="94"/>
      <c r="P208" s="53"/>
      <c r="Q208" s="53"/>
      <c r="W208" s="40"/>
    </row>
    <row r="209" spans="4:23" x14ac:dyDescent="0.2">
      <c r="D209" s="94"/>
      <c r="E209" s="94"/>
      <c r="F209" s="94"/>
      <c r="G209" s="94"/>
      <c r="H209" s="94"/>
      <c r="I209" s="94"/>
      <c r="J209" s="94"/>
      <c r="K209" s="94"/>
      <c r="L209" s="94"/>
      <c r="M209" s="94"/>
      <c r="N209" s="94"/>
      <c r="P209" s="53"/>
      <c r="Q209" s="53"/>
      <c r="W209" s="40"/>
    </row>
    <row r="210" spans="4:23" x14ac:dyDescent="0.2">
      <c r="D210" s="94"/>
      <c r="E210" s="94"/>
      <c r="F210" s="94"/>
      <c r="G210" s="94"/>
      <c r="H210" s="94"/>
      <c r="I210" s="94"/>
      <c r="J210" s="94"/>
      <c r="K210" s="94"/>
      <c r="L210" s="94"/>
      <c r="M210" s="94"/>
      <c r="N210" s="94"/>
      <c r="P210" s="53"/>
      <c r="Q210" s="53"/>
      <c r="W210" s="40"/>
    </row>
    <row r="211" spans="4:23" x14ac:dyDescent="0.2">
      <c r="D211" s="94"/>
      <c r="E211" s="94"/>
      <c r="F211" s="94"/>
      <c r="G211" s="94"/>
      <c r="H211" s="94"/>
      <c r="I211" s="94"/>
      <c r="J211" s="94"/>
      <c r="K211" s="94"/>
      <c r="L211" s="94"/>
      <c r="M211" s="94"/>
      <c r="N211" s="94"/>
      <c r="P211" s="53"/>
      <c r="Q211" s="53"/>
      <c r="W211" s="40"/>
    </row>
    <row r="212" spans="4:23" x14ac:dyDescent="0.2">
      <c r="D212" s="94"/>
      <c r="E212" s="94"/>
      <c r="F212" s="94"/>
      <c r="G212" s="94"/>
      <c r="H212" s="94"/>
      <c r="I212" s="94"/>
      <c r="J212" s="94"/>
      <c r="K212" s="94"/>
      <c r="L212" s="94"/>
      <c r="M212" s="94"/>
      <c r="N212" s="94"/>
      <c r="P212" s="53"/>
      <c r="Q212" s="53"/>
      <c r="W212" s="40"/>
    </row>
    <row r="213" spans="4:23" x14ac:dyDescent="0.2">
      <c r="D213" s="94"/>
      <c r="E213" s="94"/>
      <c r="F213" s="94"/>
      <c r="G213" s="94"/>
      <c r="H213" s="94"/>
      <c r="I213" s="94"/>
      <c r="J213" s="94"/>
      <c r="K213" s="94"/>
      <c r="L213" s="94"/>
      <c r="M213" s="94"/>
      <c r="N213" s="94"/>
      <c r="P213" s="53"/>
      <c r="Q213" s="53"/>
      <c r="W213" s="40"/>
    </row>
    <row r="214" spans="4:23" x14ac:dyDescent="0.2">
      <c r="D214" s="94"/>
      <c r="E214" s="94"/>
      <c r="F214" s="94"/>
      <c r="G214" s="94"/>
      <c r="H214" s="94"/>
      <c r="I214" s="94"/>
      <c r="J214" s="94"/>
      <c r="K214" s="94"/>
      <c r="L214" s="94"/>
      <c r="M214" s="94"/>
      <c r="N214" s="94"/>
      <c r="P214" s="53"/>
      <c r="Q214" s="53"/>
      <c r="W214" s="40"/>
    </row>
    <row r="215" spans="4:23" x14ac:dyDescent="0.2">
      <c r="D215" s="94"/>
      <c r="E215" s="94"/>
      <c r="F215" s="94"/>
      <c r="G215" s="94"/>
      <c r="H215" s="94"/>
      <c r="I215" s="94"/>
      <c r="J215" s="94"/>
      <c r="K215" s="94"/>
      <c r="L215" s="94"/>
      <c r="M215" s="94"/>
      <c r="N215" s="94"/>
      <c r="P215" s="53"/>
      <c r="Q215" s="53"/>
      <c r="W215" s="40"/>
    </row>
    <row r="216" spans="4:23" x14ac:dyDescent="0.2">
      <c r="D216" s="94"/>
      <c r="E216" s="94"/>
      <c r="F216" s="94"/>
      <c r="G216" s="94"/>
      <c r="H216" s="94"/>
      <c r="I216" s="94"/>
      <c r="J216" s="94"/>
      <c r="K216" s="94"/>
      <c r="L216" s="94"/>
      <c r="M216" s="94"/>
      <c r="N216" s="94"/>
      <c r="P216" s="53"/>
      <c r="Q216" s="53"/>
      <c r="W216" s="40"/>
    </row>
    <row r="217" spans="4:23" x14ac:dyDescent="0.2">
      <c r="D217" s="94"/>
      <c r="E217" s="94"/>
      <c r="F217" s="94"/>
      <c r="G217" s="94"/>
      <c r="H217" s="94"/>
      <c r="I217" s="94"/>
      <c r="J217" s="94"/>
      <c r="K217" s="94"/>
      <c r="L217" s="94"/>
      <c r="M217" s="94"/>
      <c r="N217" s="94"/>
      <c r="P217" s="53"/>
      <c r="Q217" s="53"/>
      <c r="W217" s="40"/>
    </row>
    <row r="218" spans="4:23" x14ac:dyDescent="0.2">
      <c r="D218" s="94"/>
      <c r="E218" s="94"/>
      <c r="F218" s="94"/>
      <c r="G218" s="94"/>
      <c r="H218" s="94"/>
      <c r="I218" s="94"/>
      <c r="J218" s="94"/>
      <c r="K218" s="94"/>
      <c r="L218" s="94"/>
      <c r="M218" s="94"/>
      <c r="N218" s="94"/>
      <c r="P218" s="53"/>
      <c r="Q218" s="53"/>
      <c r="W218" s="40"/>
    </row>
    <row r="219" spans="4:23" x14ac:dyDescent="0.2">
      <c r="D219" s="94"/>
      <c r="E219" s="94"/>
      <c r="F219" s="94"/>
      <c r="G219" s="94"/>
      <c r="H219" s="94"/>
      <c r="I219" s="94"/>
      <c r="J219" s="94"/>
      <c r="K219" s="94"/>
      <c r="L219" s="94"/>
      <c r="M219" s="94"/>
      <c r="N219" s="94"/>
      <c r="P219" s="53"/>
      <c r="Q219" s="53"/>
      <c r="W219" s="40"/>
    </row>
    <row r="220" spans="4:23" x14ac:dyDescent="0.2">
      <c r="D220" s="94"/>
      <c r="E220" s="94"/>
      <c r="F220" s="94"/>
      <c r="G220" s="94"/>
      <c r="H220" s="94"/>
      <c r="I220" s="94"/>
      <c r="J220" s="94"/>
      <c r="K220" s="94"/>
      <c r="L220" s="94"/>
      <c r="M220" s="94"/>
      <c r="N220" s="94"/>
      <c r="P220" s="53"/>
      <c r="Q220" s="53"/>
      <c r="W220" s="40"/>
    </row>
    <row r="221" spans="4:23" x14ac:dyDescent="0.2">
      <c r="D221" s="94"/>
      <c r="E221" s="94"/>
      <c r="F221" s="94"/>
      <c r="G221" s="94"/>
      <c r="H221" s="94"/>
      <c r="I221" s="94"/>
      <c r="J221" s="94"/>
      <c r="K221" s="94"/>
      <c r="L221" s="94"/>
      <c r="M221" s="94"/>
      <c r="N221" s="94"/>
      <c r="P221" s="53"/>
      <c r="Q221" s="53"/>
      <c r="W221" s="40"/>
    </row>
    <row r="222" spans="4:23" x14ac:dyDescent="0.2">
      <c r="D222" s="94"/>
      <c r="E222" s="94"/>
      <c r="F222" s="94"/>
      <c r="G222" s="94"/>
      <c r="H222" s="94"/>
      <c r="I222" s="94"/>
      <c r="J222" s="94"/>
      <c r="K222" s="94"/>
      <c r="L222" s="94"/>
      <c r="M222" s="94"/>
      <c r="N222" s="94"/>
      <c r="P222" s="53"/>
      <c r="Q222" s="53"/>
      <c r="W222" s="40"/>
    </row>
    <row r="223" spans="4:23" x14ac:dyDescent="0.2">
      <c r="D223" s="94"/>
      <c r="E223" s="94"/>
      <c r="F223" s="94"/>
      <c r="G223" s="94"/>
      <c r="H223" s="94"/>
      <c r="I223" s="94"/>
      <c r="J223" s="94"/>
      <c r="K223" s="94"/>
      <c r="L223" s="94"/>
      <c r="M223" s="94"/>
      <c r="N223" s="94"/>
      <c r="P223" s="53"/>
      <c r="Q223" s="53"/>
      <c r="W223" s="40"/>
    </row>
    <row r="224" spans="4:23" x14ac:dyDescent="0.2">
      <c r="D224" s="94"/>
      <c r="E224" s="94"/>
      <c r="F224" s="94"/>
      <c r="G224" s="94"/>
      <c r="H224" s="94"/>
      <c r="I224" s="94"/>
      <c r="J224" s="94"/>
      <c r="K224" s="94"/>
      <c r="L224" s="94"/>
      <c r="M224" s="94"/>
      <c r="N224" s="94"/>
      <c r="P224" s="53"/>
      <c r="Q224" s="53"/>
      <c r="W224" s="40"/>
    </row>
    <row r="225" spans="4:23" x14ac:dyDescent="0.2"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94"/>
      <c r="P225" s="53"/>
      <c r="Q225" s="53"/>
      <c r="W225" s="40"/>
    </row>
    <row r="226" spans="4:23" x14ac:dyDescent="0.2">
      <c r="D226" s="94"/>
      <c r="E226" s="94"/>
      <c r="F226" s="94"/>
      <c r="G226" s="94"/>
      <c r="H226" s="94"/>
      <c r="I226" s="94"/>
      <c r="J226" s="94"/>
      <c r="K226" s="94"/>
      <c r="L226" s="94"/>
      <c r="M226" s="94"/>
      <c r="N226" s="94"/>
      <c r="P226" s="53"/>
      <c r="Q226" s="53"/>
      <c r="W226" s="40"/>
    </row>
    <row r="227" spans="4:23" x14ac:dyDescent="0.2">
      <c r="D227" s="94"/>
      <c r="E227" s="94"/>
      <c r="F227" s="94"/>
      <c r="G227" s="94"/>
      <c r="H227" s="94"/>
      <c r="I227" s="94"/>
      <c r="J227" s="94"/>
      <c r="K227" s="94"/>
      <c r="L227" s="94"/>
      <c r="M227" s="94"/>
      <c r="N227" s="94"/>
      <c r="P227" s="53"/>
      <c r="Q227" s="53"/>
      <c r="W227" s="40"/>
    </row>
    <row r="228" spans="4:23" x14ac:dyDescent="0.2">
      <c r="D228" s="94"/>
      <c r="E228" s="94"/>
      <c r="F228" s="94"/>
      <c r="G228" s="94"/>
      <c r="H228" s="94"/>
      <c r="I228" s="94"/>
      <c r="J228" s="94"/>
      <c r="K228" s="94"/>
      <c r="L228" s="94"/>
      <c r="M228" s="94"/>
      <c r="N228" s="94"/>
      <c r="P228" s="53"/>
      <c r="Q228" s="53"/>
      <c r="W228" s="40"/>
    </row>
    <row r="229" spans="4:23" x14ac:dyDescent="0.2">
      <c r="D229" s="94"/>
      <c r="E229" s="94"/>
      <c r="F229" s="94"/>
      <c r="G229" s="94"/>
      <c r="H229" s="94"/>
      <c r="I229" s="94"/>
      <c r="J229" s="94"/>
      <c r="K229" s="94"/>
      <c r="L229" s="94"/>
      <c r="M229" s="94"/>
      <c r="N229" s="94"/>
      <c r="P229" s="53"/>
      <c r="Q229" s="53"/>
      <c r="W229" s="40"/>
    </row>
    <row r="230" spans="4:23" x14ac:dyDescent="0.2">
      <c r="D230" s="94"/>
      <c r="E230" s="94"/>
      <c r="F230" s="94"/>
      <c r="G230" s="94"/>
      <c r="H230" s="94"/>
      <c r="I230" s="94"/>
      <c r="J230" s="94"/>
      <c r="K230" s="94"/>
      <c r="L230" s="94"/>
      <c r="M230" s="94"/>
      <c r="N230" s="94"/>
      <c r="P230" s="53"/>
      <c r="Q230" s="53"/>
      <c r="W230" s="40"/>
    </row>
    <row r="231" spans="4:23" x14ac:dyDescent="0.2">
      <c r="D231" s="94"/>
      <c r="E231" s="94"/>
      <c r="F231" s="94"/>
      <c r="G231" s="94"/>
      <c r="H231" s="94"/>
      <c r="I231" s="94"/>
      <c r="J231" s="94"/>
      <c r="K231" s="94"/>
      <c r="L231" s="94"/>
      <c r="M231" s="94"/>
      <c r="N231" s="94"/>
      <c r="P231" s="53"/>
      <c r="Q231" s="53"/>
      <c r="W231" s="40"/>
    </row>
    <row r="232" spans="4:23" x14ac:dyDescent="0.2">
      <c r="D232" s="94"/>
      <c r="E232" s="94"/>
      <c r="F232" s="94"/>
      <c r="G232" s="94"/>
      <c r="H232" s="94"/>
      <c r="I232" s="94"/>
      <c r="J232" s="94"/>
      <c r="K232" s="94"/>
      <c r="L232" s="94"/>
      <c r="M232" s="94"/>
      <c r="N232" s="94"/>
      <c r="P232" s="53"/>
      <c r="Q232" s="53"/>
      <c r="W232" s="40"/>
    </row>
    <row r="233" spans="4:23" x14ac:dyDescent="0.2">
      <c r="D233" s="94"/>
      <c r="E233" s="94"/>
      <c r="F233" s="94"/>
      <c r="G233" s="94"/>
      <c r="H233" s="94"/>
      <c r="I233" s="94"/>
      <c r="J233" s="94"/>
      <c r="K233" s="94"/>
      <c r="L233" s="94"/>
      <c r="M233" s="94"/>
      <c r="N233" s="94"/>
      <c r="P233" s="53"/>
      <c r="Q233" s="53"/>
      <c r="W233" s="40"/>
    </row>
    <row r="234" spans="4:23" x14ac:dyDescent="0.2">
      <c r="D234" s="94"/>
      <c r="E234" s="94"/>
      <c r="F234" s="94"/>
      <c r="G234" s="94"/>
      <c r="H234" s="94"/>
      <c r="I234" s="94"/>
      <c r="J234" s="94"/>
      <c r="K234" s="94"/>
      <c r="L234" s="94"/>
      <c r="M234" s="94"/>
      <c r="N234" s="94"/>
      <c r="P234" s="53"/>
      <c r="Q234" s="53"/>
      <c r="W234" s="40"/>
    </row>
    <row r="235" spans="4:23" x14ac:dyDescent="0.2">
      <c r="D235" s="94"/>
      <c r="E235" s="94"/>
      <c r="F235" s="94"/>
      <c r="G235" s="94"/>
      <c r="H235" s="94"/>
      <c r="I235" s="94"/>
      <c r="J235" s="94"/>
      <c r="K235" s="94"/>
      <c r="L235" s="94"/>
      <c r="M235" s="94"/>
      <c r="N235" s="94"/>
      <c r="P235" s="53"/>
      <c r="Q235" s="53"/>
      <c r="W235" s="40"/>
    </row>
    <row r="236" spans="4:23" x14ac:dyDescent="0.2">
      <c r="D236" s="94"/>
      <c r="E236" s="94"/>
      <c r="F236" s="94"/>
      <c r="G236" s="94"/>
      <c r="H236" s="94"/>
      <c r="I236" s="94"/>
      <c r="J236" s="94"/>
      <c r="K236" s="94"/>
      <c r="L236" s="94"/>
      <c r="M236" s="94"/>
      <c r="N236" s="94"/>
      <c r="P236" s="53"/>
      <c r="Q236" s="53"/>
      <c r="W236" s="40"/>
    </row>
    <row r="237" spans="4:23" x14ac:dyDescent="0.2">
      <c r="D237" s="94"/>
      <c r="E237" s="94"/>
      <c r="F237" s="94"/>
      <c r="G237" s="94"/>
      <c r="H237" s="94"/>
      <c r="I237" s="94"/>
      <c r="J237" s="94"/>
      <c r="K237" s="94"/>
      <c r="L237" s="94"/>
      <c r="M237" s="94"/>
      <c r="N237" s="94"/>
      <c r="P237" s="53"/>
      <c r="Q237" s="53"/>
      <c r="W237" s="40"/>
    </row>
    <row r="238" spans="4:23" x14ac:dyDescent="0.2">
      <c r="D238" s="94"/>
      <c r="E238" s="94"/>
      <c r="F238" s="94"/>
      <c r="G238" s="94"/>
      <c r="H238" s="94"/>
      <c r="I238" s="94"/>
      <c r="J238" s="94"/>
      <c r="K238" s="94"/>
      <c r="L238" s="94"/>
      <c r="M238" s="94"/>
      <c r="N238" s="94"/>
      <c r="P238" s="53"/>
      <c r="Q238" s="53"/>
      <c r="W238" s="40"/>
    </row>
    <row r="239" spans="4:23" x14ac:dyDescent="0.2">
      <c r="D239" s="94"/>
      <c r="E239" s="94"/>
      <c r="F239" s="94"/>
      <c r="G239" s="94"/>
      <c r="H239" s="94"/>
      <c r="I239" s="94"/>
      <c r="J239" s="94"/>
      <c r="K239" s="94"/>
      <c r="L239" s="94"/>
      <c r="M239" s="94"/>
      <c r="N239" s="94"/>
      <c r="P239" s="53"/>
      <c r="Q239" s="53"/>
      <c r="W239" s="40"/>
    </row>
    <row r="240" spans="4:23" x14ac:dyDescent="0.2">
      <c r="D240" s="94"/>
      <c r="E240" s="94"/>
      <c r="F240" s="94"/>
      <c r="G240" s="94"/>
      <c r="H240" s="94"/>
      <c r="I240" s="94"/>
      <c r="J240" s="94"/>
      <c r="K240" s="94"/>
      <c r="L240" s="94"/>
      <c r="M240" s="94"/>
      <c r="N240" s="94"/>
      <c r="P240" s="53"/>
      <c r="Q240" s="53"/>
      <c r="W240" s="40"/>
    </row>
    <row r="241" spans="4:23" x14ac:dyDescent="0.2">
      <c r="D241" s="94"/>
      <c r="E241" s="94"/>
      <c r="F241" s="94"/>
      <c r="G241" s="94"/>
      <c r="H241" s="94"/>
      <c r="I241" s="94"/>
      <c r="J241" s="94"/>
      <c r="K241" s="94"/>
      <c r="L241" s="94"/>
      <c r="M241" s="94"/>
      <c r="N241" s="94"/>
      <c r="P241" s="53"/>
      <c r="Q241" s="53"/>
      <c r="W241" s="40"/>
    </row>
    <row r="242" spans="4:23" x14ac:dyDescent="0.2">
      <c r="D242" s="94"/>
      <c r="E242" s="94"/>
      <c r="F242" s="94"/>
      <c r="G242" s="94"/>
      <c r="H242" s="94"/>
      <c r="I242" s="94"/>
      <c r="J242" s="94"/>
      <c r="K242" s="94"/>
      <c r="L242" s="94"/>
      <c r="M242" s="94"/>
      <c r="N242" s="94"/>
      <c r="P242" s="53"/>
      <c r="Q242" s="53"/>
      <c r="W242" s="40"/>
    </row>
    <row r="243" spans="4:23" x14ac:dyDescent="0.2">
      <c r="D243" s="94"/>
      <c r="E243" s="94"/>
      <c r="F243" s="94"/>
      <c r="G243" s="94"/>
      <c r="H243" s="94"/>
      <c r="I243" s="94"/>
      <c r="J243" s="94"/>
      <c r="K243" s="94"/>
      <c r="L243" s="94"/>
      <c r="M243" s="94"/>
      <c r="N243" s="94"/>
      <c r="P243" s="53"/>
      <c r="Q243" s="53"/>
      <c r="W243" s="40"/>
    </row>
    <row r="244" spans="4:23" x14ac:dyDescent="0.2">
      <c r="D244" s="94"/>
      <c r="E244" s="94"/>
      <c r="F244" s="94"/>
      <c r="G244" s="94"/>
      <c r="H244" s="94"/>
      <c r="I244" s="94"/>
      <c r="J244" s="94"/>
      <c r="K244" s="94"/>
      <c r="L244" s="94"/>
      <c r="M244" s="94"/>
      <c r="N244" s="94"/>
      <c r="P244" s="53"/>
      <c r="Q244" s="53"/>
      <c r="W244" s="40"/>
    </row>
    <row r="245" spans="4:23" x14ac:dyDescent="0.2">
      <c r="D245" s="94"/>
      <c r="E245" s="94"/>
      <c r="F245" s="94"/>
      <c r="G245" s="94"/>
      <c r="H245" s="94"/>
      <c r="I245" s="94"/>
      <c r="J245" s="94"/>
      <c r="K245" s="94"/>
      <c r="L245" s="94"/>
      <c r="M245" s="94"/>
      <c r="N245" s="94"/>
      <c r="P245" s="53"/>
      <c r="Q245" s="53"/>
      <c r="W245" s="40"/>
    </row>
    <row r="246" spans="4:23" x14ac:dyDescent="0.2">
      <c r="D246" s="94"/>
      <c r="E246" s="94"/>
      <c r="F246" s="94"/>
      <c r="G246" s="94"/>
      <c r="H246" s="94"/>
      <c r="I246" s="94"/>
      <c r="J246" s="94"/>
      <c r="K246" s="94"/>
      <c r="L246" s="94"/>
      <c r="M246" s="94"/>
      <c r="N246" s="94"/>
      <c r="P246" s="53"/>
      <c r="Q246" s="53"/>
      <c r="W246" s="40"/>
    </row>
    <row r="247" spans="4:23" x14ac:dyDescent="0.2">
      <c r="D247" s="94"/>
      <c r="E247" s="94"/>
      <c r="F247" s="94"/>
      <c r="G247" s="94"/>
      <c r="H247" s="94"/>
      <c r="I247" s="94"/>
      <c r="J247" s="94"/>
      <c r="K247" s="94"/>
      <c r="L247" s="94"/>
      <c r="M247" s="94"/>
      <c r="N247" s="94"/>
      <c r="P247" s="53"/>
      <c r="Q247" s="53"/>
      <c r="W247" s="40"/>
    </row>
    <row r="248" spans="4:23" x14ac:dyDescent="0.2">
      <c r="D248" s="94"/>
      <c r="E248" s="94"/>
      <c r="F248" s="94"/>
      <c r="G248" s="94"/>
      <c r="H248" s="94"/>
      <c r="I248" s="94"/>
      <c r="J248" s="94"/>
      <c r="K248" s="94"/>
      <c r="L248" s="94"/>
      <c r="M248" s="94"/>
      <c r="N248" s="94"/>
      <c r="P248" s="53"/>
      <c r="Q248" s="53"/>
      <c r="W248" s="40"/>
    </row>
    <row r="249" spans="4:23" x14ac:dyDescent="0.2">
      <c r="D249" s="94"/>
      <c r="E249" s="94"/>
      <c r="F249" s="94"/>
      <c r="G249" s="94"/>
      <c r="H249" s="94"/>
      <c r="I249" s="94"/>
      <c r="J249" s="94"/>
      <c r="K249" s="94"/>
      <c r="L249" s="94"/>
      <c r="M249" s="94"/>
      <c r="N249" s="94"/>
      <c r="P249" s="53"/>
      <c r="Q249" s="53"/>
      <c r="W249" s="40"/>
    </row>
    <row r="250" spans="4:23" x14ac:dyDescent="0.2">
      <c r="D250" s="94"/>
      <c r="E250" s="94"/>
      <c r="F250" s="94"/>
      <c r="G250" s="94"/>
      <c r="H250" s="94"/>
      <c r="I250" s="94"/>
      <c r="J250" s="94"/>
      <c r="K250" s="94"/>
      <c r="L250" s="94"/>
      <c r="M250" s="94"/>
      <c r="N250" s="94"/>
      <c r="P250" s="53"/>
      <c r="Q250" s="53"/>
      <c r="W250" s="40"/>
    </row>
    <row r="251" spans="4:23" x14ac:dyDescent="0.2">
      <c r="D251" s="94"/>
      <c r="E251" s="94"/>
      <c r="F251" s="94"/>
      <c r="G251" s="94"/>
      <c r="H251" s="94"/>
      <c r="I251" s="94"/>
      <c r="J251" s="94"/>
      <c r="K251" s="94"/>
      <c r="L251" s="94"/>
      <c r="M251" s="94"/>
      <c r="N251" s="94"/>
      <c r="P251" s="53"/>
      <c r="Q251" s="53"/>
      <c r="W251" s="40"/>
    </row>
    <row r="252" spans="4:23" x14ac:dyDescent="0.2">
      <c r="D252" s="94"/>
      <c r="E252" s="94"/>
      <c r="F252" s="94"/>
      <c r="G252" s="94"/>
      <c r="H252" s="94"/>
      <c r="I252" s="94"/>
      <c r="J252" s="94"/>
      <c r="K252" s="94"/>
      <c r="L252" s="94"/>
      <c r="M252" s="94"/>
      <c r="N252" s="94"/>
      <c r="P252" s="53"/>
      <c r="Q252" s="53"/>
      <c r="W252" s="40"/>
    </row>
    <row r="253" spans="4:23" x14ac:dyDescent="0.2">
      <c r="D253" s="94"/>
      <c r="E253" s="94"/>
      <c r="F253" s="94"/>
      <c r="G253" s="94"/>
      <c r="H253" s="94"/>
      <c r="I253" s="94"/>
      <c r="J253" s="94"/>
      <c r="K253" s="94"/>
      <c r="L253" s="94"/>
      <c r="M253" s="94"/>
      <c r="N253" s="94"/>
      <c r="P253" s="53"/>
      <c r="Q253" s="53"/>
      <c r="W253" s="40"/>
    </row>
    <row r="254" spans="4:23" x14ac:dyDescent="0.2">
      <c r="D254" s="94"/>
      <c r="E254" s="94"/>
      <c r="F254" s="94"/>
      <c r="G254" s="94"/>
      <c r="H254" s="94"/>
      <c r="I254" s="94"/>
      <c r="J254" s="94"/>
      <c r="K254" s="94"/>
      <c r="L254" s="94"/>
      <c r="M254" s="94"/>
      <c r="N254" s="94"/>
      <c r="P254" s="53"/>
      <c r="Q254" s="53"/>
      <c r="W254" s="40"/>
    </row>
    <row r="255" spans="4:23" x14ac:dyDescent="0.2">
      <c r="D255" s="94"/>
      <c r="E255" s="94"/>
      <c r="F255" s="94"/>
      <c r="G255" s="94"/>
      <c r="H255" s="94"/>
      <c r="I255" s="94"/>
      <c r="J255" s="94"/>
      <c r="K255" s="94"/>
      <c r="L255" s="94"/>
      <c r="M255" s="94"/>
      <c r="N255" s="94"/>
      <c r="P255" s="53"/>
      <c r="Q255" s="53"/>
      <c r="W255" s="40"/>
    </row>
    <row r="256" spans="4:23" x14ac:dyDescent="0.2">
      <c r="D256" s="94"/>
      <c r="E256" s="94"/>
      <c r="F256" s="94"/>
      <c r="G256" s="94"/>
      <c r="H256" s="94"/>
      <c r="I256" s="94"/>
      <c r="J256" s="94"/>
      <c r="K256" s="94"/>
      <c r="L256" s="94"/>
      <c r="M256" s="94"/>
      <c r="N256" s="94"/>
      <c r="P256" s="53"/>
      <c r="Q256" s="53"/>
      <c r="W256" s="40"/>
    </row>
    <row r="257" spans="4:23" x14ac:dyDescent="0.2">
      <c r="D257" s="94"/>
      <c r="E257" s="94"/>
      <c r="F257" s="94"/>
      <c r="G257" s="94"/>
      <c r="H257" s="94"/>
      <c r="I257" s="94"/>
      <c r="J257" s="94"/>
      <c r="K257" s="94"/>
      <c r="L257" s="94"/>
      <c r="M257" s="94"/>
      <c r="N257" s="94"/>
      <c r="P257" s="53"/>
      <c r="Q257" s="53"/>
      <c r="W257" s="40"/>
    </row>
    <row r="258" spans="4:23" x14ac:dyDescent="0.2">
      <c r="D258" s="94"/>
      <c r="E258" s="94"/>
      <c r="F258" s="94"/>
      <c r="G258" s="94"/>
      <c r="H258" s="94"/>
      <c r="I258" s="94"/>
      <c r="J258" s="94"/>
      <c r="K258" s="94"/>
      <c r="L258" s="94"/>
      <c r="M258" s="94"/>
      <c r="N258" s="94"/>
      <c r="P258" s="53"/>
      <c r="Q258" s="53"/>
      <c r="W258" s="40"/>
    </row>
    <row r="259" spans="4:23" x14ac:dyDescent="0.2">
      <c r="D259" s="94"/>
      <c r="E259" s="94"/>
      <c r="F259" s="94"/>
      <c r="G259" s="94"/>
      <c r="H259" s="94"/>
      <c r="I259" s="94"/>
      <c r="J259" s="94"/>
      <c r="K259" s="94"/>
      <c r="L259" s="94"/>
      <c r="M259" s="94"/>
      <c r="N259" s="94"/>
      <c r="P259" s="53"/>
      <c r="Q259" s="53"/>
      <c r="W259" s="40"/>
    </row>
    <row r="260" spans="4:23" x14ac:dyDescent="0.2">
      <c r="D260" s="94"/>
      <c r="E260" s="94"/>
      <c r="F260" s="94"/>
      <c r="G260" s="94"/>
      <c r="H260" s="94"/>
      <c r="I260" s="94"/>
      <c r="J260" s="94"/>
      <c r="K260" s="94"/>
      <c r="L260" s="94"/>
      <c r="M260" s="94"/>
      <c r="N260" s="94"/>
      <c r="P260" s="53"/>
      <c r="Q260" s="53"/>
      <c r="W260" s="40"/>
    </row>
    <row r="261" spans="4:23" x14ac:dyDescent="0.2">
      <c r="D261" s="94"/>
      <c r="E261" s="94"/>
      <c r="F261" s="94"/>
      <c r="G261" s="94"/>
      <c r="H261" s="94"/>
      <c r="I261" s="94"/>
      <c r="J261" s="94"/>
      <c r="K261" s="94"/>
      <c r="L261" s="94"/>
      <c r="M261" s="94"/>
      <c r="N261" s="94"/>
      <c r="P261" s="53"/>
      <c r="Q261" s="53"/>
      <c r="W261" s="40"/>
    </row>
    <row r="262" spans="4:23" x14ac:dyDescent="0.2">
      <c r="D262" s="94"/>
      <c r="E262" s="94"/>
      <c r="F262" s="94"/>
      <c r="G262" s="94"/>
      <c r="H262" s="94"/>
      <c r="I262" s="94"/>
      <c r="J262" s="94"/>
      <c r="K262" s="94"/>
      <c r="L262" s="94"/>
      <c r="M262" s="94"/>
      <c r="N262" s="94"/>
      <c r="P262" s="53"/>
      <c r="Q262" s="53"/>
      <c r="W262" s="40"/>
    </row>
    <row r="263" spans="4:23" x14ac:dyDescent="0.2">
      <c r="D263" s="94"/>
      <c r="E263" s="94"/>
      <c r="F263" s="94"/>
      <c r="G263" s="94"/>
      <c r="H263" s="94"/>
      <c r="I263" s="94"/>
      <c r="J263" s="94"/>
      <c r="K263" s="94"/>
      <c r="L263" s="94"/>
      <c r="M263" s="94"/>
      <c r="N263" s="94"/>
      <c r="P263" s="53"/>
      <c r="Q263" s="53"/>
      <c r="W263" s="40"/>
    </row>
    <row r="264" spans="4:23" x14ac:dyDescent="0.2">
      <c r="D264" s="94"/>
      <c r="E264" s="94"/>
      <c r="F264" s="94"/>
      <c r="G264" s="94"/>
      <c r="H264" s="94"/>
      <c r="I264" s="94"/>
      <c r="J264" s="94"/>
      <c r="K264" s="94"/>
      <c r="L264" s="94"/>
      <c r="M264" s="94"/>
      <c r="N264" s="94"/>
      <c r="P264" s="53"/>
      <c r="Q264" s="53"/>
      <c r="W264" s="40"/>
    </row>
    <row r="265" spans="4:23" x14ac:dyDescent="0.2">
      <c r="D265" s="94"/>
      <c r="E265" s="94"/>
      <c r="F265" s="94"/>
      <c r="G265" s="94"/>
      <c r="H265" s="94"/>
      <c r="I265" s="94"/>
      <c r="J265" s="94"/>
      <c r="K265" s="94"/>
      <c r="L265" s="94"/>
      <c r="M265" s="94"/>
      <c r="N265" s="94"/>
      <c r="P265" s="53"/>
      <c r="Q265" s="53"/>
      <c r="W265" s="40"/>
    </row>
    <row r="266" spans="4:23" x14ac:dyDescent="0.2">
      <c r="D266" s="94"/>
      <c r="E266" s="94"/>
      <c r="F266" s="94"/>
      <c r="G266" s="94"/>
      <c r="H266" s="94"/>
      <c r="I266" s="94"/>
      <c r="J266" s="94"/>
      <c r="K266" s="94"/>
      <c r="L266" s="94"/>
      <c r="M266" s="94"/>
      <c r="N266" s="94"/>
      <c r="P266" s="53"/>
      <c r="Q266" s="53"/>
      <c r="W266" s="40"/>
    </row>
    <row r="267" spans="4:23" x14ac:dyDescent="0.2">
      <c r="D267" s="94"/>
      <c r="E267" s="94"/>
      <c r="F267" s="94"/>
      <c r="G267" s="94"/>
      <c r="H267" s="94"/>
      <c r="I267" s="94"/>
      <c r="J267" s="94"/>
      <c r="K267" s="94"/>
      <c r="L267" s="94"/>
      <c r="M267" s="94"/>
      <c r="N267" s="94"/>
      <c r="P267" s="53"/>
      <c r="Q267" s="53"/>
      <c r="W267" s="40"/>
    </row>
    <row r="268" spans="4:23" x14ac:dyDescent="0.2">
      <c r="D268" s="94"/>
      <c r="E268" s="94"/>
      <c r="F268" s="94"/>
      <c r="G268" s="94"/>
      <c r="H268" s="94"/>
      <c r="I268" s="94"/>
      <c r="J268" s="94"/>
      <c r="K268" s="94"/>
      <c r="L268" s="94"/>
      <c r="M268" s="94"/>
      <c r="N268" s="94"/>
      <c r="P268" s="53"/>
      <c r="Q268" s="53"/>
      <c r="W268" s="40"/>
    </row>
    <row r="269" spans="4:23" x14ac:dyDescent="0.2">
      <c r="D269" s="94"/>
      <c r="E269" s="94"/>
      <c r="F269" s="94"/>
      <c r="G269" s="94"/>
      <c r="H269" s="94"/>
      <c r="I269" s="94"/>
      <c r="J269" s="94"/>
      <c r="K269" s="94"/>
      <c r="L269" s="94"/>
      <c r="M269" s="94"/>
      <c r="N269" s="94"/>
      <c r="P269" s="53"/>
      <c r="Q269" s="53"/>
      <c r="W269" s="40"/>
    </row>
    <row r="270" spans="4:23" x14ac:dyDescent="0.2">
      <c r="D270" s="94"/>
      <c r="E270" s="94"/>
      <c r="F270" s="94"/>
      <c r="G270" s="94"/>
      <c r="H270" s="94"/>
      <c r="I270" s="94"/>
      <c r="J270" s="94"/>
      <c r="K270" s="94"/>
      <c r="L270" s="94"/>
      <c r="M270" s="94"/>
      <c r="N270" s="94"/>
      <c r="P270" s="53"/>
      <c r="Q270" s="53"/>
      <c r="W270" s="40"/>
    </row>
    <row r="271" spans="4:23" x14ac:dyDescent="0.2">
      <c r="D271" s="94"/>
      <c r="E271" s="94"/>
      <c r="F271" s="94"/>
      <c r="G271" s="94"/>
      <c r="H271" s="94"/>
      <c r="I271" s="94"/>
      <c r="J271" s="94"/>
      <c r="K271" s="94"/>
      <c r="L271" s="94"/>
      <c r="M271" s="94"/>
      <c r="N271" s="94"/>
      <c r="P271" s="53"/>
      <c r="Q271" s="53"/>
      <c r="W271" s="40"/>
    </row>
    <row r="272" spans="4:23" x14ac:dyDescent="0.2">
      <c r="D272" s="94"/>
      <c r="E272" s="94"/>
      <c r="F272" s="94"/>
      <c r="G272" s="94"/>
      <c r="H272" s="94"/>
      <c r="I272" s="94"/>
      <c r="J272" s="94"/>
      <c r="K272" s="94"/>
      <c r="L272" s="94"/>
      <c r="M272" s="94"/>
      <c r="N272" s="94"/>
      <c r="P272" s="53"/>
      <c r="Q272" s="53"/>
      <c r="W272" s="40"/>
    </row>
    <row r="273" spans="4:23" x14ac:dyDescent="0.2">
      <c r="D273" s="94"/>
      <c r="E273" s="94"/>
      <c r="F273" s="94"/>
      <c r="G273" s="94"/>
      <c r="H273" s="94"/>
      <c r="I273" s="94"/>
      <c r="J273" s="94"/>
      <c r="K273" s="94"/>
      <c r="L273" s="94"/>
      <c r="M273" s="94"/>
      <c r="N273" s="94"/>
      <c r="P273" s="53"/>
      <c r="Q273" s="53"/>
      <c r="W273" s="40"/>
    </row>
    <row r="274" spans="4:23" x14ac:dyDescent="0.2">
      <c r="D274" s="94"/>
      <c r="E274" s="94"/>
      <c r="F274" s="94"/>
      <c r="G274" s="94"/>
      <c r="H274" s="94"/>
      <c r="I274" s="94"/>
      <c r="J274" s="94"/>
      <c r="K274" s="94"/>
      <c r="L274" s="94"/>
      <c r="M274" s="94"/>
      <c r="N274" s="94"/>
      <c r="P274" s="53"/>
      <c r="Q274" s="53"/>
      <c r="W274" s="40"/>
    </row>
    <row r="275" spans="4:23" x14ac:dyDescent="0.2">
      <c r="D275" s="94"/>
      <c r="E275" s="94"/>
      <c r="F275" s="94"/>
      <c r="G275" s="94"/>
      <c r="H275" s="94"/>
      <c r="I275" s="94"/>
      <c r="J275" s="94"/>
      <c r="K275" s="94"/>
      <c r="L275" s="94"/>
      <c r="M275" s="94"/>
      <c r="N275" s="94"/>
      <c r="P275" s="53"/>
      <c r="Q275" s="53"/>
      <c r="W275" s="40"/>
    </row>
    <row r="276" spans="4:23" x14ac:dyDescent="0.2">
      <c r="D276" s="94"/>
      <c r="E276" s="94"/>
      <c r="F276" s="94"/>
      <c r="G276" s="94"/>
      <c r="H276" s="94"/>
      <c r="I276" s="94"/>
      <c r="J276" s="94"/>
      <c r="K276" s="94"/>
      <c r="L276" s="94"/>
      <c r="M276" s="94"/>
      <c r="N276" s="94"/>
      <c r="P276" s="53"/>
      <c r="Q276" s="53"/>
      <c r="W276" s="40"/>
    </row>
    <row r="277" spans="4:23" x14ac:dyDescent="0.2">
      <c r="D277" s="94"/>
      <c r="E277" s="94"/>
      <c r="F277" s="94"/>
      <c r="G277" s="94"/>
      <c r="H277" s="94"/>
      <c r="I277" s="94"/>
      <c r="J277" s="94"/>
      <c r="K277" s="94"/>
      <c r="L277" s="94"/>
      <c r="M277" s="94"/>
      <c r="N277" s="94"/>
      <c r="P277" s="53"/>
      <c r="Q277" s="53"/>
      <c r="W277" s="40"/>
    </row>
    <row r="278" spans="4:23" x14ac:dyDescent="0.2">
      <c r="D278" s="94"/>
      <c r="E278" s="94"/>
      <c r="F278" s="94"/>
      <c r="G278" s="94"/>
      <c r="H278" s="94"/>
      <c r="I278" s="94"/>
      <c r="J278" s="94"/>
      <c r="K278" s="94"/>
      <c r="L278" s="94"/>
      <c r="M278" s="94"/>
      <c r="N278" s="94"/>
      <c r="P278" s="53"/>
      <c r="Q278" s="53"/>
      <c r="W278" s="40"/>
    </row>
    <row r="279" spans="4:23" x14ac:dyDescent="0.2">
      <c r="D279" s="94"/>
      <c r="E279" s="94"/>
      <c r="F279" s="94"/>
      <c r="G279" s="94"/>
      <c r="H279" s="94"/>
      <c r="I279" s="94"/>
      <c r="J279" s="94"/>
      <c r="K279" s="94"/>
      <c r="L279" s="94"/>
      <c r="M279" s="94"/>
      <c r="N279" s="94"/>
      <c r="P279" s="53"/>
      <c r="Q279" s="53"/>
      <c r="W279" s="40"/>
    </row>
    <row r="280" spans="4:23" x14ac:dyDescent="0.2">
      <c r="D280" s="94"/>
      <c r="E280" s="94"/>
      <c r="F280" s="94"/>
      <c r="G280" s="94"/>
      <c r="H280" s="94"/>
      <c r="I280" s="94"/>
      <c r="J280" s="94"/>
      <c r="K280" s="94"/>
      <c r="L280" s="94"/>
      <c r="M280" s="94"/>
      <c r="N280" s="94"/>
      <c r="P280" s="53"/>
      <c r="Q280" s="53"/>
      <c r="W280" s="40"/>
    </row>
    <row r="281" spans="4:23" x14ac:dyDescent="0.2">
      <c r="D281" s="94"/>
      <c r="E281" s="94"/>
      <c r="F281" s="94"/>
      <c r="G281" s="94"/>
      <c r="H281" s="94"/>
      <c r="I281" s="94"/>
      <c r="J281" s="94"/>
      <c r="K281" s="94"/>
      <c r="L281" s="94"/>
      <c r="M281" s="94"/>
      <c r="N281" s="94"/>
      <c r="P281" s="53"/>
      <c r="Q281" s="53"/>
      <c r="W281" s="40"/>
    </row>
    <row r="282" spans="4:23" x14ac:dyDescent="0.2">
      <c r="D282" s="94"/>
      <c r="E282" s="94"/>
      <c r="F282" s="94"/>
      <c r="G282" s="94"/>
      <c r="H282" s="94"/>
      <c r="I282" s="94"/>
      <c r="J282" s="94"/>
      <c r="K282" s="94"/>
      <c r="L282" s="94"/>
      <c r="M282" s="94"/>
      <c r="N282" s="94"/>
      <c r="P282" s="53"/>
      <c r="Q282" s="53"/>
      <c r="W282" s="40"/>
    </row>
    <row r="283" spans="4:23" x14ac:dyDescent="0.2">
      <c r="D283" s="94"/>
      <c r="E283" s="94"/>
      <c r="F283" s="94"/>
      <c r="G283" s="94"/>
      <c r="H283" s="94"/>
      <c r="I283" s="94"/>
      <c r="J283" s="94"/>
      <c r="K283" s="94"/>
      <c r="L283" s="94"/>
      <c r="M283" s="94"/>
      <c r="N283" s="94"/>
      <c r="P283" s="53"/>
      <c r="Q283" s="53"/>
      <c r="W283" s="40"/>
    </row>
    <row r="284" spans="4:23" x14ac:dyDescent="0.2">
      <c r="D284" s="94"/>
      <c r="E284" s="94"/>
      <c r="F284" s="94"/>
      <c r="G284" s="94"/>
      <c r="H284" s="94"/>
      <c r="I284" s="94"/>
      <c r="J284" s="94"/>
      <c r="K284" s="94"/>
      <c r="L284" s="94"/>
      <c r="M284" s="94"/>
      <c r="N284" s="94"/>
      <c r="P284" s="53"/>
      <c r="Q284" s="53"/>
      <c r="W284" s="40"/>
    </row>
    <row r="285" spans="4:23" x14ac:dyDescent="0.2">
      <c r="D285" s="94"/>
      <c r="E285" s="94"/>
      <c r="F285" s="94"/>
      <c r="G285" s="94"/>
      <c r="H285" s="94"/>
      <c r="I285" s="94"/>
      <c r="J285" s="94"/>
      <c r="K285" s="94"/>
      <c r="L285" s="94"/>
      <c r="M285" s="94"/>
      <c r="N285" s="94"/>
      <c r="P285" s="53"/>
      <c r="Q285" s="53"/>
      <c r="W285" s="40"/>
    </row>
    <row r="286" spans="4:23" x14ac:dyDescent="0.2">
      <c r="D286" s="94"/>
      <c r="E286" s="94"/>
      <c r="F286" s="94"/>
      <c r="G286" s="94"/>
      <c r="H286" s="94"/>
      <c r="I286" s="94"/>
      <c r="J286" s="94"/>
      <c r="K286" s="94"/>
      <c r="L286" s="94"/>
      <c r="M286" s="94"/>
      <c r="N286" s="94"/>
      <c r="P286" s="53"/>
      <c r="Q286" s="53"/>
      <c r="W286" s="40"/>
    </row>
    <row r="287" spans="4:23" x14ac:dyDescent="0.2">
      <c r="D287" s="94"/>
      <c r="E287" s="94"/>
      <c r="F287" s="94"/>
      <c r="G287" s="94"/>
      <c r="H287" s="94"/>
      <c r="I287" s="94"/>
      <c r="J287" s="94"/>
      <c r="K287" s="94"/>
      <c r="L287" s="94"/>
      <c r="M287" s="94"/>
      <c r="N287" s="94"/>
      <c r="P287" s="53"/>
      <c r="Q287" s="53"/>
      <c r="W287" s="40"/>
    </row>
    <row r="288" spans="4:23" x14ac:dyDescent="0.2">
      <c r="D288" s="94"/>
      <c r="E288" s="94"/>
      <c r="F288" s="94"/>
      <c r="G288" s="94"/>
      <c r="H288" s="94"/>
      <c r="I288" s="94"/>
      <c r="J288" s="94"/>
      <c r="K288" s="94"/>
      <c r="L288" s="94"/>
      <c r="M288" s="94"/>
      <c r="N288" s="94"/>
      <c r="P288" s="53"/>
      <c r="Q288" s="53"/>
      <c r="W288" s="40"/>
    </row>
    <row r="289" spans="4:23" x14ac:dyDescent="0.2">
      <c r="D289" s="94"/>
      <c r="E289" s="94"/>
      <c r="F289" s="94"/>
      <c r="G289" s="94"/>
      <c r="H289" s="94"/>
      <c r="I289" s="94"/>
      <c r="J289" s="94"/>
      <c r="K289" s="94"/>
      <c r="L289" s="94"/>
      <c r="M289" s="94"/>
      <c r="N289" s="94"/>
      <c r="P289" s="53"/>
      <c r="Q289" s="53"/>
      <c r="W289" s="40"/>
    </row>
    <row r="290" spans="4:23" x14ac:dyDescent="0.2">
      <c r="D290" s="94"/>
      <c r="E290" s="94"/>
      <c r="F290" s="94"/>
      <c r="G290" s="94"/>
      <c r="H290" s="94"/>
      <c r="I290" s="94"/>
      <c r="J290" s="94"/>
      <c r="K290" s="94"/>
      <c r="L290" s="94"/>
      <c r="M290" s="94"/>
      <c r="N290" s="94"/>
      <c r="P290" s="53"/>
      <c r="Q290" s="53"/>
      <c r="W290" s="40"/>
    </row>
    <row r="291" spans="4:23" x14ac:dyDescent="0.2">
      <c r="D291" s="94"/>
      <c r="E291" s="94"/>
      <c r="F291" s="94"/>
      <c r="G291" s="94"/>
      <c r="H291" s="94"/>
      <c r="I291" s="94"/>
      <c r="J291" s="94"/>
      <c r="K291" s="94"/>
      <c r="L291" s="94"/>
      <c r="M291" s="94"/>
      <c r="N291" s="94"/>
      <c r="P291" s="53"/>
      <c r="Q291" s="53"/>
      <c r="W291" s="40"/>
    </row>
    <row r="292" spans="4:23" x14ac:dyDescent="0.2">
      <c r="D292" s="94"/>
      <c r="E292" s="94"/>
      <c r="F292" s="94"/>
      <c r="G292" s="94"/>
      <c r="H292" s="94"/>
      <c r="I292" s="94"/>
      <c r="J292" s="94"/>
      <c r="K292" s="94"/>
      <c r="L292" s="94"/>
      <c r="M292" s="94"/>
      <c r="N292" s="94"/>
      <c r="P292" s="53"/>
      <c r="Q292" s="53"/>
      <c r="W292" s="40"/>
    </row>
    <row r="293" spans="4:23" x14ac:dyDescent="0.2">
      <c r="D293" s="94"/>
      <c r="E293" s="94"/>
      <c r="F293" s="94"/>
      <c r="G293" s="94"/>
      <c r="H293" s="94"/>
      <c r="I293" s="94"/>
      <c r="J293" s="94"/>
      <c r="K293" s="94"/>
      <c r="L293" s="94"/>
      <c r="M293" s="94"/>
      <c r="N293" s="94"/>
      <c r="P293" s="53"/>
      <c r="Q293" s="53"/>
      <c r="W293" s="40"/>
    </row>
    <row r="294" spans="4:23" x14ac:dyDescent="0.2">
      <c r="D294" s="94"/>
      <c r="E294" s="94"/>
      <c r="F294" s="94"/>
      <c r="G294" s="94"/>
      <c r="H294" s="94"/>
      <c r="I294" s="94"/>
      <c r="J294" s="94"/>
      <c r="K294" s="94"/>
      <c r="L294" s="94"/>
      <c r="M294" s="94"/>
      <c r="N294" s="94"/>
      <c r="P294" s="53"/>
      <c r="Q294" s="53"/>
      <c r="W294" s="40"/>
    </row>
    <row r="295" spans="4:23" x14ac:dyDescent="0.2">
      <c r="D295" s="94"/>
      <c r="E295" s="94"/>
      <c r="F295" s="94"/>
      <c r="G295" s="94"/>
      <c r="H295" s="94"/>
      <c r="I295" s="94"/>
      <c r="J295" s="94"/>
      <c r="K295" s="94"/>
      <c r="L295" s="94"/>
      <c r="M295" s="94"/>
      <c r="N295" s="94"/>
      <c r="P295" s="53"/>
      <c r="Q295" s="53"/>
      <c r="W295" s="40"/>
    </row>
    <row r="296" spans="4:23" x14ac:dyDescent="0.2">
      <c r="D296" s="94"/>
      <c r="E296" s="94"/>
      <c r="F296" s="94"/>
      <c r="G296" s="94"/>
      <c r="H296" s="94"/>
      <c r="I296" s="94"/>
      <c r="J296" s="94"/>
      <c r="K296" s="94"/>
      <c r="L296" s="94"/>
      <c r="M296" s="94"/>
      <c r="N296" s="94"/>
      <c r="P296" s="53"/>
      <c r="Q296" s="53"/>
      <c r="W296" s="40"/>
    </row>
    <row r="297" spans="4:23" x14ac:dyDescent="0.2">
      <c r="D297" s="94"/>
      <c r="E297" s="94"/>
      <c r="F297" s="94"/>
      <c r="G297" s="94"/>
      <c r="H297" s="94"/>
      <c r="I297" s="94"/>
      <c r="J297" s="94"/>
      <c r="K297" s="94"/>
      <c r="L297" s="94"/>
      <c r="M297" s="94"/>
      <c r="N297" s="94"/>
      <c r="P297" s="53"/>
      <c r="Q297" s="53"/>
      <c r="W297" s="40"/>
    </row>
    <row r="298" spans="4:23" x14ac:dyDescent="0.2">
      <c r="D298" s="94"/>
      <c r="E298" s="94"/>
      <c r="F298" s="94"/>
      <c r="G298" s="94"/>
      <c r="H298" s="94"/>
      <c r="I298" s="94"/>
      <c r="J298" s="94"/>
      <c r="K298" s="94"/>
      <c r="L298" s="94"/>
      <c r="M298" s="94"/>
      <c r="N298" s="94"/>
      <c r="P298" s="53"/>
      <c r="Q298" s="53"/>
      <c r="W298" s="40"/>
    </row>
    <row r="299" spans="4:23" x14ac:dyDescent="0.2">
      <c r="D299" s="94"/>
      <c r="E299" s="94"/>
      <c r="F299" s="94"/>
      <c r="G299" s="94"/>
      <c r="H299" s="94"/>
      <c r="I299" s="94"/>
      <c r="J299" s="94"/>
      <c r="K299" s="94"/>
      <c r="L299" s="94"/>
      <c r="M299" s="94"/>
      <c r="N299" s="94"/>
      <c r="P299" s="53"/>
      <c r="Q299" s="53"/>
      <c r="W299" s="40"/>
    </row>
    <row r="300" spans="4:23" x14ac:dyDescent="0.2">
      <c r="D300" s="94"/>
      <c r="E300" s="94"/>
      <c r="F300" s="94"/>
      <c r="G300" s="94"/>
      <c r="H300" s="94"/>
      <c r="I300" s="94"/>
      <c r="J300" s="94"/>
      <c r="K300" s="94"/>
      <c r="L300" s="94"/>
      <c r="M300" s="94"/>
      <c r="N300" s="94"/>
      <c r="P300" s="53"/>
      <c r="Q300" s="53"/>
      <c r="W300" s="40"/>
    </row>
    <row r="301" spans="4:23" x14ac:dyDescent="0.2">
      <c r="D301" s="94"/>
      <c r="E301" s="94"/>
      <c r="F301" s="94"/>
      <c r="G301" s="94"/>
      <c r="H301" s="94"/>
      <c r="I301" s="94"/>
      <c r="J301" s="94"/>
      <c r="K301" s="94"/>
      <c r="L301" s="94"/>
      <c r="M301" s="94"/>
      <c r="N301" s="94"/>
      <c r="P301" s="53"/>
      <c r="Q301" s="53"/>
      <c r="W301" s="40"/>
    </row>
    <row r="302" spans="4:23" x14ac:dyDescent="0.2">
      <c r="D302" s="94"/>
      <c r="E302" s="94"/>
      <c r="F302" s="94"/>
      <c r="G302" s="94"/>
      <c r="H302" s="94"/>
      <c r="I302" s="94"/>
      <c r="J302" s="94"/>
      <c r="K302" s="94"/>
      <c r="L302" s="94"/>
      <c r="M302" s="94"/>
      <c r="N302" s="94"/>
      <c r="P302" s="53"/>
      <c r="Q302" s="53"/>
      <c r="W302" s="40"/>
    </row>
    <row r="303" spans="4:23" x14ac:dyDescent="0.2">
      <c r="D303" s="94"/>
      <c r="E303" s="94"/>
      <c r="F303" s="94"/>
      <c r="G303" s="94"/>
      <c r="H303" s="94"/>
      <c r="I303" s="94"/>
      <c r="J303" s="94"/>
      <c r="K303" s="94"/>
      <c r="L303" s="94"/>
      <c r="M303" s="94"/>
      <c r="N303" s="94"/>
      <c r="P303" s="53"/>
      <c r="Q303" s="53"/>
      <c r="W303" s="40"/>
    </row>
    <row r="304" spans="4:23" x14ac:dyDescent="0.2">
      <c r="D304" s="94"/>
      <c r="E304" s="94"/>
      <c r="F304" s="94"/>
      <c r="G304" s="94"/>
      <c r="H304" s="94"/>
      <c r="I304" s="94"/>
      <c r="J304" s="94"/>
      <c r="K304" s="94"/>
      <c r="L304" s="94"/>
      <c r="M304" s="94"/>
      <c r="N304" s="94"/>
      <c r="P304" s="53"/>
      <c r="Q304" s="53"/>
      <c r="W304" s="40"/>
    </row>
    <row r="305" spans="4:23" x14ac:dyDescent="0.2">
      <c r="D305" s="94"/>
      <c r="E305" s="94"/>
      <c r="F305" s="94"/>
      <c r="G305" s="94"/>
      <c r="H305" s="94"/>
      <c r="I305" s="94"/>
      <c r="J305" s="94"/>
      <c r="K305" s="94"/>
      <c r="L305" s="94"/>
      <c r="M305" s="94"/>
      <c r="N305" s="94"/>
      <c r="P305" s="53"/>
      <c r="Q305" s="53"/>
      <c r="W305" s="40"/>
    </row>
    <row r="306" spans="4:23" x14ac:dyDescent="0.2">
      <c r="D306" s="94"/>
      <c r="E306" s="94"/>
      <c r="F306" s="94"/>
      <c r="G306" s="94"/>
      <c r="H306" s="94"/>
      <c r="I306" s="94"/>
      <c r="J306" s="94"/>
      <c r="K306" s="94"/>
      <c r="L306" s="94"/>
      <c r="M306" s="94"/>
      <c r="N306" s="94"/>
      <c r="P306" s="53"/>
      <c r="Q306" s="53"/>
      <c r="W306" s="40"/>
    </row>
    <row r="307" spans="4:23" x14ac:dyDescent="0.2">
      <c r="D307" s="94"/>
      <c r="E307" s="94"/>
      <c r="F307" s="94"/>
      <c r="G307" s="94"/>
      <c r="H307" s="94"/>
      <c r="I307" s="94"/>
      <c r="J307" s="94"/>
      <c r="K307" s="94"/>
      <c r="L307" s="94"/>
      <c r="M307" s="94"/>
      <c r="N307" s="94"/>
      <c r="P307" s="53"/>
      <c r="Q307" s="53"/>
      <c r="W307" s="40"/>
    </row>
    <row r="308" spans="4:23" x14ac:dyDescent="0.2">
      <c r="D308" s="94"/>
      <c r="E308" s="94"/>
      <c r="F308" s="94"/>
      <c r="G308" s="94"/>
      <c r="H308" s="94"/>
      <c r="I308" s="94"/>
      <c r="J308" s="94"/>
      <c r="K308" s="94"/>
      <c r="L308" s="94"/>
      <c r="M308" s="94"/>
      <c r="N308" s="94"/>
      <c r="P308" s="53"/>
      <c r="Q308" s="53"/>
      <c r="W308" s="40"/>
    </row>
    <row r="309" spans="4:23" x14ac:dyDescent="0.2">
      <c r="D309" s="94"/>
      <c r="E309" s="94"/>
      <c r="F309" s="94"/>
      <c r="G309" s="94"/>
      <c r="H309" s="94"/>
      <c r="I309" s="94"/>
      <c r="J309" s="94"/>
      <c r="K309" s="94"/>
      <c r="L309" s="94"/>
      <c r="M309" s="94"/>
      <c r="N309" s="94"/>
      <c r="P309" s="53"/>
      <c r="Q309" s="53"/>
      <c r="W309" s="40"/>
    </row>
    <row r="310" spans="4:23" x14ac:dyDescent="0.2">
      <c r="D310" s="94"/>
      <c r="E310" s="94"/>
      <c r="F310" s="94"/>
      <c r="G310" s="94"/>
      <c r="H310" s="94"/>
      <c r="I310" s="94"/>
      <c r="J310" s="94"/>
      <c r="K310" s="94"/>
      <c r="L310" s="94"/>
      <c r="M310" s="94"/>
      <c r="N310" s="94"/>
      <c r="P310" s="53"/>
      <c r="Q310" s="53"/>
      <c r="W310" s="40"/>
    </row>
    <row r="311" spans="4:23" x14ac:dyDescent="0.2">
      <c r="D311" s="94"/>
      <c r="E311" s="94"/>
      <c r="F311" s="94"/>
      <c r="G311" s="94"/>
      <c r="H311" s="94"/>
      <c r="I311" s="94"/>
      <c r="J311" s="94"/>
      <c r="K311" s="94"/>
      <c r="L311" s="94"/>
      <c r="M311" s="94"/>
      <c r="N311" s="94"/>
      <c r="P311" s="53"/>
      <c r="Q311" s="53"/>
      <c r="W311" s="40"/>
    </row>
    <row r="312" spans="4:23" x14ac:dyDescent="0.2">
      <c r="D312" s="94"/>
      <c r="E312" s="94"/>
      <c r="F312" s="94"/>
      <c r="G312" s="94"/>
      <c r="H312" s="94"/>
      <c r="I312" s="94"/>
      <c r="J312" s="94"/>
      <c r="K312" s="94"/>
      <c r="L312" s="94"/>
      <c r="M312" s="94"/>
      <c r="N312" s="94"/>
      <c r="P312" s="53"/>
      <c r="Q312" s="53"/>
      <c r="W312" s="40"/>
    </row>
    <row r="313" spans="4:23" x14ac:dyDescent="0.2">
      <c r="D313" s="94"/>
      <c r="E313" s="94"/>
      <c r="F313" s="94"/>
      <c r="G313" s="94"/>
      <c r="H313" s="94"/>
      <c r="I313" s="94"/>
      <c r="J313" s="94"/>
      <c r="K313" s="94"/>
      <c r="L313" s="94"/>
      <c r="M313" s="94"/>
      <c r="N313" s="94"/>
      <c r="P313" s="53"/>
      <c r="Q313" s="53"/>
      <c r="W313" s="40"/>
    </row>
    <row r="314" spans="4:23" x14ac:dyDescent="0.2">
      <c r="D314" s="94"/>
      <c r="E314" s="94"/>
      <c r="F314" s="94"/>
      <c r="G314" s="94"/>
      <c r="H314" s="94"/>
      <c r="I314" s="94"/>
      <c r="J314" s="94"/>
      <c r="K314" s="94"/>
      <c r="L314" s="94"/>
      <c r="M314" s="94"/>
      <c r="N314" s="94"/>
      <c r="P314" s="53"/>
      <c r="Q314" s="53"/>
      <c r="W314" s="40"/>
    </row>
    <row r="315" spans="4:23" x14ac:dyDescent="0.2">
      <c r="D315" s="94"/>
      <c r="E315" s="94"/>
      <c r="F315" s="94"/>
      <c r="G315" s="94"/>
      <c r="H315" s="94"/>
      <c r="I315" s="94"/>
      <c r="J315" s="94"/>
      <c r="K315" s="94"/>
      <c r="L315" s="94"/>
      <c r="M315" s="94"/>
      <c r="N315" s="94"/>
      <c r="P315" s="53"/>
      <c r="Q315" s="53"/>
      <c r="W315" s="40"/>
    </row>
    <row r="316" spans="4:23" x14ac:dyDescent="0.2">
      <c r="D316" s="94"/>
      <c r="E316" s="94"/>
      <c r="F316" s="94"/>
      <c r="G316" s="94"/>
      <c r="H316" s="94"/>
      <c r="I316" s="94"/>
      <c r="J316" s="94"/>
      <c r="K316" s="94"/>
      <c r="L316" s="94"/>
      <c r="M316" s="94"/>
      <c r="N316" s="94"/>
      <c r="P316" s="53"/>
      <c r="Q316" s="53"/>
      <c r="W316" s="40"/>
    </row>
    <row r="317" spans="4:23" x14ac:dyDescent="0.2">
      <c r="D317" s="94"/>
      <c r="E317" s="94"/>
      <c r="F317" s="94"/>
      <c r="G317" s="94"/>
      <c r="H317" s="94"/>
      <c r="I317" s="94"/>
      <c r="J317" s="94"/>
      <c r="K317" s="94"/>
      <c r="L317" s="94"/>
      <c r="M317" s="94"/>
      <c r="N317" s="94"/>
      <c r="P317" s="53"/>
      <c r="Q317" s="53"/>
      <c r="W317" s="40"/>
    </row>
    <row r="318" spans="4:23" x14ac:dyDescent="0.2">
      <c r="D318" s="94"/>
      <c r="E318" s="94"/>
      <c r="F318" s="94"/>
      <c r="G318" s="94"/>
      <c r="H318" s="94"/>
      <c r="I318" s="94"/>
      <c r="J318" s="94"/>
      <c r="K318" s="94"/>
      <c r="L318" s="94"/>
      <c r="M318" s="94"/>
      <c r="N318" s="94"/>
      <c r="P318" s="53"/>
      <c r="Q318" s="53"/>
      <c r="W318" s="40"/>
    </row>
    <row r="319" spans="4:23" x14ac:dyDescent="0.2">
      <c r="D319" s="94"/>
      <c r="E319" s="94"/>
      <c r="F319" s="94"/>
      <c r="G319" s="94"/>
      <c r="H319" s="94"/>
      <c r="I319" s="94"/>
      <c r="J319" s="94"/>
      <c r="K319" s="94"/>
      <c r="L319" s="94"/>
      <c r="M319" s="94"/>
      <c r="N319" s="94"/>
      <c r="P319" s="53"/>
      <c r="Q319" s="53"/>
      <c r="W319" s="40"/>
    </row>
    <row r="320" spans="4:23" x14ac:dyDescent="0.2">
      <c r="D320" s="94"/>
      <c r="E320" s="94"/>
      <c r="F320" s="94"/>
      <c r="G320" s="94"/>
      <c r="H320" s="94"/>
      <c r="I320" s="94"/>
      <c r="J320" s="94"/>
      <c r="K320" s="94"/>
      <c r="L320" s="94"/>
      <c r="M320" s="94"/>
      <c r="N320" s="94"/>
      <c r="P320" s="53"/>
      <c r="Q320" s="53"/>
      <c r="W320" s="40"/>
    </row>
    <row r="321" spans="4:23" x14ac:dyDescent="0.2">
      <c r="D321" s="94"/>
      <c r="E321" s="94"/>
      <c r="F321" s="94"/>
      <c r="G321" s="94"/>
      <c r="H321" s="94"/>
      <c r="I321" s="94"/>
      <c r="J321" s="94"/>
      <c r="K321" s="94"/>
      <c r="L321" s="94"/>
      <c r="M321" s="94"/>
      <c r="N321" s="94"/>
      <c r="P321" s="53"/>
      <c r="Q321" s="53"/>
      <c r="W321" s="40"/>
    </row>
    <row r="322" spans="4:23" x14ac:dyDescent="0.2">
      <c r="D322" s="94"/>
      <c r="E322" s="94"/>
      <c r="F322" s="94"/>
      <c r="G322" s="94"/>
      <c r="H322" s="94"/>
      <c r="I322" s="94"/>
      <c r="J322" s="94"/>
      <c r="K322" s="94"/>
      <c r="L322" s="94"/>
      <c r="M322" s="94"/>
      <c r="N322" s="94"/>
      <c r="P322" s="53"/>
      <c r="Q322" s="53"/>
      <c r="W322" s="40"/>
    </row>
    <row r="323" spans="4:23" x14ac:dyDescent="0.2">
      <c r="D323" s="94"/>
      <c r="E323" s="94"/>
      <c r="F323" s="94"/>
      <c r="G323" s="94"/>
      <c r="H323" s="94"/>
      <c r="I323" s="94"/>
      <c r="J323" s="94"/>
      <c r="K323" s="94"/>
      <c r="L323" s="94"/>
      <c r="M323" s="94"/>
      <c r="N323" s="94"/>
      <c r="P323" s="53"/>
      <c r="Q323" s="53"/>
      <c r="W323" s="40"/>
    </row>
    <row r="324" spans="4:23" x14ac:dyDescent="0.2">
      <c r="D324" s="94"/>
      <c r="E324" s="94"/>
      <c r="F324" s="94"/>
      <c r="G324" s="94"/>
      <c r="H324" s="94"/>
      <c r="I324" s="94"/>
      <c r="J324" s="94"/>
      <c r="K324" s="94"/>
      <c r="L324" s="94"/>
      <c r="M324" s="94"/>
      <c r="N324" s="94"/>
      <c r="P324" s="53"/>
      <c r="Q324" s="53"/>
      <c r="W324" s="40"/>
    </row>
    <row r="325" spans="4:23" x14ac:dyDescent="0.2">
      <c r="D325" s="94"/>
      <c r="E325" s="94"/>
      <c r="F325" s="94"/>
      <c r="G325" s="94"/>
      <c r="H325" s="94"/>
      <c r="I325" s="94"/>
      <c r="J325" s="94"/>
      <c r="K325" s="94"/>
      <c r="L325" s="94"/>
      <c r="M325" s="94"/>
      <c r="N325" s="94"/>
      <c r="P325" s="53"/>
      <c r="Q325" s="53"/>
      <c r="W325" s="40"/>
    </row>
    <row r="326" spans="4:23" x14ac:dyDescent="0.2">
      <c r="D326" s="94"/>
      <c r="E326" s="94"/>
      <c r="F326" s="94"/>
      <c r="G326" s="94"/>
      <c r="H326" s="94"/>
      <c r="I326" s="94"/>
      <c r="J326" s="94"/>
      <c r="K326" s="94"/>
      <c r="L326" s="94"/>
      <c r="M326" s="94"/>
      <c r="N326" s="94"/>
      <c r="P326" s="53"/>
      <c r="Q326" s="53"/>
      <c r="W326" s="40"/>
    </row>
    <row r="327" spans="4:23" x14ac:dyDescent="0.2">
      <c r="D327" s="94"/>
      <c r="E327" s="94"/>
      <c r="F327" s="94"/>
      <c r="G327" s="94"/>
      <c r="H327" s="94"/>
      <c r="I327" s="94"/>
      <c r="J327" s="94"/>
      <c r="K327" s="94"/>
      <c r="L327" s="94"/>
      <c r="M327" s="94"/>
      <c r="N327" s="94"/>
      <c r="P327" s="53"/>
      <c r="Q327" s="53"/>
      <c r="W327" s="40"/>
    </row>
    <row r="328" spans="4:23" x14ac:dyDescent="0.2">
      <c r="D328" s="94"/>
      <c r="E328" s="94"/>
      <c r="F328" s="94"/>
      <c r="G328" s="94"/>
      <c r="H328" s="94"/>
      <c r="I328" s="94"/>
      <c r="J328" s="94"/>
      <c r="K328" s="94"/>
      <c r="L328" s="94"/>
      <c r="M328" s="94"/>
      <c r="N328" s="94"/>
      <c r="P328" s="53"/>
      <c r="Q328" s="53"/>
      <c r="W328" s="40"/>
    </row>
    <row r="329" spans="4:23" x14ac:dyDescent="0.2">
      <c r="D329" s="94"/>
      <c r="E329" s="94"/>
      <c r="F329" s="94"/>
      <c r="G329" s="94"/>
      <c r="H329" s="94"/>
      <c r="I329" s="94"/>
      <c r="J329" s="94"/>
      <c r="K329" s="94"/>
      <c r="L329" s="94"/>
      <c r="M329" s="94"/>
      <c r="N329" s="94"/>
      <c r="P329" s="53"/>
      <c r="Q329" s="53"/>
      <c r="W329" s="40"/>
    </row>
    <row r="330" spans="4:23" x14ac:dyDescent="0.2">
      <c r="D330" s="94"/>
      <c r="E330" s="94"/>
      <c r="F330" s="94"/>
      <c r="G330" s="94"/>
      <c r="H330" s="94"/>
      <c r="I330" s="94"/>
      <c r="J330" s="94"/>
      <c r="K330" s="94"/>
      <c r="L330" s="94"/>
      <c r="M330" s="94"/>
      <c r="N330" s="94"/>
      <c r="P330" s="53"/>
      <c r="Q330" s="53"/>
      <c r="W330" s="40"/>
    </row>
    <row r="331" spans="4:23" x14ac:dyDescent="0.2">
      <c r="D331" s="94"/>
      <c r="E331" s="94"/>
      <c r="F331" s="94"/>
      <c r="G331" s="94"/>
      <c r="H331" s="94"/>
      <c r="I331" s="94"/>
      <c r="J331" s="94"/>
      <c r="K331" s="94"/>
      <c r="L331" s="94"/>
      <c r="M331" s="94"/>
      <c r="N331" s="94"/>
      <c r="P331" s="53"/>
      <c r="Q331" s="53"/>
      <c r="W331" s="40"/>
    </row>
    <row r="332" spans="4:23" x14ac:dyDescent="0.2">
      <c r="D332" s="94"/>
      <c r="E332" s="94"/>
      <c r="F332" s="94"/>
      <c r="G332" s="94"/>
      <c r="H332" s="94"/>
      <c r="I332" s="94"/>
      <c r="J332" s="94"/>
      <c r="K332" s="94"/>
      <c r="L332" s="94"/>
      <c r="M332" s="94"/>
      <c r="N332" s="94"/>
      <c r="P332" s="53"/>
      <c r="Q332" s="53"/>
      <c r="W332" s="40"/>
    </row>
    <row r="333" spans="4:23" x14ac:dyDescent="0.2">
      <c r="D333" s="94"/>
      <c r="E333" s="94"/>
      <c r="F333" s="94"/>
      <c r="G333" s="94"/>
      <c r="H333" s="94"/>
      <c r="I333" s="94"/>
      <c r="J333" s="94"/>
      <c r="K333" s="94"/>
      <c r="L333" s="94"/>
      <c r="M333" s="94"/>
      <c r="N333" s="94"/>
      <c r="P333" s="53"/>
      <c r="Q333" s="53"/>
      <c r="W333" s="40"/>
    </row>
    <row r="334" spans="4:23" x14ac:dyDescent="0.2">
      <c r="D334" s="94"/>
      <c r="E334" s="94"/>
      <c r="F334" s="94"/>
      <c r="G334" s="94"/>
      <c r="H334" s="94"/>
      <c r="I334" s="94"/>
      <c r="J334" s="94"/>
      <c r="K334" s="94"/>
      <c r="L334" s="94"/>
      <c r="M334" s="94"/>
      <c r="N334" s="94"/>
      <c r="P334" s="53"/>
      <c r="Q334" s="53"/>
      <c r="W334" s="40"/>
    </row>
    <row r="335" spans="4:23" x14ac:dyDescent="0.2">
      <c r="D335" s="94"/>
      <c r="E335" s="94"/>
      <c r="F335" s="94"/>
      <c r="G335" s="94"/>
      <c r="H335" s="94"/>
      <c r="I335" s="94"/>
      <c r="J335" s="94"/>
      <c r="K335" s="94"/>
      <c r="L335" s="94"/>
      <c r="M335" s="94"/>
      <c r="N335" s="94"/>
      <c r="P335" s="53"/>
      <c r="Q335" s="53"/>
      <c r="W335" s="40"/>
    </row>
    <row r="336" spans="4:23" x14ac:dyDescent="0.2">
      <c r="D336" s="94"/>
      <c r="E336" s="94"/>
      <c r="F336" s="94"/>
      <c r="G336" s="94"/>
      <c r="H336" s="94"/>
      <c r="I336" s="94"/>
      <c r="J336" s="94"/>
      <c r="K336" s="94"/>
      <c r="L336" s="94"/>
      <c r="M336" s="94"/>
      <c r="N336" s="94"/>
      <c r="P336" s="53"/>
      <c r="Q336" s="53"/>
      <c r="W336" s="40"/>
    </row>
    <row r="337" spans="4:23" x14ac:dyDescent="0.2">
      <c r="D337" s="94"/>
      <c r="E337" s="94"/>
      <c r="F337" s="94"/>
      <c r="G337" s="94"/>
      <c r="H337" s="94"/>
      <c r="I337" s="94"/>
      <c r="J337" s="94"/>
      <c r="K337" s="94"/>
      <c r="L337" s="94"/>
      <c r="M337" s="94"/>
      <c r="N337" s="94"/>
      <c r="P337" s="53"/>
      <c r="Q337" s="53"/>
      <c r="W337" s="40"/>
    </row>
    <row r="338" spans="4:23" x14ac:dyDescent="0.2">
      <c r="D338" s="94"/>
      <c r="E338" s="94"/>
      <c r="F338" s="94"/>
      <c r="G338" s="94"/>
      <c r="H338" s="94"/>
      <c r="I338" s="94"/>
      <c r="J338" s="94"/>
      <c r="K338" s="94"/>
      <c r="L338" s="94"/>
      <c r="M338" s="94"/>
      <c r="N338" s="94"/>
      <c r="P338" s="53"/>
      <c r="Q338" s="53"/>
      <c r="W338" s="40"/>
    </row>
    <row r="339" spans="4:23" x14ac:dyDescent="0.2">
      <c r="D339" s="94"/>
      <c r="E339" s="94"/>
      <c r="F339" s="94"/>
      <c r="G339" s="94"/>
      <c r="H339" s="94"/>
      <c r="I339" s="94"/>
      <c r="J339" s="94"/>
      <c r="K339" s="94"/>
      <c r="L339" s="94"/>
      <c r="M339" s="94"/>
      <c r="N339" s="94"/>
      <c r="P339" s="53"/>
      <c r="Q339" s="53"/>
      <c r="W339" s="40"/>
    </row>
    <row r="340" spans="4:23" x14ac:dyDescent="0.2">
      <c r="D340" s="94"/>
      <c r="E340" s="94"/>
      <c r="F340" s="94"/>
      <c r="G340" s="94"/>
      <c r="H340" s="94"/>
      <c r="I340" s="94"/>
      <c r="J340" s="94"/>
      <c r="K340" s="94"/>
      <c r="L340" s="94"/>
      <c r="M340" s="94"/>
      <c r="N340" s="94"/>
      <c r="P340" s="53"/>
      <c r="Q340" s="53"/>
      <c r="W340" s="40"/>
    </row>
    <row r="341" spans="4:23" x14ac:dyDescent="0.2">
      <c r="D341" s="94"/>
      <c r="E341" s="94"/>
      <c r="F341" s="94"/>
      <c r="G341" s="94"/>
      <c r="H341" s="94"/>
      <c r="I341" s="94"/>
      <c r="J341" s="94"/>
      <c r="K341" s="94"/>
      <c r="L341" s="94"/>
      <c r="M341" s="94"/>
      <c r="N341" s="94"/>
      <c r="P341" s="53"/>
      <c r="Q341" s="53"/>
      <c r="W341" s="40"/>
    </row>
    <row r="342" spans="4:23" x14ac:dyDescent="0.2">
      <c r="D342" s="94"/>
      <c r="E342" s="94"/>
      <c r="F342" s="94"/>
      <c r="G342" s="94"/>
      <c r="H342" s="94"/>
      <c r="I342" s="94"/>
      <c r="J342" s="94"/>
      <c r="K342" s="94"/>
      <c r="L342" s="94"/>
      <c r="M342" s="94"/>
      <c r="N342" s="94"/>
      <c r="P342" s="53"/>
      <c r="Q342" s="53"/>
      <c r="W342" s="40"/>
    </row>
    <row r="343" spans="4:23" x14ac:dyDescent="0.2">
      <c r="D343" s="94"/>
      <c r="E343" s="94"/>
      <c r="F343" s="94"/>
      <c r="G343" s="94"/>
      <c r="H343" s="94"/>
      <c r="I343" s="94"/>
      <c r="J343" s="94"/>
      <c r="K343" s="94"/>
      <c r="L343" s="94"/>
      <c r="M343" s="94"/>
      <c r="N343" s="94"/>
      <c r="P343" s="53"/>
      <c r="Q343" s="53"/>
      <c r="W343" s="40"/>
    </row>
    <row r="344" spans="4:23" x14ac:dyDescent="0.2">
      <c r="D344" s="94"/>
      <c r="E344" s="94"/>
      <c r="F344" s="94"/>
      <c r="G344" s="94"/>
      <c r="H344" s="94"/>
      <c r="I344" s="94"/>
      <c r="J344" s="94"/>
      <c r="K344" s="94"/>
      <c r="L344" s="94"/>
      <c r="M344" s="94"/>
      <c r="N344" s="94"/>
      <c r="P344" s="53"/>
      <c r="Q344" s="53"/>
      <c r="W344" s="40"/>
    </row>
    <row r="345" spans="4:23" x14ac:dyDescent="0.2">
      <c r="D345" s="94"/>
      <c r="E345" s="94"/>
      <c r="F345" s="94"/>
      <c r="G345" s="94"/>
      <c r="H345" s="94"/>
      <c r="I345" s="94"/>
      <c r="J345" s="94"/>
      <c r="K345" s="94"/>
      <c r="L345" s="94"/>
      <c r="M345" s="94"/>
      <c r="N345" s="94"/>
      <c r="P345" s="53"/>
      <c r="Q345" s="53"/>
      <c r="W345" s="40"/>
    </row>
    <row r="346" spans="4:23" x14ac:dyDescent="0.2">
      <c r="D346" s="94"/>
      <c r="E346" s="94"/>
      <c r="F346" s="94"/>
      <c r="G346" s="94"/>
      <c r="H346" s="94"/>
      <c r="I346" s="94"/>
      <c r="J346" s="94"/>
      <c r="K346" s="94"/>
      <c r="L346" s="94"/>
      <c r="M346" s="94"/>
      <c r="N346" s="94"/>
      <c r="P346" s="53"/>
      <c r="Q346" s="53"/>
      <c r="W346" s="40"/>
    </row>
    <row r="347" spans="4:23" x14ac:dyDescent="0.2">
      <c r="D347" s="94"/>
      <c r="E347" s="94"/>
      <c r="F347" s="94"/>
      <c r="G347" s="94"/>
      <c r="H347" s="94"/>
      <c r="I347" s="94"/>
      <c r="J347" s="94"/>
      <c r="K347" s="94"/>
      <c r="L347" s="94"/>
      <c r="M347" s="94"/>
      <c r="N347" s="94"/>
      <c r="P347" s="53"/>
      <c r="Q347" s="53"/>
      <c r="W347" s="40"/>
    </row>
    <row r="348" spans="4:23" x14ac:dyDescent="0.2">
      <c r="D348" s="94"/>
      <c r="E348" s="94"/>
      <c r="F348" s="94"/>
      <c r="G348" s="94"/>
      <c r="H348" s="94"/>
      <c r="I348" s="94"/>
      <c r="J348" s="94"/>
      <c r="K348" s="94"/>
      <c r="L348" s="94"/>
      <c r="M348" s="94"/>
      <c r="N348" s="94"/>
      <c r="P348" s="53"/>
      <c r="Q348" s="53"/>
      <c r="W348" s="40"/>
    </row>
    <row r="349" spans="4:23" x14ac:dyDescent="0.2">
      <c r="D349" s="94"/>
      <c r="E349" s="94"/>
      <c r="F349" s="94"/>
      <c r="G349" s="94"/>
      <c r="H349" s="94"/>
      <c r="I349" s="94"/>
      <c r="J349" s="94"/>
      <c r="K349" s="94"/>
      <c r="L349" s="94"/>
      <c r="M349" s="94"/>
      <c r="N349" s="94"/>
      <c r="P349" s="53"/>
      <c r="Q349" s="53"/>
      <c r="W349" s="40"/>
    </row>
    <row r="350" spans="4:23" x14ac:dyDescent="0.2">
      <c r="D350" s="94"/>
      <c r="E350" s="94"/>
      <c r="F350" s="94"/>
      <c r="G350" s="94"/>
      <c r="H350" s="94"/>
      <c r="I350" s="94"/>
      <c r="J350" s="94"/>
      <c r="K350" s="94"/>
      <c r="L350" s="94"/>
      <c r="M350" s="94"/>
      <c r="N350" s="94"/>
      <c r="P350" s="53"/>
      <c r="Q350" s="53"/>
      <c r="W350" s="40"/>
    </row>
    <row r="351" spans="4:23" x14ac:dyDescent="0.2">
      <c r="D351" s="94"/>
      <c r="E351" s="94"/>
      <c r="F351" s="94"/>
      <c r="G351" s="94"/>
      <c r="H351" s="94"/>
      <c r="I351" s="94"/>
      <c r="J351" s="94"/>
      <c r="K351" s="94"/>
      <c r="L351" s="94"/>
      <c r="M351" s="94"/>
      <c r="N351" s="94"/>
      <c r="P351" s="53"/>
      <c r="Q351" s="53"/>
      <c r="W351" s="40"/>
    </row>
    <row r="352" spans="4:23" x14ac:dyDescent="0.2">
      <c r="D352" s="94"/>
      <c r="E352" s="94"/>
      <c r="F352" s="94"/>
      <c r="G352" s="94"/>
      <c r="H352" s="94"/>
      <c r="I352" s="94"/>
      <c r="J352" s="94"/>
      <c r="K352" s="94"/>
      <c r="L352" s="94"/>
      <c r="M352" s="94"/>
      <c r="N352" s="94"/>
      <c r="P352" s="53"/>
      <c r="Q352" s="53"/>
      <c r="W352" s="40"/>
    </row>
    <row r="353" spans="4:23" x14ac:dyDescent="0.2">
      <c r="D353" s="94"/>
      <c r="E353" s="94"/>
      <c r="F353" s="94"/>
      <c r="G353" s="94"/>
      <c r="H353" s="94"/>
      <c r="I353" s="94"/>
      <c r="J353" s="94"/>
      <c r="K353" s="94"/>
      <c r="L353" s="94"/>
      <c r="M353" s="94"/>
      <c r="N353" s="94"/>
      <c r="P353" s="53"/>
      <c r="Q353" s="53"/>
      <c r="W353" s="40"/>
    </row>
    <row r="354" spans="4:23" x14ac:dyDescent="0.2">
      <c r="P354" s="53"/>
      <c r="Q354" s="53"/>
      <c r="W354" s="40"/>
    </row>
    <row r="355" spans="4:23" x14ac:dyDescent="0.2">
      <c r="P355" s="53"/>
      <c r="Q355" s="53"/>
      <c r="W355" s="40"/>
    </row>
    <row r="356" spans="4:23" x14ac:dyDescent="0.2">
      <c r="P356" s="53"/>
      <c r="Q356" s="53"/>
      <c r="W356" s="40"/>
    </row>
    <row r="357" spans="4:23" x14ac:dyDescent="0.2">
      <c r="P357" s="53"/>
      <c r="Q357" s="53"/>
      <c r="W357" s="40"/>
    </row>
    <row r="358" spans="4:23" x14ac:dyDescent="0.2">
      <c r="P358" s="53"/>
      <c r="Q358" s="53"/>
      <c r="W358" s="40"/>
    </row>
    <row r="359" spans="4:23" x14ac:dyDescent="0.2">
      <c r="P359" s="53"/>
      <c r="Q359" s="53"/>
      <c r="W359" s="40"/>
    </row>
    <row r="360" spans="4:23" x14ac:dyDescent="0.2">
      <c r="P360" s="53"/>
      <c r="Q360" s="53"/>
      <c r="W360" s="40"/>
    </row>
    <row r="361" spans="4:23" x14ac:dyDescent="0.2">
      <c r="P361" s="53"/>
      <c r="Q361" s="53"/>
      <c r="W361" s="40"/>
    </row>
    <row r="362" spans="4:23" x14ac:dyDescent="0.2">
      <c r="P362" s="53"/>
      <c r="Q362" s="53"/>
      <c r="W362" s="40"/>
    </row>
    <row r="363" spans="4:23" x14ac:dyDescent="0.2">
      <c r="P363" s="53"/>
      <c r="Q363" s="53"/>
      <c r="W363" s="40"/>
    </row>
    <row r="364" spans="4:23" x14ac:dyDescent="0.2">
      <c r="P364" s="53"/>
      <c r="Q364" s="53"/>
      <c r="W364" s="40"/>
    </row>
    <row r="365" spans="4:23" x14ac:dyDescent="0.2">
      <c r="P365" s="53"/>
      <c r="Q365" s="53"/>
      <c r="W365" s="40"/>
    </row>
    <row r="366" spans="4:23" x14ac:dyDescent="0.2">
      <c r="P366" s="53"/>
      <c r="Q366" s="53"/>
      <c r="W366" s="40"/>
    </row>
    <row r="367" spans="4:23" x14ac:dyDescent="0.2">
      <c r="P367" s="53"/>
      <c r="Q367" s="53"/>
      <c r="W367" s="40"/>
    </row>
    <row r="368" spans="4:23" x14ac:dyDescent="0.2">
      <c r="P368" s="53"/>
      <c r="Q368" s="53"/>
      <c r="W368" s="40"/>
    </row>
    <row r="369" spans="16:23" x14ac:dyDescent="0.2">
      <c r="P369" s="53"/>
      <c r="Q369" s="53"/>
      <c r="W369" s="40"/>
    </row>
    <row r="370" spans="16:23" x14ac:dyDescent="0.2">
      <c r="P370" s="53"/>
      <c r="Q370" s="53"/>
      <c r="W370" s="40"/>
    </row>
    <row r="371" spans="16:23" x14ac:dyDescent="0.2">
      <c r="P371" s="53"/>
      <c r="Q371" s="53"/>
      <c r="W371" s="40"/>
    </row>
    <row r="372" spans="16:23" x14ac:dyDescent="0.2">
      <c r="P372" s="53"/>
      <c r="Q372" s="53"/>
      <c r="W372" s="40"/>
    </row>
    <row r="373" spans="16:23" x14ac:dyDescent="0.2">
      <c r="P373" s="53"/>
      <c r="Q373" s="53"/>
      <c r="W373" s="40"/>
    </row>
    <row r="374" spans="16:23" x14ac:dyDescent="0.2">
      <c r="P374" s="53"/>
      <c r="Q374" s="53"/>
      <c r="W374" s="40"/>
    </row>
    <row r="375" spans="16:23" x14ac:dyDescent="0.2">
      <c r="P375" s="53"/>
      <c r="Q375" s="53"/>
      <c r="W375" s="40"/>
    </row>
    <row r="376" spans="16:23" x14ac:dyDescent="0.2">
      <c r="P376" s="53"/>
      <c r="Q376" s="53"/>
      <c r="W376" s="40"/>
    </row>
    <row r="377" spans="16:23" x14ac:dyDescent="0.2">
      <c r="P377" s="53"/>
      <c r="Q377" s="53"/>
      <c r="W377" s="40"/>
    </row>
    <row r="378" spans="16:23" x14ac:dyDescent="0.2">
      <c r="P378" s="53"/>
      <c r="Q378" s="53"/>
      <c r="W378" s="40"/>
    </row>
    <row r="379" spans="16:23" x14ac:dyDescent="0.2">
      <c r="P379" s="53"/>
      <c r="Q379" s="53"/>
      <c r="W379" s="40"/>
    </row>
    <row r="380" spans="16:23" x14ac:dyDescent="0.2">
      <c r="P380" s="53"/>
      <c r="Q380" s="53"/>
      <c r="W380" s="40"/>
    </row>
    <row r="381" spans="16:23" x14ac:dyDescent="0.2">
      <c r="P381" s="53"/>
      <c r="Q381" s="53"/>
      <c r="W381" s="40"/>
    </row>
    <row r="382" spans="16:23" x14ac:dyDescent="0.2">
      <c r="P382" s="53"/>
      <c r="Q382" s="53"/>
      <c r="W382" s="40"/>
    </row>
    <row r="383" spans="16:23" x14ac:dyDescent="0.2">
      <c r="P383" s="53"/>
      <c r="Q383" s="53"/>
      <c r="W383" s="40"/>
    </row>
    <row r="384" spans="16:23" x14ac:dyDescent="0.2">
      <c r="P384" s="53"/>
      <c r="Q384" s="53"/>
      <c r="W384" s="40"/>
    </row>
    <row r="385" spans="16:23" x14ac:dyDescent="0.2">
      <c r="P385" s="53"/>
      <c r="Q385" s="53"/>
      <c r="W385" s="40"/>
    </row>
    <row r="386" spans="16:23" x14ac:dyDescent="0.2">
      <c r="P386" s="53"/>
      <c r="Q386" s="53"/>
      <c r="W386" s="40"/>
    </row>
    <row r="387" spans="16:23" x14ac:dyDescent="0.2">
      <c r="P387" s="53"/>
      <c r="Q387" s="53"/>
      <c r="W387" s="40"/>
    </row>
    <row r="388" spans="16:23" x14ac:dyDescent="0.2">
      <c r="P388" s="53"/>
      <c r="Q388" s="53"/>
      <c r="W388" s="40"/>
    </row>
    <row r="389" spans="16:23" x14ac:dyDescent="0.2">
      <c r="P389" s="53"/>
      <c r="Q389" s="53"/>
      <c r="W389" s="40"/>
    </row>
    <row r="390" spans="16:23" x14ac:dyDescent="0.2">
      <c r="P390" s="53"/>
      <c r="Q390" s="53"/>
      <c r="W390" s="40"/>
    </row>
    <row r="391" spans="16:23" x14ac:dyDescent="0.2">
      <c r="P391" s="53"/>
      <c r="Q391" s="53"/>
      <c r="W391" s="40"/>
    </row>
    <row r="392" spans="16:23" x14ac:dyDescent="0.2">
      <c r="P392" s="53"/>
      <c r="Q392" s="53"/>
      <c r="W392" s="40"/>
    </row>
    <row r="393" spans="16:23" x14ac:dyDescent="0.2">
      <c r="P393" s="53"/>
      <c r="Q393" s="53"/>
      <c r="W393" s="40"/>
    </row>
    <row r="394" spans="16:23" x14ac:dyDescent="0.2">
      <c r="P394" s="53"/>
      <c r="Q394" s="53"/>
      <c r="W394" s="40"/>
    </row>
    <row r="395" spans="16:23" x14ac:dyDescent="0.2">
      <c r="P395" s="53"/>
      <c r="Q395" s="53"/>
      <c r="W395" s="40"/>
    </row>
    <row r="396" spans="16:23" x14ac:dyDescent="0.2">
      <c r="P396" s="53"/>
      <c r="Q396" s="53"/>
      <c r="W396" s="40"/>
    </row>
    <row r="397" spans="16:23" x14ac:dyDescent="0.2">
      <c r="P397" s="53"/>
      <c r="Q397" s="53"/>
      <c r="W397" s="40"/>
    </row>
    <row r="398" spans="16:23" x14ac:dyDescent="0.2">
      <c r="P398" s="53"/>
      <c r="Q398" s="53"/>
      <c r="W398" s="40"/>
    </row>
    <row r="399" spans="16:23" x14ac:dyDescent="0.2">
      <c r="P399" s="53"/>
      <c r="Q399" s="53"/>
      <c r="W399" s="40"/>
    </row>
    <row r="400" spans="16:23" x14ac:dyDescent="0.2">
      <c r="P400" s="53"/>
      <c r="Q400" s="53"/>
      <c r="W400" s="40"/>
    </row>
    <row r="401" spans="16:23" x14ac:dyDescent="0.2">
      <c r="P401" s="53"/>
      <c r="Q401" s="53"/>
      <c r="W401" s="40"/>
    </row>
    <row r="402" spans="16:23" x14ac:dyDescent="0.2">
      <c r="P402" s="53"/>
      <c r="Q402" s="53"/>
      <c r="W402" s="40"/>
    </row>
    <row r="403" spans="16:23" x14ac:dyDescent="0.2">
      <c r="P403" s="53"/>
      <c r="Q403" s="53"/>
      <c r="W403" s="40"/>
    </row>
    <row r="404" spans="16:23" x14ac:dyDescent="0.2">
      <c r="P404" s="53"/>
      <c r="Q404" s="53"/>
      <c r="W404" s="40"/>
    </row>
    <row r="405" spans="16:23" x14ac:dyDescent="0.2">
      <c r="P405" s="53"/>
      <c r="Q405" s="53"/>
      <c r="W405" s="40"/>
    </row>
    <row r="406" spans="16:23" x14ac:dyDescent="0.2">
      <c r="P406" s="53"/>
      <c r="Q406" s="53"/>
      <c r="W406" s="40"/>
    </row>
    <row r="407" spans="16:23" x14ac:dyDescent="0.2">
      <c r="P407" s="53"/>
      <c r="Q407" s="53"/>
      <c r="W407" s="40"/>
    </row>
    <row r="408" spans="16:23" x14ac:dyDescent="0.2">
      <c r="P408" s="53"/>
      <c r="Q408" s="53"/>
      <c r="W408" s="40"/>
    </row>
    <row r="409" spans="16:23" x14ac:dyDescent="0.2">
      <c r="P409" s="53"/>
      <c r="Q409" s="53"/>
      <c r="W409" s="40"/>
    </row>
    <row r="410" spans="16:23" x14ac:dyDescent="0.2">
      <c r="P410" s="53"/>
      <c r="Q410" s="53"/>
      <c r="W410" s="40"/>
    </row>
    <row r="411" spans="16:23" x14ac:dyDescent="0.2">
      <c r="P411" s="53"/>
      <c r="Q411" s="53"/>
      <c r="W411" s="40"/>
    </row>
    <row r="412" spans="16:23" x14ac:dyDescent="0.2">
      <c r="P412" s="53"/>
      <c r="Q412" s="53"/>
      <c r="W412" s="40"/>
    </row>
    <row r="413" spans="16:23" x14ac:dyDescent="0.2">
      <c r="P413" s="53"/>
      <c r="Q413" s="53"/>
      <c r="W413" s="40"/>
    </row>
    <row r="414" spans="16:23" x14ac:dyDescent="0.2">
      <c r="P414" s="53"/>
      <c r="Q414" s="53"/>
      <c r="W414" s="40"/>
    </row>
    <row r="415" spans="16:23" x14ac:dyDescent="0.2">
      <c r="P415" s="53"/>
      <c r="Q415" s="53"/>
      <c r="W415" s="40"/>
    </row>
    <row r="416" spans="16:23" x14ac:dyDescent="0.2">
      <c r="P416" s="53"/>
      <c r="Q416" s="53"/>
      <c r="W416" s="40"/>
    </row>
    <row r="417" spans="16:23" x14ac:dyDescent="0.2">
      <c r="P417" s="53"/>
      <c r="Q417" s="53"/>
      <c r="W417" s="40"/>
    </row>
    <row r="418" spans="16:23" x14ac:dyDescent="0.2">
      <c r="P418" s="53"/>
      <c r="Q418" s="53"/>
      <c r="W418" s="40"/>
    </row>
    <row r="419" spans="16:23" x14ac:dyDescent="0.2">
      <c r="P419" s="53"/>
      <c r="Q419" s="53"/>
      <c r="W419" s="40"/>
    </row>
    <row r="420" spans="16:23" x14ac:dyDescent="0.2">
      <c r="P420" s="53"/>
      <c r="Q420" s="53"/>
      <c r="W420" s="40"/>
    </row>
    <row r="421" spans="16:23" x14ac:dyDescent="0.2">
      <c r="P421" s="53"/>
      <c r="Q421" s="53"/>
      <c r="W421" s="40"/>
    </row>
    <row r="422" spans="16:23" x14ac:dyDescent="0.2">
      <c r="P422" s="53"/>
      <c r="Q422" s="53"/>
      <c r="W422" s="40"/>
    </row>
    <row r="423" spans="16:23" x14ac:dyDescent="0.2">
      <c r="P423" s="53"/>
      <c r="Q423" s="53"/>
      <c r="W423" s="40"/>
    </row>
    <row r="424" spans="16:23" x14ac:dyDescent="0.2">
      <c r="P424" s="53"/>
      <c r="Q424" s="53"/>
      <c r="W424" s="40"/>
    </row>
    <row r="425" spans="16:23" x14ac:dyDescent="0.2">
      <c r="P425" s="53"/>
      <c r="Q425" s="53"/>
      <c r="W425" s="40"/>
    </row>
    <row r="426" spans="16:23" x14ac:dyDescent="0.2">
      <c r="P426" s="53"/>
      <c r="Q426" s="53"/>
      <c r="W426" s="40"/>
    </row>
    <row r="427" spans="16:23" x14ac:dyDescent="0.2">
      <c r="P427" s="53"/>
      <c r="Q427" s="53"/>
      <c r="W427" s="40"/>
    </row>
    <row r="428" spans="16:23" x14ac:dyDescent="0.2">
      <c r="P428" s="53"/>
      <c r="Q428" s="53"/>
      <c r="W428" s="40"/>
    </row>
    <row r="429" spans="16:23" x14ac:dyDescent="0.2">
      <c r="P429" s="53"/>
      <c r="Q429" s="53"/>
      <c r="W429" s="40"/>
    </row>
    <row r="430" spans="16:23" x14ac:dyDescent="0.2">
      <c r="P430" s="53"/>
      <c r="Q430" s="53"/>
      <c r="W430" s="40"/>
    </row>
    <row r="431" spans="16:23" x14ac:dyDescent="0.2">
      <c r="P431" s="53"/>
      <c r="Q431" s="53"/>
      <c r="W431" s="40"/>
    </row>
    <row r="432" spans="16:23" x14ac:dyDescent="0.2">
      <c r="P432" s="53"/>
      <c r="Q432" s="53"/>
      <c r="W432" s="40"/>
    </row>
    <row r="433" spans="16:23" x14ac:dyDescent="0.2">
      <c r="P433" s="53"/>
      <c r="Q433" s="53"/>
      <c r="W433" s="40"/>
    </row>
    <row r="434" spans="16:23" x14ac:dyDescent="0.2">
      <c r="P434" s="53"/>
      <c r="Q434" s="53"/>
      <c r="W434" s="40"/>
    </row>
    <row r="435" spans="16:23" x14ac:dyDescent="0.2">
      <c r="P435" s="53"/>
      <c r="Q435" s="53"/>
      <c r="W435" s="40"/>
    </row>
    <row r="436" spans="16:23" x14ac:dyDescent="0.2">
      <c r="P436" s="53"/>
      <c r="Q436" s="53"/>
      <c r="W436" s="40"/>
    </row>
    <row r="437" spans="16:23" x14ac:dyDescent="0.2">
      <c r="P437" s="53"/>
      <c r="Q437" s="53"/>
      <c r="W437" s="40"/>
    </row>
    <row r="438" spans="16:23" x14ac:dyDescent="0.2">
      <c r="P438" s="53"/>
      <c r="Q438" s="53"/>
      <c r="W438" s="40"/>
    </row>
    <row r="439" spans="16:23" x14ac:dyDescent="0.2">
      <c r="P439" s="53"/>
      <c r="Q439" s="53"/>
      <c r="W439" s="40"/>
    </row>
    <row r="440" spans="16:23" x14ac:dyDescent="0.2">
      <c r="P440" s="53"/>
      <c r="Q440" s="53"/>
      <c r="W440" s="40"/>
    </row>
    <row r="441" spans="16:23" x14ac:dyDescent="0.2">
      <c r="P441" s="53"/>
      <c r="Q441" s="53"/>
      <c r="W441" s="40"/>
    </row>
    <row r="442" spans="16:23" x14ac:dyDescent="0.2">
      <c r="P442" s="53"/>
      <c r="Q442" s="53"/>
      <c r="W442" s="40"/>
    </row>
    <row r="443" spans="16:23" x14ac:dyDescent="0.2">
      <c r="P443" s="53"/>
      <c r="Q443" s="53"/>
      <c r="W443" s="40"/>
    </row>
    <row r="444" spans="16:23" x14ac:dyDescent="0.2">
      <c r="P444" s="53"/>
      <c r="Q444" s="53"/>
      <c r="W444" s="40"/>
    </row>
    <row r="445" spans="16:23" x14ac:dyDescent="0.2">
      <c r="P445" s="53"/>
      <c r="Q445" s="53"/>
      <c r="W445" s="40"/>
    </row>
    <row r="446" spans="16:23" x14ac:dyDescent="0.2">
      <c r="P446" s="53"/>
      <c r="Q446" s="53"/>
      <c r="W446" s="40"/>
    </row>
    <row r="447" spans="16:23" x14ac:dyDescent="0.2">
      <c r="P447" s="53"/>
      <c r="Q447" s="53"/>
      <c r="W447" s="40"/>
    </row>
    <row r="448" spans="16:23" x14ac:dyDescent="0.2">
      <c r="P448" s="53"/>
      <c r="Q448" s="53"/>
      <c r="W448" s="40"/>
    </row>
    <row r="449" spans="16:23" x14ac:dyDescent="0.2">
      <c r="P449" s="53"/>
      <c r="Q449" s="53"/>
      <c r="W449" s="40"/>
    </row>
    <row r="450" spans="16:23" x14ac:dyDescent="0.2">
      <c r="P450" s="53"/>
      <c r="Q450" s="53"/>
      <c r="W450" s="40"/>
    </row>
    <row r="451" spans="16:23" x14ac:dyDescent="0.2">
      <c r="P451" s="53"/>
      <c r="Q451" s="53"/>
      <c r="W451" s="40"/>
    </row>
    <row r="452" spans="16:23" x14ac:dyDescent="0.2">
      <c r="P452" s="53"/>
      <c r="Q452" s="53"/>
      <c r="W452" s="40"/>
    </row>
    <row r="453" spans="16:23" x14ac:dyDescent="0.2">
      <c r="P453" s="53"/>
      <c r="Q453" s="53"/>
      <c r="W453" s="40"/>
    </row>
    <row r="454" spans="16:23" x14ac:dyDescent="0.2">
      <c r="P454" s="53"/>
      <c r="Q454" s="53"/>
      <c r="W454" s="40"/>
    </row>
    <row r="455" spans="16:23" x14ac:dyDescent="0.2">
      <c r="P455" s="53"/>
      <c r="Q455" s="53"/>
      <c r="W455" s="40"/>
    </row>
    <row r="456" spans="16:23" x14ac:dyDescent="0.2">
      <c r="P456" s="53"/>
      <c r="Q456" s="53"/>
      <c r="W456" s="40"/>
    </row>
    <row r="457" spans="16:23" x14ac:dyDescent="0.2">
      <c r="P457" s="53"/>
      <c r="Q457" s="53"/>
      <c r="W457" s="40"/>
    </row>
    <row r="458" spans="16:23" x14ac:dyDescent="0.2">
      <c r="P458" s="53"/>
      <c r="Q458" s="53"/>
      <c r="W458" s="40"/>
    </row>
    <row r="459" spans="16:23" x14ac:dyDescent="0.2">
      <c r="P459" s="53"/>
      <c r="Q459" s="53"/>
      <c r="W459" s="40"/>
    </row>
    <row r="460" spans="16:23" x14ac:dyDescent="0.2">
      <c r="P460" s="53"/>
      <c r="Q460" s="53"/>
      <c r="W460" s="40"/>
    </row>
    <row r="461" spans="16:23" x14ac:dyDescent="0.2">
      <c r="P461" s="53"/>
      <c r="Q461" s="53"/>
      <c r="W461" s="40"/>
    </row>
    <row r="462" spans="16:23" x14ac:dyDescent="0.2">
      <c r="P462" s="53"/>
      <c r="Q462" s="53"/>
      <c r="W462" s="40"/>
    </row>
    <row r="463" spans="16:23" x14ac:dyDescent="0.2">
      <c r="P463" s="53"/>
      <c r="Q463" s="53"/>
      <c r="W463" s="40"/>
    </row>
    <row r="464" spans="16:23" x14ac:dyDescent="0.2">
      <c r="P464" s="53"/>
      <c r="Q464" s="53"/>
      <c r="W464" s="40"/>
    </row>
    <row r="465" spans="16:23" x14ac:dyDescent="0.2">
      <c r="P465" s="53"/>
      <c r="Q465" s="53"/>
      <c r="W465" s="40"/>
    </row>
    <row r="466" spans="16:23" x14ac:dyDescent="0.2">
      <c r="P466" s="53"/>
      <c r="Q466" s="53"/>
      <c r="W466" s="40"/>
    </row>
    <row r="467" spans="16:23" x14ac:dyDescent="0.2">
      <c r="P467" s="53"/>
      <c r="Q467" s="53"/>
      <c r="W467" s="40"/>
    </row>
    <row r="468" spans="16:23" x14ac:dyDescent="0.2">
      <c r="P468" s="53"/>
      <c r="Q468" s="53"/>
      <c r="W468" s="40"/>
    </row>
    <row r="469" spans="16:23" x14ac:dyDescent="0.2">
      <c r="P469" s="53"/>
      <c r="Q469" s="53"/>
      <c r="W469" s="40"/>
    </row>
    <row r="470" spans="16:23" x14ac:dyDescent="0.2">
      <c r="P470" s="53"/>
      <c r="Q470" s="53"/>
      <c r="W470" s="40"/>
    </row>
    <row r="471" spans="16:23" x14ac:dyDescent="0.2">
      <c r="P471" s="53"/>
      <c r="Q471" s="53"/>
      <c r="W471" s="40"/>
    </row>
    <row r="472" spans="16:23" x14ac:dyDescent="0.2">
      <c r="P472" s="53"/>
      <c r="Q472" s="53"/>
      <c r="W472" s="40"/>
    </row>
    <row r="473" spans="16:23" x14ac:dyDescent="0.2">
      <c r="P473" s="53"/>
      <c r="Q473" s="53"/>
      <c r="W473" s="40"/>
    </row>
    <row r="474" spans="16:23" x14ac:dyDescent="0.2">
      <c r="P474" s="53"/>
      <c r="Q474" s="53"/>
      <c r="W474" s="40"/>
    </row>
    <row r="475" spans="16:23" x14ac:dyDescent="0.2">
      <c r="P475" s="53"/>
      <c r="Q475" s="53"/>
      <c r="W475" s="40"/>
    </row>
    <row r="476" spans="16:23" x14ac:dyDescent="0.2">
      <c r="P476" s="53"/>
      <c r="Q476" s="53"/>
      <c r="W476" s="40"/>
    </row>
    <row r="477" spans="16:23" x14ac:dyDescent="0.2">
      <c r="P477" s="53"/>
      <c r="Q477" s="53"/>
      <c r="W477" s="40"/>
    </row>
    <row r="478" spans="16:23" x14ac:dyDescent="0.2">
      <c r="P478" s="53"/>
      <c r="Q478" s="53"/>
      <c r="W478" s="40"/>
    </row>
    <row r="479" spans="16:23" x14ac:dyDescent="0.2">
      <c r="P479" s="53"/>
      <c r="Q479" s="53"/>
      <c r="W479" s="40"/>
    </row>
    <row r="480" spans="16:23" x14ac:dyDescent="0.2">
      <c r="P480" s="53"/>
      <c r="Q480" s="53"/>
      <c r="W480" s="40"/>
    </row>
    <row r="481" spans="16:23" x14ac:dyDescent="0.2">
      <c r="P481" s="53"/>
      <c r="Q481" s="53"/>
      <c r="W481" s="40"/>
    </row>
    <row r="482" spans="16:23" x14ac:dyDescent="0.2">
      <c r="P482" s="53"/>
      <c r="Q482" s="53"/>
      <c r="W482" s="40"/>
    </row>
    <row r="483" spans="16:23" x14ac:dyDescent="0.2">
      <c r="P483" s="53"/>
      <c r="Q483" s="53"/>
      <c r="W483" s="40"/>
    </row>
    <row r="484" spans="16:23" x14ac:dyDescent="0.2">
      <c r="P484" s="53"/>
      <c r="Q484" s="53"/>
      <c r="W484" s="40"/>
    </row>
    <row r="485" spans="16:23" x14ac:dyDescent="0.2">
      <c r="P485" s="53"/>
      <c r="Q485" s="53"/>
      <c r="W485" s="40"/>
    </row>
    <row r="486" spans="16:23" x14ac:dyDescent="0.2">
      <c r="P486" s="53"/>
      <c r="Q486" s="53"/>
      <c r="W486" s="40"/>
    </row>
    <row r="487" spans="16:23" x14ac:dyDescent="0.2">
      <c r="P487" s="53"/>
      <c r="Q487" s="53"/>
      <c r="W487" s="40"/>
    </row>
    <row r="488" spans="16:23" x14ac:dyDescent="0.2">
      <c r="P488" s="53"/>
      <c r="Q488" s="53"/>
      <c r="W488" s="40"/>
    </row>
    <row r="489" spans="16:23" x14ac:dyDescent="0.2">
      <c r="P489" s="53"/>
      <c r="Q489" s="53"/>
      <c r="W489" s="40"/>
    </row>
    <row r="490" spans="16:23" x14ac:dyDescent="0.2">
      <c r="P490" s="53"/>
      <c r="Q490" s="53"/>
      <c r="W490" s="40"/>
    </row>
    <row r="491" spans="16:23" x14ac:dyDescent="0.2">
      <c r="P491" s="53"/>
      <c r="Q491" s="53"/>
      <c r="W491" s="40"/>
    </row>
    <row r="492" spans="16:23" x14ac:dyDescent="0.2">
      <c r="P492" s="53"/>
      <c r="Q492" s="53"/>
      <c r="W492" s="40"/>
    </row>
    <row r="493" spans="16:23" x14ac:dyDescent="0.2">
      <c r="P493" s="53"/>
      <c r="Q493" s="53"/>
      <c r="W493" s="40"/>
    </row>
    <row r="494" spans="16:23" x14ac:dyDescent="0.2">
      <c r="P494" s="53"/>
      <c r="Q494" s="53"/>
      <c r="W494" s="40"/>
    </row>
    <row r="495" spans="16:23" x14ac:dyDescent="0.2">
      <c r="P495" s="53"/>
      <c r="Q495" s="53"/>
      <c r="W495" s="40"/>
    </row>
    <row r="496" spans="16:23" x14ac:dyDescent="0.2">
      <c r="P496" s="53"/>
      <c r="Q496" s="53"/>
      <c r="W496" s="40"/>
    </row>
    <row r="497" spans="16:23" x14ac:dyDescent="0.2">
      <c r="P497" s="53"/>
      <c r="Q497" s="53"/>
      <c r="W497" s="40"/>
    </row>
    <row r="498" spans="16:23" x14ac:dyDescent="0.2">
      <c r="P498" s="53"/>
      <c r="Q498" s="53"/>
      <c r="W498" s="40"/>
    </row>
    <row r="499" spans="16:23" x14ac:dyDescent="0.2">
      <c r="P499" s="53"/>
      <c r="Q499" s="53"/>
      <c r="W499" s="40"/>
    </row>
    <row r="500" spans="16:23" x14ac:dyDescent="0.2">
      <c r="P500" s="53"/>
      <c r="Q500" s="53"/>
      <c r="W500" s="40"/>
    </row>
    <row r="501" spans="16:23" x14ac:dyDescent="0.2">
      <c r="P501" s="53"/>
      <c r="Q501" s="53"/>
      <c r="W501" s="40"/>
    </row>
    <row r="502" spans="16:23" x14ac:dyDescent="0.2">
      <c r="P502" s="53"/>
      <c r="Q502" s="53"/>
      <c r="W502" s="40"/>
    </row>
    <row r="503" spans="16:23" x14ac:dyDescent="0.2">
      <c r="P503" s="53"/>
      <c r="Q503" s="53"/>
      <c r="W503" s="40"/>
    </row>
    <row r="504" spans="16:23" x14ac:dyDescent="0.2">
      <c r="P504" s="53"/>
      <c r="Q504" s="53"/>
      <c r="W504" s="40"/>
    </row>
    <row r="505" spans="16:23" x14ac:dyDescent="0.2">
      <c r="P505" s="53"/>
      <c r="Q505" s="53"/>
      <c r="W505" s="40"/>
    </row>
    <row r="506" spans="16:23" x14ac:dyDescent="0.2">
      <c r="P506" s="53"/>
      <c r="Q506" s="53"/>
      <c r="W506" s="40"/>
    </row>
    <row r="507" spans="16:23" x14ac:dyDescent="0.2">
      <c r="P507" s="53"/>
      <c r="Q507" s="53"/>
      <c r="W507" s="40"/>
    </row>
    <row r="508" spans="16:23" x14ac:dyDescent="0.2">
      <c r="P508" s="53"/>
      <c r="Q508" s="53"/>
      <c r="W508" s="40"/>
    </row>
    <row r="509" spans="16:23" x14ac:dyDescent="0.2">
      <c r="P509" s="53"/>
      <c r="Q509" s="53"/>
      <c r="W509" s="40"/>
    </row>
    <row r="510" spans="16:23" x14ac:dyDescent="0.2">
      <c r="P510" s="53"/>
      <c r="Q510" s="53"/>
      <c r="W510" s="40"/>
    </row>
    <row r="511" spans="16:23" x14ac:dyDescent="0.2">
      <c r="P511" s="53"/>
      <c r="Q511" s="53"/>
      <c r="W511" s="40"/>
    </row>
    <row r="512" spans="16:23" x14ac:dyDescent="0.2">
      <c r="P512" s="53"/>
      <c r="Q512" s="53"/>
      <c r="W512" s="40"/>
    </row>
    <row r="513" spans="16:23" x14ac:dyDescent="0.2">
      <c r="P513" s="53"/>
      <c r="Q513" s="53"/>
      <c r="W513" s="40"/>
    </row>
    <row r="514" spans="16:23" x14ac:dyDescent="0.2">
      <c r="P514" s="53"/>
      <c r="Q514" s="53"/>
      <c r="W514" s="40"/>
    </row>
    <row r="515" spans="16:23" x14ac:dyDescent="0.2">
      <c r="P515" s="53"/>
      <c r="Q515" s="53"/>
      <c r="W515" s="40"/>
    </row>
    <row r="516" spans="16:23" x14ac:dyDescent="0.2">
      <c r="P516" s="53"/>
      <c r="Q516" s="53"/>
      <c r="W516" s="40"/>
    </row>
    <row r="517" spans="16:23" x14ac:dyDescent="0.2">
      <c r="P517" s="53"/>
      <c r="Q517" s="53"/>
      <c r="W517" s="40"/>
    </row>
    <row r="518" spans="16:23" x14ac:dyDescent="0.2">
      <c r="P518" s="53"/>
      <c r="Q518" s="53"/>
      <c r="W518" s="40"/>
    </row>
    <row r="519" spans="16:23" x14ac:dyDescent="0.2">
      <c r="P519" s="53"/>
      <c r="Q519" s="53"/>
      <c r="W519" s="40"/>
    </row>
    <row r="520" spans="16:23" x14ac:dyDescent="0.2">
      <c r="P520" s="53"/>
      <c r="Q520" s="53"/>
      <c r="W520" s="40"/>
    </row>
    <row r="521" spans="16:23" x14ac:dyDescent="0.2">
      <c r="P521" s="53"/>
      <c r="Q521" s="53"/>
      <c r="W521" s="40"/>
    </row>
    <row r="522" spans="16:23" x14ac:dyDescent="0.2">
      <c r="P522" s="53"/>
      <c r="Q522" s="53"/>
      <c r="W522" s="40"/>
    </row>
    <row r="523" spans="16:23" x14ac:dyDescent="0.2">
      <c r="P523" s="53"/>
      <c r="Q523" s="53"/>
      <c r="W523" s="40"/>
    </row>
    <row r="524" spans="16:23" x14ac:dyDescent="0.2">
      <c r="P524" s="53"/>
      <c r="Q524" s="53"/>
      <c r="W524" s="40"/>
    </row>
    <row r="525" spans="16:23" x14ac:dyDescent="0.2">
      <c r="P525" s="53"/>
      <c r="Q525" s="53"/>
      <c r="W525" s="40"/>
    </row>
    <row r="526" spans="16:23" x14ac:dyDescent="0.2">
      <c r="P526" s="53"/>
      <c r="Q526" s="53"/>
      <c r="W526" s="40"/>
    </row>
    <row r="527" spans="16:23" x14ac:dyDescent="0.2">
      <c r="P527" s="53"/>
      <c r="Q527" s="53"/>
      <c r="W527" s="40"/>
    </row>
    <row r="528" spans="16:23" x14ac:dyDescent="0.2">
      <c r="P528" s="53"/>
      <c r="Q528" s="53"/>
      <c r="W528" s="40"/>
    </row>
    <row r="529" spans="16:23" x14ac:dyDescent="0.2">
      <c r="P529" s="53"/>
      <c r="Q529" s="53"/>
      <c r="W529" s="40"/>
    </row>
    <row r="530" spans="16:23" x14ac:dyDescent="0.2">
      <c r="P530" s="53"/>
      <c r="Q530" s="53"/>
      <c r="W530" s="40"/>
    </row>
    <row r="531" spans="16:23" x14ac:dyDescent="0.2">
      <c r="P531" s="53"/>
      <c r="Q531" s="53"/>
      <c r="W531" s="40"/>
    </row>
    <row r="532" spans="16:23" x14ac:dyDescent="0.2">
      <c r="P532" s="53"/>
      <c r="Q532" s="53"/>
      <c r="W532" s="40"/>
    </row>
    <row r="533" spans="16:23" x14ac:dyDescent="0.2">
      <c r="P533" s="53"/>
      <c r="Q533" s="53"/>
      <c r="W533" s="40"/>
    </row>
    <row r="534" spans="16:23" x14ac:dyDescent="0.2">
      <c r="P534" s="53"/>
      <c r="Q534" s="53"/>
      <c r="W534" s="40"/>
    </row>
    <row r="535" spans="16:23" x14ac:dyDescent="0.2">
      <c r="P535" s="53"/>
      <c r="Q535" s="53"/>
      <c r="W535" s="40"/>
    </row>
    <row r="536" spans="16:23" x14ac:dyDescent="0.2">
      <c r="P536" s="53"/>
      <c r="Q536" s="53"/>
      <c r="W536" s="40"/>
    </row>
    <row r="537" spans="16:23" x14ac:dyDescent="0.2">
      <c r="P537" s="53"/>
      <c r="Q537" s="53"/>
      <c r="W537" s="40"/>
    </row>
    <row r="538" spans="16:23" x14ac:dyDescent="0.2">
      <c r="P538" s="53"/>
      <c r="Q538" s="53"/>
      <c r="W538" s="40"/>
    </row>
    <row r="539" spans="16:23" x14ac:dyDescent="0.2">
      <c r="P539" s="53"/>
      <c r="Q539" s="53"/>
      <c r="W539" s="40"/>
    </row>
    <row r="540" spans="16:23" x14ac:dyDescent="0.2">
      <c r="P540" s="53"/>
      <c r="Q540" s="53"/>
      <c r="W540" s="40"/>
    </row>
    <row r="541" spans="16:23" x14ac:dyDescent="0.2">
      <c r="P541" s="53"/>
      <c r="Q541" s="53"/>
      <c r="W541" s="40"/>
    </row>
    <row r="542" spans="16:23" x14ac:dyDescent="0.2">
      <c r="P542" s="53"/>
      <c r="Q542" s="53"/>
      <c r="W542" s="40"/>
    </row>
    <row r="543" spans="16:23" x14ac:dyDescent="0.2">
      <c r="P543" s="53"/>
      <c r="Q543" s="53"/>
      <c r="W543" s="40"/>
    </row>
    <row r="544" spans="16:23" x14ac:dyDescent="0.2">
      <c r="P544" s="53"/>
      <c r="Q544" s="53"/>
      <c r="W544" s="40"/>
    </row>
    <row r="545" spans="16:23" x14ac:dyDescent="0.2">
      <c r="P545" s="53"/>
      <c r="Q545" s="53"/>
      <c r="W545" s="40"/>
    </row>
    <row r="546" spans="16:23" x14ac:dyDescent="0.2">
      <c r="P546" s="53"/>
      <c r="Q546" s="53"/>
      <c r="W546" s="40"/>
    </row>
    <row r="547" spans="16:23" x14ac:dyDescent="0.2">
      <c r="P547" s="53"/>
      <c r="Q547" s="53"/>
      <c r="W547" s="40"/>
    </row>
    <row r="548" spans="16:23" x14ac:dyDescent="0.2">
      <c r="P548" s="53"/>
      <c r="Q548" s="53"/>
      <c r="W548" s="40"/>
    </row>
    <row r="549" spans="16:23" x14ac:dyDescent="0.2">
      <c r="P549" s="53"/>
      <c r="Q549" s="53"/>
      <c r="W549" s="40"/>
    </row>
    <row r="550" spans="16:23" x14ac:dyDescent="0.2">
      <c r="P550" s="53"/>
      <c r="Q550" s="53"/>
      <c r="W550" s="40"/>
    </row>
    <row r="551" spans="16:23" x14ac:dyDescent="0.2">
      <c r="P551" s="53"/>
      <c r="Q551" s="53"/>
      <c r="W551" s="40"/>
    </row>
    <row r="552" spans="16:23" x14ac:dyDescent="0.2">
      <c r="P552" s="53"/>
      <c r="Q552" s="53"/>
      <c r="W552" s="40"/>
    </row>
    <row r="553" spans="16:23" x14ac:dyDescent="0.2">
      <c r="P553" s="53"/>
      <c r="Q553" s="53"/>
      <c r="W553" s="40"/>
    </row>
    <row r="554" spans="16:23" x14ac:dyDescent="0.2">
      <c r="P554" s="53"/>
      <c r="Q554" s="53"/>
      <c r="W554" s="40"/>
    </row>
    <row r="555" spans="16:23" x14ac:dyDescent="0.2">
      <c r="P555" s="53"/>
      <c r="Q555" s="53"/>
      <c r="W555" s="40"/>
    </row>
    <row r="556" spans="16:23" x14ac:dyDescent="0.2">
      <c r="P556" s="53"/>
      <c r="Q556" s="53"/>
      <c r="W556" s="40"/>
    </row>
    <row r="557" spans="16:23" x14ac:dyDescent="0.2">
      <c r="P557" s="53"/>
      <c r="Q557" s="53"/>
      <c r="W557" s="40"/>
    </row>
    <row r="558" spans="16:23" x14ac:dyDescent="0.2">
      <c r="P558" s="53"/>
      <c r="Q558" s="53"/>
      <c r="W558" s="40"/>
    </row>
    <row r="559" spans="16:23" x14ac:dyDescent="0.2">
      <c r="P559" s="53"/>
      <c r="Q559" s="53"/>
      <c r="W559" s="40"/>
    </row>
    <row r="560" spans="16:23" x14ac:dyDescent="0.2">
      <c r="P560" s="53"/>
      <c r="Q560" s="53"/>
      <c r="W560" s="40"/>
    </row>
    <row r="561" spans="16:23" x14ac:dyDescent="0.2">
      <c r="P561" s="53"/>
      <c r="Q561" s="53"/>
      <c r="W561" s="40"/>
    </row>
    <row r="562" spans="16:23" x14ac:dyDescent="0.2">
      <c r="P562" s="53"/>
      <c r="Q562" s="53"/>
      <c r="W562" s="40"/>
    </row>
    <row r="563" spans="16:23" x14ac:dyDescent="0.2">
      <c r="P563" s="53"/>
      <c r="Q563" s="53"/>
      <c r="W563" s="40"/>
    </row>
    <row r="564" spans="16:23" x14ac:dyDescent="0.2">
      <c r="P564" s="53"/>
      <c r="Q564" s="53"/>
      <c r="W564" s="40"/>
    </row>
    <row r="565" spans="16:23" x14ac:dyDescent="0.2">
      <c r="P565" s="53"/>
      <c r="Q565" s="53"/>
      <c r="W565" s="40"/>
    </row>
    <row r="566" spans="16:23" x14ac:dyDescent="0.2">
      <c r="P566" s="53"/>
      <c r="Q566" s="53"/>
      <c r="W566" s="40"/>
    </row>
    <row r="567" spans="16:23" x14ac:dyDescent="0.2">
      <c r="P567" s="53"/>
      <c r="Q567" s="53"/>
      <c r="W567" s="40"/>
    </row>
    <row r="568" spans="16:23" x14ac:dyDescent="0.2">
      <c r="P568" s="53"/>
      <c r="Q568" s="53"/>
      <c r="W568" s="40"/>
    </row>
    <row r="569" spans="16:23" x14ac:dyDescent="0.2">
      <c r="P569" s="53"/>
      <c r="Q569" s="53"/>
      <c r="W569" s="40"/>
    </row>
    <row r="570" spans="16:23" x14ac:dyDescent="0.2">
      <c r="P570" s="53"/>
      <c r="Q570" s="53"/>
      <c r="W570" s="40"/>
    </row>
    <row r="571" spans="16:23" x14ac:dyDescent="0.2">
      <c r="P571" s="53"/>
      <c r="Q571" s="53"/>
      <c r="W571" s="40"/>
    </row>
    <row r="572" spans="16:23" x14ac:dyDescent="0.2">
      <c r="P572" s="53"/>
      <c r="Q572" s="53"/>
      <c r="W572" s="40"/>
    </row>
    <row r="573" spans="16:23" x14ac:dyDescent="0.2">
      <c r="P573" s="53"/>
      <c r="Q573" s="53"/>
      <c r="W573" s="40"/>
    </row>
    <row r="574" spans="16:23" x14ac:dyDescent="0.2">
      <c r="P574" s="53"/>
      <c r="Q574" s="53"/>
      <c r="W574" s="40"/>
    </row>
    <row r="575" spans="16:23" x14ac:dyDescent="0.2">
      <c r="P575" s="53"/>
      <c r="Q575" s="53"/>
      <c r="W575" s="40"/>
    </row>
    <row r="576" spans="16:23" x14ac:dyDescent="0.2">
      <c r="P576" s="53"/>
      <c r="Q576" s="53"/>
      <c r="W576" s="40"/>
    </row>
    <row r="577" spans="16:23" x14ac:dyDescent="0.2">
      <c r="P577" s="53"/>
      <c r="Q577" s="53"/>
      <c r="W577" s="40"/>
    </row>
    <row r="578" spans="16:23" x14ac:dyDescent="0.2">
      <c r="P578" s="53"/>
      <c r="Q578" s="53"/>
      <c r="W578" s="40"/>
    </row>
    <row r="579" spans="16:23" x14ac:dyDescent="0.2">
      <c r="P579" s="53"/>
      <c r="Q579" s="53"/>
      <c r="W579" s="40"/>
    </row>
    <row r="580" spans="16:23" x14ac:dyDescent="0.2">
      <c r="P580" s="53"/>
      <c r="Q580" s="53"/>
      <c r="W580" s="40"/>
    </row>
    <row r="581" spans="16:23" x14ac:dyDescent="0.2">
      <c r="P581" s="53"/>
      <c r="Q581" s="53"/>
      <c r="W581" s="40"/>
    </row>
    <row r="582" spans="16:23" x14ac:dyDescent="0.2">
      <c r="P582" s="53"/>
      <c r="Q582" s="53"/>
      <c r="W582" s="40"/>
    </row>
    <row r="583" spans="16:23" x14ac:dyDescent="0.2">
      <c r="P583" s="53"/>
      <c r="Q583" s="53"/>
      <c r="W583" s="40"/>
    </row>
    <row r="584" spans="16:23" x14ac:dyDescent="0.2">
      <c r="P584" s="53"/>
      <c r="Q584" s="53"/>
      <c r="W584" s="40"/>
    </row>
    <row r="585" spans="16:23" x14ac:dyDescent="0.2">
      <c r="P585" s="53"/>
      <c r="Q585" s="53"/>
      <c r="W585" s="40"/>
    </row>
    <row r="586" spans="16:23" x14ac:dyDescent="0.2">
      <c r="P586" s="53"/>
      <c r="Q586" s="53"/>
      <c r="W586" s="40"/>
    </row>
    <row r="587" spans="16:23" x14ac:dyDescent="0.2">
      <c r="P587" s="53"/>
      <c r="Q587" s="53"/>
      <c r="W587" s="40"/>
    </row>
    <row r="588" spans="16:23" x14ac:dyDescent="0.2">
      <c r="P588" s="53"/>
      <c r="Q588" s="53"/>
      <c r="W588" s="40"/>
    </row>
    <row r="589" spans="16:23" x14ac:dyDescent="0.2">
      <c r="P589" s="53"/>
      <c r="Q589" s="53"/>
      <c r="W589" s="40"/>
    </row>
    <row r="590" spans="16:23" x14ac:dyDescent="0.2">
      <c r="P590" s="53"/>
      <c r="Q590" s="53"/>
      <c r="W590" s="40"/>
    </row>
    <row r="591" spans="16:23" x14ac:dyDescent="0.2">
      <c r="P591" s="53"/>
      <c r="Q591" s="53"/>
      <c r="W591" s="40"/>
    </row>
    <row r="592" spans="16:23" x14ac:dyDescent="0.2">
      <c r="P592" s="53"/>
      <c r="Q592" s="53"/>
      <c r="W592" s="40"/>
    </row>
    <row r="593" spans="16:23" x14ac:dyDescent="0.2">
      <c r="P593" s="53"/>
      <c r="Q593" s="53"/>
      <c r="W593" s="40"/>
    </row>
    <row r="594" spans="16:23" x14ac:dyDescent="0.2">
      <c r="P594" s="53"/>
      <c r="Q594" s="53"/>
      <c r="W594" s="40"/>
    </row>
    <row r="595" spans="16:23" x14ac:dyDescent="0.2">
      <c r="P595" s="53"/>
      <c r="Q595" s="53"/>
      <c r="W595" s="40"/>
    </row>
    <row r="596" spans="16:23" x14ac:dyDescent="0.2">
      <c r="P596" s="53"/>
      <c r="Q596" s="53"/>
      <c r="W596" s="40"/>
    </row>
    <row r="597" spans="16:23" x14ac:dyDescent="0.2">
      <c r="P597" s="53"/>
      <c r="Q597" s="53"/>
      <c r="W597" s="40"/>
    </row>
    <row r="598" spans="16:23" x14ac:dyDescent="0.2">
      <c r="P598" s="53"/>
      <c r="Q598" s="53"/>
      <c r="W598" s="40"/>
    </row>
    <row r="599" spans="16:23" x14ac:dyDescent="0.2">
      <c r="P599" s="53"/>
      <c r="Q599" s="53"/>
      <c r="W599" s="40"/>
    </row>
    <row r="600" spans="16:23" x14ac:dyDescent="0.2">
      <c r="P600" s="53"/>
      <c r="Q600" s="53"/>
      <c r="W600" s="40"/>
    </row>
    <row r="601" spans="16:23" x14ac:dyDescent="0.2">
      <c r="P601" s="53"/>
      <c r="Q601" s="53"/>
      <c r="W601" s="40"/>
    </row>
    <row r="602" spans="16:23" x14ac:dyDescent="0.2">
      <c r="P602" s="53"/>
      <c r="Q602" s="53"/>
      <c r="W602" s="40"/>
    </row>
    <row r="603" spans="16:23" x14ac:dyDescent="0.2">
      <c r="P603" s="53"/>
      <c r="Q603" s="53"/>
      <c r="W603" s="40"/>
    </row>
    <row r="604" spans="16:23" x14ac:dyDescent="0.2">
      <c r="P604" s="53"/>
      <c r="Q604" s="53"/>
      <c r="W604" s="40"/>
    </row>
    <row r="605" spans="16:23" x14ac:dyDescent="0.2">
      <c r="P605" s="53"/>
      <c r="Q605" s="53"/>
      <c r="W605" s="40"/>
    </row>
    <row r="606" spans="16:23" x14ac:dyDescent="0.2">
      <c r="P606" s="53"/>
      <c r="Q606" s="53"/>
      <c r="W606" s="40"/>
    </row>
    <row r="607" spans="16:23" x14ac:dyDescent="0.2">
      <c r="P607" s="53"/>
      <c r="Q607" s="53"/>
      <c r="W607" s="40"/>
    </row>
    <row r="608" spans="16:23" x14ac:dyDescent="0.2">
      <c r="P608" s="53"/>
      <c r="Q608" s="53"/>
      <c r="W608" s="40"/>
    </row>
    <row r="609" spans="16:23" x14ac:dyDescent="0.2">
      <c r="P609" s="53"/>
      <c r="Q609" s="53"/>
      <c r="W609" s="40"/>
    </row>
    <row r="610" spans="16:23" x14ac:dyDescent="0.2">
      <c r="P610" s="53"/>
      <c r="Q610" s="53"/>
      <c r="W610" s="40"/>
    </row>
    <row r="611" spans="16:23" x14ac:dyDescent="0.2">
      <c r="P611" s="53"/>
      <c r="Q611" s="53"/>
      <c r="W611" s="40"/>
    </row>
    <row r="612" spans="16:23" x14ac:dyDescent="0.2">
      <c r="P612" s="53"/>
      <c r="Q612" s="53"/>
      <c r="W612" s="40"/>
    </row>
    <row r="613" spans="16:23" x14ac:dyDescent="0.2">
      <c r="P613" s="53"/>
      <c r="Q613" s="53"/>
      <c r="W613" s="40"/>
    </row>
    <row r="614" spans="16:23" x14ac:dyDescent="0.2">
      <c r="P614" s="53"/>
      <c r="Q614" s="53"/>
      <c r="W614" s="40"/>
    </row>
    <row r="615" spans="16:23" x14ac:dyDescent="0.2">
      <c r="P615" s="53"/>
      <c r="Q615" s="53"/>
      <c r="W615" s="40"/>
    </row>
    <row r="616" spans="16:23" x14ac:dyDescent="0.2">
      <c r="P616" s="53"/>
      <c r="Q616" s="53"/>
      <c r="W616" s="40"/>
    </row>
    <row r="617" spans="16:23" x14ac:dyDescent="0.2">
      <c r="P617" s="53"/>
      <c r="Q617" s="53"/>
      <c r="W617" s="40"/>
    </row>
    <row r="618" spans="16:23" x14ac:dyDescent="0.2">
      <c r="P618" s="53"/>
      <c r="Q618" s="53"/>
      <c r="W618" s="40"/>
    </row>
    <row r="619" spans="16:23" x14ac:dyDescent="0.2">
      <c r="P619" s="53"/>
      <c r="Q619" s="53"/>
      <c r="W619" s="40"/>
    </row>
    <row r="620" spans="16:23" x14ac:dyDescent="0.2">
      <c r="P620" s="53"/>
      <c r="Q620" s="53"/>
      <c r="W620" s="40"/>
    </row>
    <row r="621" spans="16:23" x14ac:dyDescent="0.2">
      <c r="P621" s="53"/>
      <c r="Q621" s="53"/>
      <c r="W621" s="40"/>
    </row>
    <row r="622" spans="16:23" x14ac:dyDescent="0.2">
      <c r="P622" s="53"/>
      <c r="Q622" s="53"/>
      <c r="W622" s="40"/>
    </row>
    <row r="623" spans="16:23" x14ac:dyDescent="0.2">
      <c r="P623" s="53"/>
      <c r="Q623" s="53"/>
      <c r="W623" s="40"/>
    </row>
    <row r="624" spans="16:23" x14ac:dyDescent="0.2">
      <c r="P624" s="53"/>
      <c r="Q624" s="53"/>
      <c r="W624" s="40"/>
    </row>
    <row r="625" spans="16:23" x14ac:dyDescent="0.2">
      <c r="P625" s="53"/>
      <c r="Q625" s="53"/>
      <c r="W625" s="40"/>
    </row>
    <row r="626" spans="16:23" x14ac:dyDescent="0.2">
      <c r="P626" s="53"/>
      <c r="Q626" s="53"/>
      <c r="W626" s="40"/>
    </row>
    <row r="627" spans="16:23" x14ac:dyDescent="0.2">
      <c r="P627" s="53"/>
      <c r="Q627" s="53"/>
      <c r="W627" s="40"/>
    </row>
    <row r="628" spans="16:23" x14ac:dyDescent="0.2">
      <c r="P628" s="53"/>
      <c r="Q628" s="53"/>
      <c r="W628" s="40"/>
    </row>
    <row r="629" spans="16:23" x14ac:dyDescent="0.2">
      <c r="P629" s="53"/>
      <c r="Q629" s="53"/>
      <c r="W629" s="40"/>
    </row>
    <row r="630" spans="16:23" x14ac:dyDescent="0.2">
      <c r="P630" s="53"/>
      <c r="Q630" s="53"/>
      <c r="W630" s="40"/>
    </row>
    <row r="631" spans="16:23" x14ac:dyDescent="0.2">
      <c r="P631" s="53"/>
      <c r="Q631" s="53"/>
      <c r="W631" s="40"/>
    </row>
    <row r="632" spans="16:23" x14ac:dyDescent="0.2">
      <c r="P632" s="53"/>
      <c r="Q632" s="53"/>
      <c r="W632" s="40"/>
    </row>
    <row r="633" spans="16:23" x14ac:dyDescent="0.2">
      <c r="P633" s="53"/>
      <c r="Q633" s="53"/>
      <c r="W633" s="40"/>
    </row>
    <row r="634" spans="16:23" x14ac:dyDescent="0.2">
      <c r="P634" s="53"/>
      <c r="Q634" s="53"/>
      <c r="W634" s="40"/>
    </row>
    <row r="635" spans="16:23" x14ac:dyDescent="0.2">
      <c r="P635" s="53"/>
      <c r="Q635" s="53"/>
      <c r="W635" s="40"/>
    </row>
    <row r="636" spans="16:23" x14ac:dyDescent="0.2">
      <c r="P636" s="53"/>
      <c r="Q636" s="53"/>
      <c r="W636" s="40"/>
    </row>
    <row r="637" spans="16:23" x14ac:dyDescent="0.2">
      <c r="P637" s="53"/>
      <c r="Q637" s="53"/>
      <c r="W637" s="40"/>
    </row>
    <row r="638" spans="16:23" x14ac:dyDescent="0.2">
      <c r="P638" s="53"/>
      <c r="Q638" s="53"/>
      <c r="W638" s="40"/>
    </row>
    <row r="639" spans="16:23" x14ac:dyDescent="0.2">
      <c r="P639" s="53"/>
      <c r="Q639" s="53"/>
      <c r="W639" s="40"/>
    </row>
    <row r="640" spans="16:23" x14ac:dyDescent="0.2">
      <c r="P640" s="53"/>
      <c r="Q640" s="53"/>
      <c r="W640" s="40"/>
    </row>
    <row r="641" spans="16:23" x14ac:dyDescent="0.2">
      <c r="P641" s="53"/>
      <c r="Q641" s="53"/>
      <c r="W641" s="40"/>
    </row>
    <row r="642" spans="16:23" x14ac:dyDescent="0.2">
      <c r="P642" s="53"/>
      <c r="Q642" s="53"/>
      <c r="W642" s="40"/>
    </row>
    <row r="643" spans="16:23" x14ac:dyDescent="0.2">
      <c r="P643" s="53"/>
      <c r="Q643" s="53"/>
      <c r="W643" s="40"/>
    </row>
    <row r="644" spans="16:23" x14ac:dyDescent="0.2">
      <c r="P644" s="53"/>
      <c r="Q644" s="53"/>
      <c r="W644" s="40"/>
    </row>
    <row r="645" spans="16:23" x14ac:dyDescent="0.2">
      <c r="P645" s="53"/>
      <c r="Q645" s="53"/>
      <c r="W645" s="40"/>
    </row>
    <row r="646" spans="16:23" x14ac:dyDescent="0.2">
      <c r="P646" s="53"/>
      <c r="Q646" s="53"/>
      <c r="W646" s="40"/>
    </row>
    <row r="647" spans="16:23" x14ac:dyDescent="0.2">
      <c r="P647" s="53"/>
      <c r="Q647" s="53"/>
      <c r="W647" s="40"/>
    </row>
    <row r="648" spans="16:23" x14ac:dyDescent="0.2">
      <c r="P648" s="53"/>
      <c r="Q648" s="53"/>
      <c r="W648" s="40"/>
    </row>
    <row r="649" spans="16:23" x14ac:dyDescent="0.2">
      <c r="P649" s="53"/>
      <c r="Q649" s="53"/>
      <c r="W649" s="40"/>
    </row>
    <row r="650" spans="16:23" x14ac:dyDescent="0.2">
      <c r="P650" s="53"/>
      <c r="Q650" s="53"/>
      <c r="W650" s="40"/>
    </row>
    <row r="651" spans="16:23" x14ac:dyDescent="0.2">
      <c r="P651" s="53"/>
      <c r="Q651" s="53"/>
      <c r="W651" s="40"/>
    </row>
    <row r="652" spans="16:23" x14ac:dyDescent="0.2">
      <c r="P652" s="53"/>
      <c r="Q652" s="53"/>
      <c r="W652" s="40"/>
    </row>
    <row r="653" spans="16:23" x14ac:dyDescent="0.2">
      <c r="P653" s="53"/>
      <c r="Q653" s="53"/>
      <c r="W653" s="40"/>
    </row>
    <row r="654" spans="16:23" x14ac:dyDescent="0.2">
      <c r="P654" s="53"/>
      <c r="Q654" s="53"/>
      <c r="W654" s="40"/>
    </row>
    <row r="655" spans="16:23" x14ac:dyDescent="0.2">
      <c r="P655" s="53"/>
      <c r="Q655" s="53"/>
      <c r="W655" s="40"/>
    </row>
    <row r="656" spans="16:23" x14ac:dyDescent="0.2">
      <c r="P656" s="53"/>
      <c r="Q656" s="53"/>
      <c r="W656" s="40"/>
    </row>
    <row r="657" spans="16:23" x14ac:dyDescent="0.2">
      <c r="P657" s="53"/>
      <c r="Q657" s="53"/>
      <c r="W657" s="40"/>
    </row>
    <row r="658" spans="16:23" x14ac:dyDescent="0.2">
      <c r="P658" s="53"/>
      <c r="Q658" s="53"/>
      <c r="W658" s="40"/>
    </row>
    <row r="659" spans="16:23" x14ac:dyDescent="0.2">
      <c r="P659" s="53"/>
      <c r="Q659" s="53"/>
      <c r="W659" s="40"/>
    </row>
    <row r="660" spans="16:23" x14ac:dyDescent="0.2">
      <c r="P660" s="53"/>
      <c r="Q660" s="53"/>
      <c r="W660" s="40"/>
    </row>
    <row r="661" spans="16:23" x14ac:dyDescent="0.2">
      <c r="P661" s="53"/>
      <c r="Q661" s="53"/>
      <c r="W661" s="40"/>
    </row>
    <row r="662" spans="16:23" x14ac:dyDescent="0.2">
      <c r="P662" s="53"/>
      <c r="Q662" s="53"/>
      <c r="W662" s="40"/>
    </row>
    <row r="663" spans="16:23" x14ac:dyDescent="0.2">
      <c r="P663" s="53"/>
      <c r="Q663" s="53"/>
      <c r="W663" s="40"/>
    </row>
    <row r="664" spans="16:23" x14ac:dyDescent="0.2">
      <c r="P664" s="53"/>
      <c r="Q664" s="53"/>
      <c r="W664" s="40"/>
    </row>
    <row r="665" spans="16:23" x14ac:dyDescent="0.2">
      <c r="P665" s="53"/>
      <c r="Q665" s="53"/>
      <c r="W665" s="40"/>
    </row>
    <row r="666" spans="16:23" x14ac:dyDescent="0.2">
      <c r="P666" s="53"/>
      <c r="Q666" s="53"/>
      <c r="W666" s="40"/>
    </row>
    <row r="667" spans="16:23" x14ac:dyDescent="0.2">
      <c r="P667" s="53"/>
      <c r="Q667" s="53"/>
      <c r="W667" s="40"/>
    </row>
    <row r="668" spans="16:23" x14ac:dyDescent="0.2">
      <c r="P668" s="53"/>
      <c r="Q668" s="53"/>
      <c r="W668" s="40"/>
    </row>
    <row r="669" spans="16:23" x14ac:dyDescent="0.2">
      <c r="P669" s="53"/>
      <c r="Q669" s="53"/>
      <c r="W669" s="40"/>
    </row>
    <row r="670" spans="16:23" x14ac:dyDescent="0.2">
      <c r="P670" s="53"/>
      <c r="Q670" s="53"/>
      <c r="W670" s="40"/>
    </row>
    <row r="671" spans="16:23" x14ac:dyDescent="0.2">
      <c r="P671" s="53"/>
      <c r="Q671" s="53"/>
      <c r="W671" s="40"/>
    </row>
    <row r="672" spans="16:23" x14ac:dyDescent="0.2">
      <c r="P672" s="53"/>
      <c r="Q672" s="53"/>
      <c r="W672" s="40"/>
    </row>
    <row r="673" spans="16:23" x14ac:dyDescent="0.2">
      <c r="P673" s="53"/>
      <c r="Q673" s="53"/>
      <c r="W673" s="40"/>
    </row>
    <row r="674" spans="16:23" x14ac:dyDescent="0.2">
      <c r="P674" s="53"/>
      <c r="Q674" s="53"/>
      <c r="W674" s="40"/>
    </row>
    <row r="675" spans="16:23" x14ac:dyDescent="0.2">
      <c r="P675" s="53"/>
      <c r="Q675" s="53"/>
      <c r="W675" s="40"/>
    </row>
    <row r="676" spans="16:23" x14ac:dyDescent="0.2">
      <c r="P676" s="53"/>
      <c r="Q676" s="53"/>
      <c r="W676" s="40"/>
    </row>
    <row r="677" spans="16:23" x14ac:dyDescent="0.2">
      <c r="P677" s="53"/>
      <c r="Q677" s="53"/>
      <c r="W677" s="40"/>
    </row>
    <row r="678" spans="16:23" x14ac:dyDescent="0.2">
      <c r="P678" s="53"/>
      <c r="Q678" s="53"/>
      <c r="W678" s="40"/>
    </row>
    <row r="679" spans="16:23" x14ac:dyDescent="0.2">
      <c r="P679" s="53"/>
      <c r="Q679" s="53"/>
      <c r="W679" s="40"/>
    </row>
    <row r="680" spans="16:23" x14ac:dyDescent="0.2">
      <c r="P680" s="53"/>
      <c r="Q680" s="53"/>
      <c r="W680" s="40"/>
    </row>
    <row r="681" spans="16:23" x14ac:dyDescent="0.2">
      <c r="P681" s="53"/>
      <c r="Q681" s="53"/>
      <c r="W681" s="40"/>
    </row>
    <row r="682" spans="16:23" x14ac:dyDescent="0.2">
      <c r="P682" s="53"/>
      <c r="Q682" s="53"/>
      <c r="W682" s="40"/>
    </row>
    <row r="683" spans="16:23" x14ac:dyDescent="0.2">
      <c r="P683" s="53"/>
      <c r="Q683" s="53"/>
      <c r="W683" s="40"/>
    </row>
    <row r="684" spans="16:23" x14ac:dyDescent="0.2">
      <c r="P684" s="53"/>
      <c r="Q684" s="53"/>
      <c r="W684" s="40"/>
    </row>
    <row r="685" spans="16:23" x14ac:dyDescent="0.2">
      <c r="P685" s="53"/>
      <c r="Q685" s="53"/>
      <c r="W685" s="40"/>
    </row>
    <row r="686" spans="16:23" x14ac:dyDescent="0.2">
      <c r="P686" s="53"/>
      <c r="Q686" s="53"/>
      <c r="W686" s="40"/>
    </row>
    <row r="687" spans="16:23" x14ac:dyDescent="0.2">
      <c r="P687" s="53"/>
      <c r="Q687" s="53"/>
      <c r="W687" s="40"/>
    </row>
    <row r="688" spans="16:23" x14ac:dyDescent="0.2">
      <c r="P688" s="53"/>
      <c r="Q688" s="53"/>
      <c r="W688" s="40"/>
    </row>
    <row r="689" spans="16:23" x14ac:dyDescent="0.2">
      <c r="P689" s="53"/>
      <c r="Q689" s="53"/>
      <c r="W689" s="40"/>
    </row>
    <row r="690" spans="16:23" x14ac:dyDescent="0.2">
      <c r="P690" s="53"/>
      <c r="Q690" s="53"/>
      <c r="W690" s="40"/>
    </row>
    <row r="691" spans="16:23" x14ac:dyDescent="0.2">
      <c r="P691" s="53"/>
      <c r="Q691" s="53"/>
      <c r="W691" s="40"/>
    </row>
    <row r="692" spans="16:23" x14ac:dyDescent="0.2">
      <c r="P692" s="53"/>
      <c r="Q692" s="53"/>
      <c r="W692" s="40"/>
    </row>
    <row r="693" spans="16:23" x14ac:dyDescent="0.2">
      <c r="P693" s="53"/>
      <c r="Q693" s="53"/>
      <c r="W693" s="40"/>
    </row>
    <row r="694" spans="16:23" x14ac:dyDescent="0.2">
      <c r="P694" s="53"/>
      <c r="Q694" s="53"/>
      <c r="W694" s="40"/>
    </row>
    <row r="695" spans="16:23" x14ac:dyDescent="0.2">
      <c r="P695" s="53"/>
      <c r="Q695" s="53"/>
      <c r="W695" s="40"/>
    </row>
    <row r="696" spans="16:23" x14ac:dyDescent="0.2">
      <c r="P696" s="53"/>
      <c r="Q696" s="53"/>
      <c r="W696" s="40"/>
    </row>
    <row r="697" spans="16:23" x14ac:dyDescent="0.2">
      <c r="P697" s="53"/>
      <c r="Q697" s="53"/>
      <c r="W697" s="40"/>
    </row>
    <row r="698" spans="16:23" x14ac:dyDescent="0.2">
      <c r="P698" s="53"/>
      <c r="Q698" s="53"/>
      <c r="W698" s="40"/>
    </row>
    <row r="699" spans="16:23" x14ac:dyDescent="0.2">
      <c r="P699" s="53"/>
      <c r="Q699" s="53"/>
      <c r="W699" s="40"/>
    </row>
    <row r="700" spans="16:23" x14ac:dyDescent="0.2">
      <c r="P700" s="53"/>
      <c r="Q700" s="53"/>
      <c r="W700" s="40"/>
    </row>
    <row r="701" spans="16:23" x14ac:dyDescent="0.2">
      <c r="P701" s="53"/>
      <c r="Q701" s="53"/>
      <c r="W701" s="40"/>
    </row>
    <row r="702" spans="16:23" x14ac:dyDescent="0.2">
      <c r="P702" s="53"/>
      <c r="Q702" s="53"/>
      <c r="W702" s="40"/>
    </row>
    <row r="703" spans="16:23" x14ac:dyDescent="0.2">
      <c r="P703" s="53"/>
      <c r="Q703" s="53"/>
      <c r="W703" s="40"/>
    </row>
    <row r="704" spans="16:23" x14ac:dyDescent="0.2">
      <c r="P704" s="53"/>
      <c r="Q704" s="53"/>
      <c r="W704" s="40"/>
    </row>
    <row r="705" spans="16:23" x14ac:dyDescent="0.2">
      <c r="P705" s="53"/>
      <c r="Q705" s="53"/>
      <c r="W705" s="40"/>
    </row>
    <row r="706" spans="16:23" x14ac:dyDescent="0.2">
      <c r="P706" s="53"/>
      <c r="Q706" s="53"/>
      <c r="W706" s="40"/>
    </row>
    <row r="707" spans="16:23" x14ac:dyDescent="0.2">
      <c r="P707" s="53"/>
      <c r="Q707" s="53"/>
      <c r="W707" s="40"/>
    </row>
    <row r="708" spans="16:23" x14ac:dyDescent="0.2">
      <c r="P708" s="53"/>
      <c r="Q708" s="53"/>
      <c r="W708" s="40"/>
    </row>
    <row r="709" spans="16:23" x14ac:dyDescent="0.2">
      <c r="P709" s="53"/>
      <c r="Q709" s="53"/>
      <c r="W709" s="40"/>
    </row>
    <row r="710" spans="16:23" x14ac:dyDescent="0.2">
      <c r="P710" s="53"/>
      <c r="Q710" s="53"/>
      <c r="W710" s="40"/>
    </row>
    <row r="711" spans="16:23" x14ac:dyDescent="0.2">
      <c r="P711" s="53"/>
      <c r="Q711" s="53"/>
      <c r="W711" s="40"/>
    </row>
    <row r="712" spans="16:23" x14ac:dyDescent="0.2">
      <c r="P712" s="53"/>
      <c r="Q712" s="53"/>
      <c r="W712" s="40"/>
    </row>
    <row r="713" spans="16:23" x14ac:dyDescent="0.2">
      <c r="P713" s="53"/>
      <c r="Q713" s="53"/>
      <c r="W713" s="40"/>
    </row>
    <row r="714" spans="16:23" x14ac:dyDescent="0.2">
      <c r="P714" s="53"/>
      <c r="Q714" s="53"/>
      <c r="W714" s="40"/>
    </row>
    <row r="715" spans="16:23" x14ac:dyDescent="0.2">
      <c r="P715" s="53"/>
      <c r="Q715" s="53"/>
      <c r="W715" s="40"/>
    </row>
    <row r="716" spans="16:23" x14ac:dyDescent="0.2">
      <c r="P716" s="53"/>
      <c r="Q716" s="53"/>
      <c r="W716" s="40"/>
    </row>
    <row r="717" spans="16:23" x14ac:dyDescent="0.2">
      <c r="P717" s="53"/>
      <c r="Q717" s="53"/>
      <c r="W717" s="40"/>
    </row>
    <row r="718" spans="16:23" x14ac:dyDescent="0.2">
      <c r="P718" s="53"/>
      <c r="Q718" s="53"/>
      <c r="W718" s="40"/>
    </row>
    <row r="719" spans="16:23" x14ac:dyDescent="0.2">
      <c r="P719" s="53"/>
      <c r="Q719" s="53"/>
      <c r="W719" s="40"/>
    </row>
    <row r="720" spans="16:23" x14ac:dyDescent="0.2">
      <c r="P720" s="53"/>
      <c r="Q720" s="53"/>
      <c r="W720" s="40"/>
    </row>
    <row r="721" spans="16:23" x14ac:dyDescent="0.2">
      <c r="P721" s="53"/>
      <c r="Q721" s="53"/>
      <c r="W721" s="40"/>
    </row>
    <row r="722" spans="16:23" x14ac:dyDescent="0.2">
      <c r="P722" s="53"/>
      <c r="Q722" s="53"/>
      <c r="W722" s="40"/>
    </row>
    <row r="723" spans="16:23" x14ac:dyDescent="0.2">
      <c r="P723" s="53"/>
      <c r="Q723" s="53"/>
      <c r="W723" s="40"/>
    </row>
    <row r="724" spans="16:23" x14ac:dyDescent="0.2">
      <c r="P724" s="53"/>
      <c r="Q724" s="53"/>
      <c r="W724" s="40"/>
    </row>
    <row r="725" spans="16:23" x14ac:dyDescent="0.2">
      <c r="P725" s="53"/>
      <c r="Q725" s="53"/>
      <c r="W725" s="40"/>
    </row>
    <row r="726" spans="16:23" x14ac:dyDescent="0.2">
      <c r="P726" s="53"/>
      <c r="Q726" s="53"/>
      <c r="W726" s="40"/>
    </row>
    <row r="727" spans="16:23" x14ac:dyDescent="0.2">
      <c r="P727" s="53"/>
      <c r="Q727" s="53"/>
      <c r="W727" s="40"/>
    </row>
    <row r="728" spans="16:23" x14ac:dyDescent="0.2">
      <c r="P728" s="53"/>
      <c r="Q728" s="53"/>
      <c r="W728" s="40"/>
    </row>
    <row r="729" spans="16:23" x14ac:dyDescent="0.2">
      <c r="P729" s="53"/>
      <c r="Q729" s="53"/>
      <c r="W729" s="40"/>
    </row>
    <row r="730" spans="16:23" x14ac:dyDescent="0.2">
      <c r="P730" s="53"/>
      <c r="Q730" s="53"/>
      <c r="W730" s="40"/>
    </row>
    <row r="731" spans="16:23" x14ac:dyDescent="0.2">
      <c r="P731" s="53"/>
      <c r="Q731" s="53"/>
      <c r="W731" s="40"/>
    </row>
    <row r="732" spans="16:23" x14ac:dyDescent="0.2">
      <c r="P732" s="53"/>
      <c r="Q732" s="53"/>
      <c r="W732" s="40"/>
    </row>
    <row r="733" spans="16:23" x14ac:dyDescent="0.2">
      <c r="P733" s="53"/>
      <c r="Q733" s="53"/>
      <c r="W733" s="40"/>
    </row>
    <row r="734" spans="16:23" x14ac:dyDescent="0.2">
      <c r="P734" s="53"/>
      <c r="Q734" s="53"/>
      <c r="W734" s="40"/>
    </row>
    <row r="735" spans="16:23" x14ac:dyDescent="0.2">
      <c r="P735" s="53"/>
      <c r="Q735" s="53"/>
      <c r="W735" s="40"/>
    </row>
    <row r="736" spans="16:23" x14ac:dyDescent="0.2">
      <c r="P736" s="53"/>
      <c r="Q736" s="53"/>
      <c r="W736" s="40"/>
    </row>
    <row r="737" spans="16:23" x14ac:dyDescent="0.2">
      <c r="P737" s="53"/>
      <c r="Q737" s="53"/>
      <c r="W737" s="40"/>
    </row>
    <row r="738" spans="16:23" x14ac:dyDescent="0.2">
      <c r="P738" s="53"/>
      <c r="Q738" s="53"/>
      <c r="W738" s="40"/>
    </row>
    <row r="739" spans="16:23" x14ac:dyDescent="0.2">
      <c r="P739" s="53"/>
      <c r="Q739" s="53"/>
      <c r="W739" s="40"/>
    </row>
    <row r="740" spans="16:23" x14ac:dyDescent="0.2">
      <c r="P740" s="53"/>
      <c r="Q740" s="53"/>
      <c r="W740" s="40"/>
    </row>
    <row r="741" spans="16:23" x14ac:dyDescent="0.2">
      <c r="P741" s="53"/>
      <c r="Q741" s="53"/>
      <c r="W741" s="40"/>
    </row>
    <row r="742" spans="16:23" x14ac:dyDescent="0.2">
      <c r="P742" s="53"/>
      <c r="Q742" s="53"/>
      <c r="W742" s="40"/>
    </row>
    <row r="743" spans="16:23" x14ac:dyDescent="0.2">
      <c r="P743" s="53"/>
      <c r="Q743" s="53"/>
      <c r="W743" s="40"/>
    </row>
    <row r="744" spans="16:23" x14ac:dyDescent="0.2">
      <c r="P744" s="53"/>
      <c r="Q744" s="53"/>
      <c r="W744" s="40"/>
    </row>
    <row r="745" spans="16:23" x14ac:dyDescent="0.2">
      <c r="P745" s="53"/>
      <c r="Q745" s="53"/>
      <c r="W745" s="40"/>
    </row>
    <row r="746" spans="16:23" x14ac:dyDescent="0.2">
      <c r="P746" s="53"/>
      <c r="Q746" s="53"/>
      <c r="W746" s="40"/>
    </row>
    <row r="747" spans="16:23" x14ac:dyDescent="0.2">
      <c r="P747" s="53"/>
      <c r="Q747" s="53"/>
      <c r="W747" s="40"/>
    </row>
    <row r="748" spans="16:23" x14ac:dyDescent="0.2">
      <c r="P748" s="53"/>
      <c r="Q748" s="53"/>
      <c r="W748" s="40"/>
    </row>
    <row r="749" spans="16:23" x14ac:dyDescent="0.2">
      <c r="P749" s="53"/>
      <c r="Q749" s="53"/>
      <c r="W749" s="40"/>
    </row>
    <row r="750" spans="16:23" x14ac:dyDescent="0.2">
      <c r="P750" s="53"/>
      <c r="Q750" s="53"/>
      <c r="W750" s="40"/>
    </row>
    <row r="751" spans="16:23" x14ac:dyDescent="0.2">
      <c r="P751" s="53"/>
      <c r="Q751" s="53"/>
      <c r="W751" s="40"/>
    </row>
    <row r="752" spans="16:23" x14ac:dyDescent="0.2">
      <c r="P752" s="53"/>
      <c r="Q752" s="53"/>
      <c r="W752" s="40"/>
    </row>
    <row r="753" spans="16:23" x14ac:dyDescent="0.2">
      <c r="P753" s="53"/>
      <c r="Q753" s="53"/>
      <c r="W753" s="40"/>
    </row>
    <row r="754" spans="16:23" x14ac:dyDescent="0.2">
      <c r="P754" s="53"/>
      <c r="Q754" s="53"/>
      <c r="W754" s="40"/>
    </row>
    <row r="755" spans="16:23" x14ac:dyDescent="0.2">
      <c r="P755" s="53"/>
      <c r="Q755" s="53"/>
      <c r="W755" s="40"/>
    </row>
    <row r="756" spans="16:23" x14ac:dyDescent="0.2">
      <c r="P756" s="53"/>
      <c r="Q756" s="53"/>
      <c r="W756" s="40"/>
    </row>
    <row r="757" spans="16:23" x14ac:dyDescent="0.2">
      <c r="P757" s="53"/>
      <c r="Q757" s="53"/>
      <c r="W757" s="40"/>
    </row>
    <row r="758" spans="16:23" x14ac:dyDescent="0.2">
      <c r="P758" s="53"/>
      <c r="Q758" s="53"/>
      <c r="W758" s="40"/>
    </row>
    <row r="759" spans="16:23" x14ac:dyDescent="0.2">
      <c r="P759" s="53"/>
      <c r="Q759" s="53"/>
      <c r="W759" s="40"/>
    </row>
    <row r="760" spans="16:23" x14ac:dyDescent="0.2">
      <c r="P760" s="53"/>
      <c r="Q760" s="53"/>
      <c r="W760" s="40"/>
    </row>
    <row r="761" spans="16:23" x14ac:dyDescent="0.2">
      <c r="P761" s="53"/>
      <c r="Q761" s="53"/>
      <c r="W761" s="40"/>
    </row>
    <row r="762" spans="16:23" x14ac:dyDescent="0.2">
      <c r="P762" s="53"/>
      <c r="Q762" s="53"/>
      <c r="W762" s="40"/>
    </row>
    <row r="763" spans="16:23" x14ac:dyDescent="0.2">
      <c r="P763" s="53"/>
      <c r="Q763" s="53"/>
      <c r="W763" s="40"/>
    </row>
    <row r="764" spans="16:23" x14ac:dyDescent="0.2">
      <c r="P764" s="53"/>
      <c r="Q764" s="53"/>
      <c r="W764" s="40"/>
    </row>
    <row r="765" spans="16:23" x14ac:dyDescent="0.2">
      <c r="P765" s="53"/>
      <c r="Q765" s="53"/>
      <c r="W765" s="40"/>
    </row>
    <row r="766" spans="16:23" x14ac:dyDescent="0.2">
      <c r="P766" s="53"/>
      <c r="Q766" s="53"/>
      <c r="W766" s="40"/>
    </row>
    <row r="767" spans="16:23" x14ac:dyDescent="0.2">
      <c r="P767" s="53"/>
      <c r="Q767" s="53"/>
      <c r="W767" s="40"/>
    </row>
    <row r="768" spans="16:23" x14ac:dyDescent="0.2">
      <c r="P768" s="53"/>
      <c r="Q768" s="53"/>
      <c r="W768" s="40"/>
    </row>
    <row r="769" spans="16:23" x14ac:dyDescent="0.2">
      <c r="P769" s="53"/>
      <c r="Q769" s="53"/>
      <c r="W769" s="40"/>
    </row>
    <row r="770" spans="16:23" x14ac:dyDescent="0.2">
      <c r="P770" s="53"/>
      <c r="Q770" s="53"/>
      <c r="W770" s="40"/>
    </row>
    <row r="771" spans="16:23" x14ac:dyDescent="0.2">
      <c r="P771" s="53"/>
      <c r="Q771" s="53"/>
      <c r="W771" s="40"/>
    </row>
    <row r="772" spans="16:23" x14ac:dyDescent="0.2">
      <c r="P772" s="53"/>
      <c r="Q772" s="53"/>
      <c r="W772" s="40"/>
    </row>
    <row r="773" spans="16:23" x14ac:dyDescent="0.2">
      <c r="P773" s="53"/>
      <c r="Q773" s="53"/>
      <c r="W773" s="40"/>
    </row>
    <row r="774" spans="16:23" x14ac:dyDescent="0.2">
      <c r="P774" s="53"/>
      <c r="Q774" s="53"/>
      <c r="W774" s="40"/>
    </row>
    <row r="775" spans="16:23" x14ac:dyDescent="0.2">
      <c r="P775" s="53"/>
      <c r="Q775" s="53"/>
      <c r="W775" s="40"/>
    </row>
    <row r="776" spans="16:23" x14ac:dyDescent="0.2">
      <c r="P776" s="53"/>
      <c r="Q776" s="53"/>
      <c r="W776" s="40"/>
    </row>
    <row r="777" spans="16:23" x14ac:dyDescent="0.2">
      <c r="P777" s="53"/>
      <c r="Q777" s="53"/>
      <c r="W777" s="40"/>
    </row>
    <row r="778" spans="16:23" x14ac:dyDescent="0.2">
      <c r="P778" s="53"/>
      <c r="Q778" s="53"/>
      <c r="W778" s="40"/>
    </row>
    <row r="779" spans="16:23" x14ac:dyDescent="0.2">
      <c r="P779" s="53"/>
      <c r="Q779" s="53"/>
      <c r="W779" s="40"/>
    </row>
    <row r="780" spans="16:23" x14ac:dyDescent="0.2">
      <c r="P780" s="53"/>
      <c r="Q780" s="53"/>
      <c r="W780" s="40"/>
    </row>
    <row r="781" spans="16:23" x14ac:dyDescent="0.2">
      <c r="P781" s="53"/>
      <c r="Q781" s="53"/>
      <c r="W781" s="40"/>
    </row>
    <row r="782" spans="16:23" x14ac:dyDescent="0.2">
      <c r="P782" s="53"/>
      <c r="Q782" s="53"/>
      <c r="W782" s="40"/>
    </row>
    <row r="783" spans="16:23" x14ac:dyDescent="0.2">
      <c r="P783" s="53"/>
      <c r="Q783" s="53"/>
      <c r="W783" s="40"/>
    </row>
    <row r="784" spans="16:23" x14ac:dyDescent="0.2">
      <c r="P784" s="53"/>
      <c r="Q784" s="53"/>
      <c r="W784" s="40"/>
    </row>
    <row r="785" spans="16:23" x14ac:dyDescent="0.2">
      <c r="P785" s="53"/>
      <c r="Q785" s="53"/>
      <c r="W785" s="40"/>
    </row>
    <row r="786" spans="16:23" x14ac:dyDescent="0.2">
      <c r="P786" s="53"/>
      <c r="Q786" s="53"/>
      <c r="W786" s="40"/>
    </row>
    <row r="787" spans="16:23" x14ac:dyDescent="0.2">
      <c r="P787" s="53"/>
      <c r="Q787" s="53"/>
      <c r="W787" s="40"/>
    </row>
    <row r="788" spans="16:23" x14ac:dyDescent="0.2">
      <c r="P788" s="53"/>
      <c r="Q788" s="53"/>
      <c r="W788" s="40"/>
    </row>
    <row r="789" spans="16:23" x14ac:dyDescent="0.2">
      <c r="P789" s="53"/>
      <c r="Q789" s="53"/>
      <c r="W789" s="40"/>
    </row>
    <row r="790" spans="16:23" x14ac:dyDescent="0.2">
      <c r="P790" s="53"/>
      <c r="Q790" s="53"/>
      <c r="W790" s="40"/>
    </row>
    <row r="791" spans="16:23" x14ac:dyDescent="0.2">
      <c r="P791" s="53"/>
      <c r="Q791" s="53"/>
      <c r="W791" s="40"/>
    </row>
    <row r="792" spans="16:23" x14ac:dyDescent="0.2">
      <c r="P792" s="53"/>
      <c r="Q792" s="53"/>
      <c r="W792" s="40"/>
    </row>
    <row r="793" spans="16:23" x14ac:dyDescent="0.2">
      <c r="P793" s="53"/>
      <c r="Q793" s="53"/>
      <c r="W793" s="40"/>
    </row>
    <row r="794" spans="16:23" x14ac:dyDescent="0.2">
      <c r="P794" s="53"/>
      <c r="Q794" s="53"/>
      <c r="W794" s="40"/>
    </row>
    <row r="795" spans="16:23" x14ac:dyDescent="0.2">
      <c r="P795" s="53"/>
      <c r="Q795" s="53"/>
      <c r="W795" s="40"/>
    </row>
    <row r="796" spans="16:23" x14ac:dyDescent="0.2">
      <c r="P796" s="53"/>
      <c r="Q796" s="53"/>
      <c r="W796" s="40"/>
    </row>
    <row r="797" spans="16:23" x14ac:dyDescent="0.2">
      <c r="P797" s="53"/>
      <c r="Q797" s="53"/>
      <c r="W797" s="40"/>
    </row>
    <row r="798" spans="16:23" x14ac:dyDescent="0.2">
      <c r="P798" s="53"/>
      <c r="Q798" s="53"/>
      <c r="W798" s="40"/>
    </row>
    <row r="799" spans="16:23" x14ac:dyDescent="0.2">
      <c r="P799" s="53"/>
      <c r="Q799" s="53"/>
      <c r="W799" s="40"/>
    </row>
    <row r="800" spans="16:23" x14ac:dyDescent="0.2">
      <c r="P800" s="53"/>
      <c r="Q800" s="53"/>
      <c r="W800" s="40"/>
    </row>
    <row r="801" spans="16:23" x14ac:dyDescent="0.2">
      <c r="P801" s="53"/>
      <c r="Q801" s="53"/>
      <c r="W801" s="40"/>
    </row>
    <row r="802" spans="16:23" x14ac:dyDescent="0.2">
      <c r="P802" s="53"/>
      <c r="Q802" s="53"/>
      <c r="W802" s="40"/>
    </row>
    <row r="803" spans="16:23" x14ac:dyDescent="0.2">
      <c r="P803" s="53"/>
      <c r="Q803" s="53"/>
      <c r="W803" s="40"/>
    </row>
    <row r="804" spans="16:23" x14ac:dyDescent="0.2">
      <c r="P804" s="53"/>
      <c r="Q804" s="53"/>
      <c r="W804" s="40"/>
    </row>
    <row r="805" spans="16:23" x14ac:dyDescent="0.2">
      <c r="P805" s="53"/>
      <c r="Q805" s="53"/>
      <c r="W805" s="40"/>
    </row>
    <row r="806" spans="16:23" x14ac:dyDescent="0.2">
      <c r="P806" s="53"/>
      <c r="Q806" s="53"/>
      <c r="W806" s="40"/>
    </row>
    <row r="807" spans="16:23" x14ac:dyDescent="0.2">
      <c r="P807" s="53"/>
      <c r="Q807" s="53"/>
      <c r="W807" s="40"/>
    </row>
    <row r="808" spans="16:23" x14ac:dyDescent="0.2">
      <c r="P808" s="53"/>
      <c r="Q808" s="53"/>
      <c r="W808" s="40"/>
    </row>
    <row r="809" spans="16:23" x14ac:dyDescent="0.2">
      <c r="P809" s="53"/>
      <c r="Q809" s="53"/>
      <c r="W809" s="40"/>
    </row>
    <row r="810" spans="16:23" x14ac:dyDescent="0.2">
      <c r="P810" s="53"/>
      <c r="Q810" s="53"/>
      <c r="W810" s="40"/>
    </row>
    <row r="811" spans="16:23" x14ac:dyDescent="0.2">
      <c r="P811" s="53"/>
      <c r="Q811" s="53"/>
      <c r="W811" s="40"/>
    </row>
    <row r="812" spans="16:23" x14ac:dyDescent="0.2">
      <c r="P812" s="53"/>
      <c r="Q812" s="53"/>
      <c r="W812" s="40"/>
    </row>
    <row r="813" spans="16:23" x14ac:dyDescent="0.2">
      <c r="P813" s="53"/>
      <c r="Q813" s="53"/>
      <c r="W813" s="40"/>
    </row>
    <row r="814" spans="16:23" x14ac:dyDescent="0.2">
      <c r="P814" s="53"/>
      <c r="Q814" s="53"/>
      <c r="W814" s="40"/>
    </row>
    <row r="815" spans="16:23" x14ac:dyDescent="0.2">
      <c r="P815" s="53"/>
      <c r="Q815" s="53"/>
      <c r="W815" s="40"/>
    </row>
    <row r="816" spans="16:23" x14ac:dyDescent="0.2">
      <c r="P816" s="53"/>
      <c r="Q816" s="53"/>
      <c r="W816" s="40"/>
    </row>
    <row r="817" spans="16:23" x14ac:dyDescent="0.2">
      <c r="P817" s="53"/>
      <c r="Q817" s="53"/>
      <c r="W817" s="40"/>
    </row>
    <row r="818" spans="16:23" x14ac:dyDescent="0.2">
      <c r="P818" s="53"/>
      <c r="Q818" s="53"/>
      <c r="W818" s="40"/>
    </row>
    <row r="819" spans="16:23" x14ac:dyDescent="0.2">
      <c r="P819" s="53"/>
      <c r="Q819" s="53"/>
      <c r="W819" s="40"/>
    </row>
    <row r="820" spans="16:23" x14ac:dyDescent="0.2">
      <c r="P820" s="53"/>
      <c r="Q820" s="53"/>
      <c r="W820" s="40"/>
    </row>
    <row r="821" spans="16:23" x14ac:dyDescent="0.2">
      <c r="P821" s="53"/>
      <c r="Q821" s="53"/>
      <c r="W821" s="40"/>
    </row>
    <row r="822" spans="16:23" x14ac:dyDescent="0.2">
      <c r="P822" s="53"/>
      <c r="Q822" s="53"/>
      <c r="W822" s="40"/>
    </row>
    <row r="823" spans="16:23" x14ac:dyDescent="0.2">
      <c r="P823" s="53"/>
      <c r="Q823" s="53"/>
      <c r="W823" s="40"/>
    </row>
    <row r="824" spans="16:23" x14ac:dyDescent="0.2">
      <c r="P824" s="53"/>
      <c r="Q824" s="53"/>
      <c r="W824" s="40"/>
    </row>
    <row r="825" spans="16:23" x14ac:dyDescent="0.2">
      <c r="P825" s="53"/>
      <c r="Q825" s="53"/>
      <c r="W825" s="40"/>
    </row>
    <row r="826" spans="16:23" x14ac:dyDescent="0.2">
      <c r="P826" s="53"/>
      <c r="Q826" s="53"/>
      <c r="W826" s="40"/>
    </row>
    <row r="827" spans="16:23" x14ac:dyDescent="0.2">
      <c r="P827" s="53"/>
      <c r="Q827" s="53"/>
      <c r="W827" s="40"/>
    </row>
    <row r="828" spans="16:23" x14ac:dyDescent="0.2">
      <c r="P828" s="53"/>
      <c r="Q828" s="53"/>
      <c r="W828" s="40"/>
    </row>
    <row r="829" spans="16:23" x14ac:dyDescent="0.2">
      <c r="P829" s="53"/>
      <c r="Q829" s="53"/>
      <c r="W829" s="40"/>
    </row>
    <row r="830" spans="16:23" x14ac:dyDescent="0.2">
      <c r="P830" s="53"/>
      <c r="Q830" s="53"/>
      <c r="W830" s="40"/>
    </row>
    <row r="831" spans="16:23" x14ac:dyDescent="0.2">
      <c r="P831" s="53"/>
      <c r="Q831" s="53"/>
      <c r="W831" s="40"/>
    </row>
    <row r="832" spans="16:23" x14ac:dyDescent="0.2">
      <c r="P832" s="53"/>
      <c r="Q832" s="53"/>
      <c r="W832" s="40"/>
    </row>
    <row r="833" spans="16:23" x14ac:dyDescent="0.2">
      <c r="P833" s="53"/>
      <c r="Q833" s="53"/>
      <c r="W833" s="40"/>
    </row>
    <row r="834" spans="16:23" x14ac:dyDescent="0.2">
      <c r="P834" s="53"/>
      <c r="Q834" s="53"/>
      <c r="W834" s="40"/>
    </row>
    <row r="835" spans="16:23" x14ac:dyDescent="0.2">
      <c r="P835" s="53"/>
      <c r="Q835" s="53"/>
      <c r="W835" s="40"/>
    </row>
    <row r="836" spans="16:23" x14ac:dyDescent="0.2">
      <c r="P836" s="53"/>
      <c r="Q836" s="53"/>
      <c r="W836" s="40"/>
    </row>
    <row r="837" spans="16:23" x14ac:dyDescent="0.2">
      <c r="P837" s="53"/>
      <c r="Q837" s="53"/>
      <c r="W837" s="40"/>
    </row>
    <row r="838" spans="16:23" x14ac:dyDescent="0.2">
      <c r="P838" s="53"/>
      <c r="Q838" s="53"/>
      <c r="W838" s="40"/>
    </row>
    <row r="839" spans="16:23" x14ac:dyDescent="0.2">
      <c r="P839" s="53"/>
      <c r="Q839" s="53"/>
      <c r="W839" s="40"/>
    </row>
    <row r="840" spans="16:23" x14ac:dyDescent="0.2">
      <c r="P840" s="53"/>
      <c r="Q840" s="53"/>
      <c r="W840" s="40"/>
    </row>
    <row r="841" spans="16:23" x14ac:dyDescent="0.2">
      <c r="P841" s="53"/>
      <c r="Q841" s="53"/>
      <c r="W841" s="40"/>
    </row>
    <row r="842" spans="16:23" x14ac:dyDescent="0.2">
      <c r="P842" s="53"/>
      <c r="Q842" s="53"/>
      <c r="W842" s="40"/>
    </row>
    <row r="843" spans="16:23" x14ac:dyDescent="0.2">
      <c r="P843" s="53"/>
      <c r="Q843" s="53"/>
      <c r="W843" s="40"/>
    </row>
    <row r="844" spans="16:23" x14ac:dyDescent="0.2">
      <c r="P844" s="53"/>
      <c r="Q844" s="53"/>
      <c r="W844" s="40"/>
    </row>
    <row r="845" spans="16:23" x14ac:dyDescent="0.2">
      <c r="P845" s="53"/>
      <c r="Q845" s="53"/>
      <c r="W845" s="40"/>
    </row>
    <row r="846" spans="16:23" x14ac:dyDescent="0.2">
      <c r="P846" s="53"/>
      <c r="Q846" s="53"/>
      <c r="W846" s="40"/>
    </row>
    <row r="847" spans="16:23" x14ac:dyDescent="0.2">
      <c r="P847" s="53"/>
      <c r="Q847" s="53"/>
      <c r="W847" s="40"/>
    </row>
    <row r="848" spans="16:23" x14ac:dyDescent="0.2">
      <c r="P848" s="53"/>
      <c r="Q848" s="53"/>
      <c r="W848" s="40"/>
    </row>
    <row r="849" spans="16:23" x14ac:dyDescent="0.2">
      <c r="P849" s="53"/>
      <c r="Q849" s="53"/>
      <c r="W849" s="40"/>
    </row>
    <row r="850" spans="16:23" x14ac:dyDescent="0.2">
      <c r="P850" s="53"/>
      <c r="Q850" s="53"/>
      <c r="W850" s="40"/>
    </row>
    <row r="851" spans="16:23" x14ac:dyDescent="0.2">
      <c r="P851" s="53"/>
      <c r="Q851" s="53"/>
      <c r="W851" s="40"/>
    </row>
    <row r="852" spans="16:23" x14ac:dyDescent="0.2">
      <c r="P852" s="53"/>
      <c r="Q852" s="53"/>
      <c r="W852" s="40"/>
    </row>
    <row r="853" spans="16:23" x14ac:dyDescent="0.2">
      <c r="P853" s="53"/>
      <c r="Q853" s="53"/>
      <c r="W853" s="40"/>
    </row>
    <row r="854" spans="16:23" x14ac:dyDescent="0.2">
      <c r="P854" s="53"/>
      <c r="Q854" s="53"/>
      <c r="W854" s="40"/>
    </row>
    <row r="855" spans="16:23" x14ac:dyDescent="0.2">
      <c r="P855" s="53"/>
      <c r="Q855" s="53"/>
      <c r="W855" s="40"/>
    </row>
    <row r="856" spans="16:23" x14ac:dyDescent="0.2">
      <c r="P856" s="53"/>
      <c r="Q856" s="53"/>
      <c r="W856" s="40"/>
    </row>
    <row r="857" spans="16:23" x14ac:dyDescent="0.2">
      <c r="P857" s="53"/>
      <c r="Q857" s="53"/>
      <c r="W857" s="40"/>
    </row>
    <row r="858" spans="16:23" x14ac:dyDescent="0.2">
      <c r="P858" s="53"/>
      <c r="Q858" s="53"/>
      <c r="W858" s="40"/>
    </row>
    <row r="859" spans="16:23" x14ac:dyDescent="0.2">
      <c r="P859" s="53"/>
      <c r="Q859" s="53"/>
      <c r="W859" s="40"/>
    </row>
    <row r="860" spans="16:23" x14ac:dyDescent="0.2">
      <c r="P860" s="53"/>
      <c r="Q860" s="53"/>
      <c r="W860" s="40"/>
    </row>
    <row r="861" spans="16:23" x14ac:dyDescent="0.2">
      <c r="P861" s="53"/>
      <c r="Q861" s="53"/>
      <c r="W861" s="40"/>
    </row>
    <row r="862" spans="16:23" x14ac:dyDescent="0.2">
      <c r="P862" s="53"/>
      <c r="Q862" s="53"/>
      <c r="W862" s="40"/>
    </row>
    <row r="863" spans="16:23" x14ac:dyDescent="0.2">
      <c r="P863" s="53"/>
      <c r="Q863" s="53"/>
      <c r="W863" s="40"/>
    </row>
    <row r="864" spans="16:23" x14ac:dyDescent="0.2">
      <c r="P864" s="53"/>
      <c r="Q864" s="53"/>
      <c r="W864" s="40"/>
    </row>
    <row r="865" spans="16:23" x14ac:dyDescent="0.2">
      <c r="P865" s="53"/>
      <c r="Q865" s="53"/>
      <c r="W865" s="40"/>
    </row>
    <row r="866" spans="16:23" x14ac:dyDescent="0.2">
      <c r="P866" s="53"/>
      <c r="Q866" s="53"/>
      <c r="W866" s="40"/>
    </row>
    <row r="867" spans="16:23" x14ac:dyDescent="0.2">
      <c r="P867" s="53"/>
      <c r="Q867" s="53"/>
      <c r="W867" s="40"/>
    </row>
    <row r="868" spans="16:23" x14ac:dyDescent="0.2">
      <c r="P868" s="53"/>
      <c r="Q868" s="53"/>
      <c r="W868" s="40"/>
    </row>
    <row r="869" spans="16:23" x14ac:dyDescent="0.2">
      <c r="P869" s="53"/>
      <c r="Q869" s="53"/>
      <c r="W869" s="40"/>
    </row>
    <row r="870" spans="16:23" x14ac:dyDescent="0.2">
      <c r="P870" s="53"/>
      <c r="Q870" s="53"/>
      <c r="W870" s="40"/>
    </row>
    <row r="871" spans="16:23" x14ac:dyDescent="0.2">
      <c r="P871" s="53"/>
      <c r="Q871" s="53"/>
      <c r="W871" s="40"/>
    </row>
    <row r="872" spans="16:23" x14ac:dyDescent="0.2">
      <c r="P872" s="53"/>
      <c r="Q872" s="53"/>
      <c r="W872" s="40"/>
    </row>
    <row r="873" spans="16:23" x14ac:dyDescent="0.2">
      <c r="P873" s="53"/>
      <c r="Q873" s="53"/>
      <c r="W873" s="40"/>
    </row>
    <row r="874" spans="16:23" x14ac:dyDescent="0.2">
      <c r="P874" s="53"/>
      <c r="Q874" s="53"/>
      <c r="W874" s="40"/>
    </row>
    <row r="875" spans="16:23" x14ac:dyDescent="0.2">
      <c r="P875" s="53"/>
      <c r="Q875" s="53"/>
      <c r="W875" s="40"/>
    </row>
    <row r="876" spans="16:23" x14ac:dyDescent="0.2">
      <c r="P876" s="53"/>
      <c r="Q876" s="53"/>
      <c r="W876" s="40"/>
    </row>
    <row r="877" spans="16:23" x14ac:dyDescent="0.2">
      <c r="P877" s="53"/>
      <c r="Q877" s="53"/>
      <c r="W877" s="40"/>
    </row>
    <row r="878" spans="16:23" x14ac:dyDescent="0.2">
      <c r="P878" s="53"/>
      <c r="Q878" s="53"/>
      <c r="W878" s="40"/>
    </row>
    <row r="879" spans="16:23" x14ac:dyDescent="0.2">
      <c r="P879" s="53"/>
      <c r="Q879" s="53"/>
      <c r="W879" s="40"/>
    </row>
    <row r="880" spans="16:23" x14ac:dyDescent="0.2">
      <c r="P880" s="53"/>
      <c r="Q880" s="53"/>
      <c r="W880" s="40"/>
    </row>
    <row r="881" spans="16:23" x14ac:dyDescent="0.2">
      <c r="P881" s="53"/>
      <c r="Q881" s="53"/>
      <c r="W881" s="40"/>
    </row>
    <row r="882" spans="16:23" x14ac:dyDescent="0.2">
      <c r="P882" s="53"/>
      <c r="Q882" s="53"/>
      <c r="W882" s="40"/>
    </row>
    <row r="883" spans="16:23" x14ac:dyDescent="0.2">
      <c r="P883" s="53"/>
      <c r="Q883" s="53"/>
      <c r="W883" s="40"/>
    </row>
    <row r="884" spans="16:23" x14ac:dyDescent="0.2">
      <c r="P884" s="53"/>
      <c r="Q884" s="53"/>
      <c r="W884" s="40"/>
    </row>
    <row r="885" spans="16:23" x14ac:dyDescent="0.2">
      <c r="P885" s="53"/>
      <c r="Q885" s="53"/>
      <c r="W885" s="40"/>
    </row>
    <row r="886" spans="16:23" x14ac:dyDescent="0.2">
      <c r="P886" s="53"/>
      <c r="Q886" s="53"/>
      <c r="W886" s="40"/>
    </row>
    <row r="887" spans="16:23" x14ac:dyDescent="0.2">
      <c r="P887" s="53"/>
      <c r="Q887" s="53"/>
      <c r="W887" s="40"/>
    </row>
    <row r="888" spans="16:23" x14ac:dyDescent="0.2">
      <c r="P888" s="53"/>
      <c r="Q888" s="53"/>
      <c r="W888" s="40"/>
    </row>
    <row r="889" spans="16:23" x14ac:dyDescent="0.2">
      <c r="P889" s="53"/>
      <c r="Q889" s="53"/>
      <c r="W889" s="40"/>
    </row>
    <row r="890" spans="16:23" x14ac:dyDescent="0.2">
      <c r="P890" s="53"/>
      <c r="Q890" s="53"/>
      <c r="W890" s="40"/>
    </row>
    <row r="891" spans="16:23" x14ac:dyDescent="0.2">
      <c r="P891" s="53"/>
      <c r="Q891" s="53"/>
      <c r="W891" s="40"/>
    </row>
    <row r="892" spans="16:23" x14ac:dyDescent="0.2">
      <c r="P892" s="53"/>
      <c r="Q892" s="53"/>
      <c r="W892" s="40"/>
    </row>
    <row r="893" spans="16:23" x14ac:dyDescent="0.2">
      <c r="P893" s="53"/>
      <c r="Q893" s="53"/>
      <c r="W893" s="40"/>
    </row>
    <row r="894" spans="16:23" x14ac:dyDescent="0.2">
      <c r="P894" s="53"/>
      <c r="Q894" s="53"/>
      <c r="W894" s="40"/>
    </row>
    <row r="895" spans="16:23" x14ac:dyDescent="0.2">
      <c r="P895" s="53"/>
      <c r="Q895" s="53"/>
      <c r="W895" s="40"/>
    </row>
    <row r="896" spans="16:23" x14ac:dyDescent="0.2">
      <c r="P896" s="53"/>
      <c r="Q896" s="53"/>
      <c r="W896" s="40"/>
    </row>
    <row r="897" spans="16:23" x14ac:dyDescent="0.2">
      <c r="P897" s="53"/>
      <c r="Q897" s="53"/>
      <c r="W897" s="40"/>
    </row>
    <row r="898" spans="16:23" x14ac:dyDescent="0.2">
      <c r="P898" s="53"/>
      <c r="Q898" s="53"/>
      <c r="W898" s="40"/>
    </row>
    <row r="899" spans="16:23" x14ac:dyDescent="0.2">
      <c r="P899" s="53"/>
      <c r="Q899" s="53"/>
      <c r="W899" s="40"/>
    </row>
    <row r="900" spans="16:23" x14ac:dyDescent="0.2">
      <c r="P900" s="53"/>
      <c r="Q900" s="53"/>
      <c r="W900" s="40"/>
    </row>
    <row r="901" spans="16:23" x14ac:dyDescent="0.2">
      <c r="P901" s="53"/>
      <c r="Q901" s="53"/>
      <c r="W901" s="40"/>
    </row>
    <row r="902" spans="16:23" x14ac:dyDescent="0.2">
      <c r="P902" s="53"/>
      <c r="Q902" s="53"/>
      <c r="W902" s="40"/>
    </row>
    <row r="903" spans="16:23" x14ac:dyDescent="0.2">
      <c r="P903" s="53"/>
      <c r="Q903" s="53"/>
      <c r="W903" s="40"/>
    </row>
    <row r="904" spans="16:23" x14ac:dyDescent="0.2">
      <c r="P904" s="53"/>
      <c r="Q904" s="53"/>
      <c r="W904" s="40"/>
    </row>
    <row r="905" spans="16:23" x14ac:dyDescent="0.2">
      <c r="P905" s="53"/>
      <c r="Q905" s="53"/>
      <c r="W905" s="40"/>
    </row>
    <row r="906" spans="16:23" x14ac:dyDescent="0.2">
      <c r="P906" s="53"/>
      <c r="Q906" s="53"/>
      <c r="W906" s="40"/>
    </row>
    <row r="907" spans="16:23" x14ac:dyDescent="0.2">
      <c r="P907" s="53"/>
      <c r="Q907" s="53"/>
      <c r="W907" s="40"/>
    </row>
    <row r="908" spans="16:23" x14ac:dyDescent="0.2">
      <c r="P908" s="53"/>
      <c r="Q908" s="53"/>
      <c r="W908" s="40"/>
    </row>
    <row r="909" spans="16:23" x14ac:dyDescent="0.2">
      <c r="P909" s="53"/>
      <c r="Q909" s="53"/>
      <c r="W909" s="40"/>
    </row>
    <row r="910" spans="16:23" x14ac:dyDescent="0.2">
      <c r="P910" s="53"/>
      <c r="Q910" s="53"/>
      <c r="W910" s="40"/>
    </row>
    <row r="911" spans="16:23" x14ac:dyDescent="0.2">
      <c r="P911" s="53"/>
      <c r="Q911" s="53"/>
      <c r="W911" s="40"/>
    </row>
    <row r="912" spans="16:23" x14ac:dyDescent="0.2">
      <c r="P912" s="53"/>
      <c r="Q912" s="53"/>
      <c r="W912" s="40"/>
    </row>
    <row r="913" spans="16:23" x14ac:dyDescent="0.2">
      <c r="P913" s="53"/>
      <c r="Q913" s="53"/>
      <c r="W913" s="40"/>
    </row>
    <row r="914" spans="16:23" x14ac:dyDescent="0.2">
      <c r="P914" s="53"/>
      <c r="Q914" s="53"/>
      <c r="W914" s="40"/>
    </row>
    <row r="915" spans="16:23" x14ac:dyDescent="0.2">
      <c r="P915" s="53"/>
      <c r="Q915" s="53"/>
      <c r="W915" s="40"/>
    </row>
    <row r="916" spans="16:23" x14ac:dyDescent="0.2">
      <c r="P916" s="53"/>
      <c r="Q916" s="53"/>
      <c r="W916" s="40"/>
    </row>
    <row r="917" spans="16:23" x14ac:dyDescent="0.2">
      <c r="P917" s="53"/>
      <c r="Q917" s="53"/>
      <c r="W917" s="40"/>
    </row>
    <row r="918" spans="16:23" x14ac:dyDescent="0.2">
      <c r="P918" s="53"/>
      <c r="Q918" s="53"/>
      <c r="W918" s="40"/>
    </row>
    <row r="919" spans="16:23" x14ac:dyDescent="0.2">
      <c r="P919" s="53"/>
      <c r="Q919" s="53"/>
      <c r="W919" s="40"/>
    </row>
    <row r="920" spans="16:23" x14ac:dyDescent="0.2">
      <c r="P920" s="53"/>
      <c r="Q920" s="53"/>
      <c r="W920" s="40"/>
    </row>
    <row r="921" spans="16:23" x14ac:dyDescent="0.2">
      <c r="P921" s="53"/>
      <c r="Q921" s="53"/>
      <c r="W921" s="40"/>
    </row>
    <row r="922" spans="16:23" x14ac:dyDescent="0.2">
      <c r="P922" s="53"/>
      <c r="Q922" s="53"/>
      <c r="W922" s="40"/>
    </row>
    <row r="923" spans="16:23" x14ac:dyDescent="0.2">
      <c r="P923" s="53"/>
      <c r="Q923" s="53"/>
      <c r="W923" s="40"/>
    </row>
    <row r="924" spans="16:23" x14ac:dyDescent="0.2">
      <c r="P924" s="53"/>
      <c r="Q924" s="53"/>
      <c r="W924" s="40"/>
    </row>
    <row r="925" spans="16:23" x14ac:dyDescent="0.2">
      <c r="P925" s="53"/>
      <c r="Q925" s="53"/>
      <c r="W925" s="40"/>
    </row>
    <row r="926" spans="16:23" x14ac:dyDescent="0.2">
      <c r="P926" s="53"/>
      <c r="Q926" s="53"/>
      <c r="W926" s="40"/>
    </row>
    <row r="927" spans="16:23" x14ac:dyDescent="0.2">
      <c r="P927" s="53"/>
      <c r="Q927" s="53"/>
      <c r="W927" s="40"/>
    </row>
    <row r="928" spans="16:23" x14ac:dyDescent="0.2">
      <c r="P928" s="53"/>
      <c r="Q928" s="53"/>
      <c r="W928" s="40"/>
    </row>
    <row r="929" spans="16:23" x14ac:dyDescent="0.2">
      <c r="P929" s="53"/>
      <c r="Q929" s="53"/>
      <c r="W929" s="40"/>
    </row>
    <row r="930" spans="16:23" x14ac:dyDescent="0.2">
      <c r="P930" s="53"/>
      <c r="Q930" s="53"/>
      <c r="W930" s="40"/>
    </row>
    <row r="931" spans="16:23" x14ac:dyDescent="0.2">
      <c r="P931" s="53"/>
      <c r="Q931" s="53"/>
      <c r="W931" s="40"/>
    </row>
    <row r="932" spans="16:23" x14ac:dyDescent="0.2">
      <c r="P932" s="53"/>
      <c r="Q932" s="53"/>
      <c r="W932" s="40"/>
    </row>
    <row r="933" spans="16:23" x14ac:dyDescent="0.2">
      <c r="P933" s="53"/>
      <c r="Q933" s="53"/>
      <c r="W933" s="40"/>
    </row>
    <row r="934" spans="16:23" x14ac:dyDescent="0.2">
      <c r="P934" s="53"/>
      <c r="Q934" s="53"/>
      <c r="W934" s="40"/>
    </row>
    <row r="935" spans="16:23" x14ac:dyDescent="0.2">
      <c r="P935" s="53"/>
      <c r="Q935" s="53"/>
      <c r="W935" s="40"/>
    </row>
    <row r="936" spans="16:23" x14ac:dyDescent="0.2">
      <c r="P936" s="53"/>
      <c r="Q936" s="53"/>
      <c r="W936" s="40"/>
    </row>
    <row r="937" spans="16:23" x14ac:dyDescent="0.2">
      <c r="P937" s="53"/>
      <c r="Q937" s="53"/>
      <c r="W937" s="40"/>
    </row>
    <row r="938" spans="16:23" x14ac:dyDescent="0.2">
      <c r="P938" s="53"/>
      <c r="Q938" s="53"/>
      <c r="W938" s="40"/>
    </row>
    <row r="939" spans="16:23" x14ac:dyDescent="0.2">
      <c r="P939" s="53"/>
      <c r="Q939" s="53"/>
      <c r="W939" s="40"/>
    </row>
    <row r="940" spans="16:23" x14ac:dyDescent="0.2">
      <c r="P940" s="53"/>
      <c r="Q940" s="53"/>
      <c r="W940" s="40"/>
    </row>
    <row r="941" spans="16:23" x14ac:dyDescent="0.2">
      <c r="P941" s="53"/>
      <c r="Q941" s="53"/>
      <c r="W941" s="40"/>
    </row>
    <row r="942" spans="16:23" x14ac:dyDescent="0.2">
      <c r="P942" s="53"/>
      <c r="Q942" s="53"/>
      <c r="W942" s="40"/>
    </row>
    <row r="943" spans="16:23" x14ac:dyDescent="0.2">
      <c r="P943" s="53"/>
      <c r="Q943" s="53"/>
      <c r="W943" s="40"/>
    </row>
    <row r="944" spans="16:23" x14ac:dyDescent="0.2">
      <c r="P944" s="53"/>
      <c r="Q944" s="53"/>
      <c r="W944" s="40"/>
    </row>
    <row r="945" spans="16:23" x14ac:dyDescent="0.2">
      <c r="P945" s="53"/>
      <c r="Q945" s="53"/>
      <c r="W945" s="40"/>
    </row>
    <row r="946" spans="16:23" x14ac:dyDescent="0.2">
      <c r="P946" s="53"/>
      <c r="Q946" s="53"/>
      <c r="W946" s="40"/>
    </row>
    <row r="947" spans="16:23" x14ac:dyDescent="0.2">
      <c r="P947" s="53"/>
      <c r="Q947" s="53"/>
      <c r="W947" s="40"/>
    </row>
    <row r="948" spans="16:23" x14ac:dyDescent="0.2">
      <c r="P948" s="53"/>
      <c r="Q948" s="53"/>
      <c r="W948" s="40"/>
    </row>
    <row r="949" spans="16:23" x14ac:dyDescent="0.2">
      <c r="P949" s="53"/>
      <c r="Q949" s="53"/>
      <c r="W949" s="40"/>
    </row>
    <row r="950" spans="16:23" x14ac:dyDescent="0.2">
      <c r="P950" s="53"/>
      <c r="Q950" s="53"/>
      <c r="W950" s="40"/>
    </row>
    <row r="951" spans="16:23" x14ac:dyDescent="0.2">
      <c r="P951" s="53"/>
      <c r="Q951" s="53"/>
      <c r="W951" s="40"/>
    </row>
    <row r="952" spans="16:23" x14ac:dyDescent="0.2">
      <c r="P952" s="53"/>
      <c r="Q952" s="53"/>
      <c r="W952" s="40"/>
    </row>
    <row r="953" spans="16:23" x14ac:dyDescent="0.2">
      <c r="P953" s="53"/>
      <c r="Q953" s="53"/>
      <c r="W953" s="40"/>
    </row>
    <row r="954" spans="16:23" x14ac:dyDescent="0.2">
      <c r="P954" s="53"/>
      <c r="Q954" s="53"/>
      <c r="W954" s="40"/>
    </row>
    <row r="955" spans="16:23" x14ac:dyDescent="0.2">
      <c r="P955" s="53"/>
      <c r="Q955" s="53"/>
      <c r="W955" s="40"/>
    </row>
    <row r="956" spans="16:23" x14ac:dyDescent="0.2">
      <c r="P956" s="53"/>
      <c r="Q956" s="53"/>
      <c r="W956" s="40"/>
    </row>
    <row r="957" spans="16:23" x14ac:dyDescent="0.2">
      <c r="P957" s="53"/>
      <c r="Q957" s="53"/>
      <c r="W957" s="40"/>
    </row>
    <row r="958" spans="16:23" x14ac:dyDescent="0.2">
      <c r="P958" s="53"/>
      <c r="Q958" s="53"/>
      <c r="W958" s="40"/>
    </row>
    <row r="959" spans="16:23" x14ac:dyDescent="0.2">
      <c r="P959" s="53"/>
      <c r="Q959" s="53"/>
      <c r="W959" s="40"/>
    </row>
    <row r="960" spans="16:23" x14ac:dyDescent="0.2">
      <c r="P960" s="53"/>
      <c r="Q960" s="53"/>
      <c r="W960" s="40"/>
    </row>
    <row r="961" spans="16:23" x14ac:dyDescent="0.2">
      <c r="P961" s="53"/>
      <c r="Q961" s="53"/>
      <c r="W961" s="40"/>
    </row>
    <row r="962" spans="16:23" x14ac:dyDescent="0.2">
      <c r="P962" s="53"/>
      <c r="Q962" s="53"/>
      <c r="W962" s="40"/>
    </row>
    <row r="963" spans="16:23" x14ac:dyDescent="0.2">
      <c r="P963" s="53"/>
      <c r="Q963" s="53"/>
      <c r="W963" s="40"/>
    </row>
    <row r="964" spans="16:23" x14ac:dyDescent="0.2">
      <c r="P964" s="53"/>
      <c r="Q964" s="53"/>
      <c r="W964" s="40"/>
    </row>
    <row r="965" spans="16:23" x14ac:dyDescent="0.2">
      <c r="P965" s="53"/>
      <c r="Q965" s="53"/>
      <c r="W965" s="40"/>
    </row>
    <row r="966" spans="16:23" x14ac:dyDescent="0.2">
      <c r="P966" s="53"/>
      <c r="Q966" s="53"/>
      <c r="W966" s="40"/>
    </row>
    <row r="967" spans="16:23" x14ac:dyDescent="0.2">
      <c r="P967" s="53"/>
      <c r="Q967" s="53"/>
      <c r="W967" s="40"/>
    </row>
    <row r="968" spans="16:23" x14ac:dyDescent="0.2">
      <c r="P968" s="53"/>
      <c r="Q968" s="53"/>
      <c r="W968" s="40"/>
    </row>
    <row r="969" spans="16:23" x14ac:dyDescent="0.2">
      <c r="P969" s="53"/>
      <c r="Q969" s="53"/>
      <c r="W969" s="40"/>
    </row>
    <row r="970" spans="16:23" x14ac:dyDescent="0.2">
      <c r="P970" s="53"/>
      <c r="Q970" s="53"/>
      <c r="W970" s="40"/>
    </row>
    <row r="971" spans="16:23" x14ac:dyDescent="0.2">
      <c r="P971" s="53"/>
      <c r="Q971" s="53"/>
      <c r="W971" s="40"/>
    </row>
    <row r="972" spans="16:23" x14ac:dyDescent="0.2">
      <c r="P972" s="53"/>
      <c r="Q972" s="53"/>
      <c r="W972" s="40"/>
    </row>
    <row r="973" spans="16:23" x14ac:dyDescent="0.2">
      <c r="P973" s="53"/>
      <c r="Q973" s="53"/>
      <c r="W973" s="40"/>
    </row>
    <row r="974" spans="16:23" x14ac:dyDescent="0.2">
      <c r="P974" s="53"/>
      <c r="Q974" s="53"/>
      <c r="W974" s="40"/>
    </row>
    <row r="975" spans="16:23" x14ac:dyDescent="0.2">
      <c r="P975" s="53"/>
      <c r="Q975" s="53"/>
      <c r="W975" s="40"/>
    </row>
    <row r="976" spans="16:23" x14ac:dyDescent="0.2">
      <c r="P976" s="53"/>
      <c r="Q976" s="53"/>
      <c r="W976" s="40"/>
    </row>
    <row r="977" spans="16:23" x14ac:dyDescent="0.2">
      <c r="P977" s="53"/>
      <c r="Q977" s="53"/>
      <c r="W977" s="40"/>
    </row>
    <row r="978" spans="16:23" x14ac:dyDescent="0.2">
      <c r="P978" s="53"/>
      <c r="Q978" s="53"/>
      <c r="W978" s="40"/>
    </row>
    <row r="979" spans="16:23" x14ac:dyDescent="0.2">
      <c r="P979" s="53"/>
      <c r="Q979" s="53"/>
      <c r="W979" s="40"/>
    </row>
    <row r="980" spans="16:23" x14ac:dyDescent="0.2">
      <c r="P980" s="53"/>
      <c r="Q980" s="53"/>
      <c r="W980" s="40"/>
    </row>
    <row r="981" spans="16:23" x14ac:dyDescent="0.2">
      <c r="P981" s="53"/>
      <c r="Q981" s="53"/>
      <c r="W981" s="40"/>
    </row>
    <row r="982" spans="16:23" x14ac:dyDescent="0.2">
      <c r="P982" s="53"/>
      <c r="Q982" s="53"/>
      <c r="W982" s="40"/>
    </row>
    <row r="983" spans="16:23" x14ac:dyDescent="0.2">
      <c r="P983" s="53"/>
      <c r="Q983" s="53"/>
      <c r="W983" s="40"/>
    </row>
    <row r="984" spans="16:23" x14ac:dyDescent="0.2">
      <c r="P984" s="53"/>
      <c r="Q984" s="53"/>
      <c r="W984" s="40"/>
    </row>
    <row r="985" spans="16:23" x14ac:dyDescent="0.2">
      <c r="P985" s="53"/>
      <c r="Q985" s="53"/>
      <c r="W985" s="40"/>
    </row>
    <row r="986" spans="16:23" x14ac:dyDescent="0.2">
      <c r="P986" s="53"/>
      <c r="Q986" s="53"/>
      <c r="W986" s="40"/>
    </row>
    <row r="987" spans="16:23" x14ac:dyDescent="0.2">
      <c r="P987" s="53"/>
      <c r="Q987" s="53"/>
      <c r="W987" s="40"/>
    </row>
    <row r="988" spans="16:23" x14ac:dyDescent="0.2">
      <c r="P988" s="53"/>
      <c r="Q988" s="53"/>
      <c r="W988" s="40"/>
    </row>
    <row r="989" spans="16:23" x14ac:dyDescent="0.2">
      <c r="P989" s="53"/>
      <c r="Q989" s="53"/>
      <c r="W989" s="40"/>
    </row>
    <row r="990" spans="16:23" x14ac:dyDescent="0.2">
      <c r="P990" s="53"/>
      <c r="Q990" s="53"/>
      <c r="W990" s="40"/>
    </row>
    <row r="991" spans="16:23" x14ac:dyDescent="0.2">
      <c r="P991" s="53"/>
      <c r="Q991" s="53"/>
      <c r="W991" s="40"/>
    </row>
    <row r="992" spans="16:23" x14ac:dyDescent="0.2">
      <c r="P992" s="53"/>
      <c r="Q992" s="53"/>
      <c r="W992" s="40"/>
    </row>
    <row r="993" spans="16:23" x14ac:dyDescent="0.2">
      <c r="P993" s="53"/>
      <c r="Q993" s="53"/>
      <c r="W993" s="40"/>
    </row>
    <row r="994" spans="16:23" x14ac:dyDescent="0.2">
      <c r="P994" s="53"/>
      <c r="Q994" s="53"/>
      <c r="W994" s="40"/>
    </row>
    <row r="995" spans="16:23" x14ac:dyDescent="0.2">
      <c r="P995" s="53"/>
      <c r="Q995" s="53"/>
      <c r="W995" s="40"/>
    </row>
    <row r="996" spans="16:23" x14ac:dyDescent="0.2">
      <c r="P996" s="53"/>
      <c r="Q996" s="53"/>
      <c r="W996" s="40"/>
    </row>
    <row r="997" spans="16:23" x14ac:dyDescent="0.2">
      <c r="P997" s="53"/>
      <c r="Q997" s="53"/>
      <c r="W997" s="40"/>
    </row>
    <row r="998" spans="16:23" x14ac:dyDescent="0.2">
      <c r="P998" s="53"/>
      <c r="Q998" s="53"/>
      <c r="W998" s="40"/>
    </row>
    <row r="999" spans="16:23" x14ac:dyDescent="0.2">
      <c r="P999" s="53"/>
      <c r="Q999" s="53"/>
      <c r="W999" s="40"/>
    </row>
    <row r="1000" spans="16:23" x14ac:dyDescent="0.2">
      <c r="P1000" s="53"/>
      <c r="Q1000" s="53"/>
      <c r="W1000" s="40"/>
    </row>
    <row r="1001" spans="16:23" x14ac:dyDescent="0.2">
      <c r="P1001" s="53"/>
      <c r="Q1001" s="53"/>
      <c r="W1001" s="40"/>
    </row>
    <row r="1002" spans="16:23" x14ac:dyDescent="0.2">
      <c r="P1002" s="53"/>
      <c r="Q1002" s="53"/>
      <c r="W1002" s="40"/>
    </row>
    <row r="1003" spans="16:23" x14ac:dyDescent="0.2">
      <c r="P1003" s="53"/>
      <c r="Q1003" s="53"/>
      <c r="W1003" s="40"/>
    </row>
    <row r="1004" spans="16:23" x14ac:dyDescent="0.2">
      <c r="P1004" s="53"/>
      <c r="Q1004" s="53"/>
      <c r="W1004" s="40"/>
    </row>
    <row r="1005" spans="16:23" x14ac:dyDescent="0.2">
      <c r="P1005" s="53"/>
      <c r="Q1005" s="53"/>
      <c r="W1005" s="40"/>
    </row>
    <row r="1006" spans="16:23" x14ac:dyDescent="0.2">
      <c r="P1006" s="53"/>
      <c r="Q1006" s="53"/>
      <c r="W1006" s="40"/>
    </row>
    <row r="1007" spans="16:23" x14ac:dyDescent="0.2">
      <c r="P1007" s="53"/>
      <c r="Q1007" s="53"/>
      <c r="W1007" s="40"/>
    </row>
    <row r="1008" spans="16:23" x14ac:dyDescent="0.2">
      <c r="P1008" s="53"/>
      <c r="Q1008" s="53"/>
      <c r="W1008" s="40"/>
    </row>
    <row r="1009" spans="16:23" x14ac:dyDescent="0.2">
      <c r="P1009" s="53"/>
      <c r="Q1009" s="53"/>
      <c r="W1009" s="40"/>
    </row>
    <row r="1010" spans="16:23" x14ac:dyDescent="0.2">
      <c r="P1010" s="53"/>
      <c r="Q1010" s="53"/>
      <c r="W1010" s="40"/>
    </row>
    <row r="1011" spans="16:23" x14ac:dyDescent="0.2">
      <c r="P1011" s="53"/>
      <c r="Q1011" s="53"/>
      <c r="W1011" s="40"/>
    </row>
    <row r="1012" spans="16:23" x14ac:dyDescent="0.2">
      <c r="P1012" s="53"/>
      <c r="Q1012" s="53"/>
      <c r="W1012" s="40"/>
    </row>
    <row r="1013" spans="16:23" x14ac:dyDescent="0.2">
      <c r="P1013" s="53"/>
      <c r="Q1013" s="53"/>
      <c r="W1013" s="40"/>
    </row>
    <row r="1014" spans="16:23" x14ac:dyDescent="0.2">
      <c r="P1014" s="53"/>
      <c r="Q1014" s="53"/>
      <c r="W1014" s="40"/>
    </row>
    <row r="1015" spans="16:23" x14ac:dyDescent="0.2">
      <c r="P1015" s="53"/>
      <c r="Q1015" s="53"/>
      <c r="W1015" s="40"/>
    </row>
    <row r="1016" spans="16:23" x14ac:dyDescent="0.2">
      <c r="P1016" s="53"/>
      <c r="Q1016" s="53"/>
      <c r="W1016" s="40"/>
    </row>
    <row r="1017" spans="16:23" x14ac:dyDescent="0.2">
      <c r="P1017" s="53"/>
      <c r="Q1017" s="53"/>
      <c r="W1017" s="40"/>
    </row>
    <row r="1018" spans="16:23" x14ac:dyDescent="0.2">
      <c r="P1018" s="53"/>
      <c r="Q1018" s="53"/>
      <c r="W1018" s="40"/>
    </row>
    <row r="1019" spans="16:23" x14ac:dyDescent="0.2">
      <c r="P1019" s="53"/>
      <c r="Q1019" s="53"/>
      <c r="W1019" s="40"/>
    </row>
    <row r="1020" spans="16:23" x14ac:dyDescent="0.2">
      <c r="P1020" s="53"/>
      <c r="Q1020" s="53"/>
      <c r="W1020" s="40"/>
    </row>
    <row r="1021" spans="16:23" x14ac:dyDescent="0.2">
      <c r="P1021" s="53"/>
      <c r="Q1021" s="53"/>
      <c r="W1021" s="40"/>
    </row>
    <row r="1022" spans="16:23" x14ac:dyDescent="0.2">
      <c r="P1022" s="53"/>
      <c r="Q1022" s="53"/>
      <c r="W1022" s="40"/>
    </row>
    <row r="1023" spans="16:23" x14ac:dyDescent="0.2">
      <c r="P1023" s="53"/>
      <c r="Q1023" s="53"/>
      <c r="W1023" s="40"/>
    </row>
    <row r="1024" spans="16:23" x14ac:dyDescent="0.2">
      <c r="P1024" s="53"/>
      <c r="Q1024" s="53"/>
      <c r="W1024" s="40"/>
    </row>
    <row r="1025" spans="16:23" x14ac:dyDescent="0.2">
      <c r="P1025" s="53"/>
      <c r="Q1025" s="53"/>
      <c r="W1025" s="40"/>
    </row>
    <row r="1026" spans="16:23" x14ac:dyDescent="0.2">
      <c r="P1026" s="53"/>
      <c r="Q1026" s="53"/>
      <c r="W1026" s="40"/>
    </row>
    <row r="1027" spans="16:23" x14ac:dyDescent="0.2">
      <c r="P1027" s="53"/>
      <c r="Q1027" s="53"/>
      <c r="W1027" s="40"/>
    </row>
    <row r="1028" spans="16:23" x14ac:dyDescent="0.2">
      <c r="P1028" s="53"/>
      <c r="Q1028" s="53"/>
      <c r="W1028" s="40"/>
    </row>
    <row r="1029" spans="16:23" x14ac:dyDescent="0.2">
      <c r="P1029" s="53"/>
      <c r="Q1029" s="53"/>
      <c r="W1029" s="40"/>
    </row>
    <row r="1030" spans="16:23" x14ac:dyDescent="0.2">
      <c r="P1030" s="53"/>
      <c r="Q1030" s="53"/>
      <c r="W1030" s="40"/>
    </row>
    <row r="1031" spans="16:23" x14ac:dyDescent="0.2">
      <c r="P1031" s="53"/>
      <c r="Q1031" s="53"/>
      <c r="W1031" s="40"/>
    </row>
    <row r="1032" spans="16:23" x14ac:dyDescent="0.2">
      <c r="P1032" s="53"/>
      <c r="Q1032" s="53"/>
      <c r="W1032" s="40"/>
    </row>
    <row r="1033" spans="16:23" x14ac:dyDescent="0.2">
      <c r="P1033" s="53"/>
      <c r="Q1033" s="53"/>
      <c r="W1033" s="40"/>
    </row>
    <row r="1034" spans="16:23" x14ac:dyDescent="0.2">
      <c r="P1034" s="53"/>
      <c r="Q1034" s="53"/>
      <c r="W1034" s="40"/>
    </row>
    <row r="1035" spans="16:23" x14ac:dyDescent="0.2">
      <c r="P1035" s="53"/>
      <c r="Q1035" s="53"/>
      <c r="W1035" s="40"/>
    </row>
    <row r="1036" spans="16:23" x14ac:dyDescent="0.2">
      <c r="P1036" s="53"/>
      <c r="Q1036" s="53"/>
      <c r="W1036" s="40"/>
    </row>
    <row r="1037" spans="16:23" x14ac:dyDescent="0.2">
      <c r="P1037" s="53"/>
      <c r="Q1037" s="53"/>
      <c r="W1037" s="40"/>
    </row>
    <row r="1038" spans="16:23" x14ac:dyDescent="0.2">
      <c r="P1038" s="53"/>
      <c r="Q1038" s="53"/>
      <c r="W1038" s="40"/>
    </row>
    <row r="1039" spans="16:23" x14ac:dyDescent="0.2">
      <c r="P1039" s="53"/>
      <c r="Q1039" s="53"/>
      <c r="W1039" s="40"/>
    </row>
    <row r="1040" spans="16:23" x14ac:dyDescent="0.2">
      <c r="P1040" s="53"/>
      <c r="Q1040" s="53"/>
      <c r="W1040" s="40"/>
    </row>
    <row r="1041" spans="16:23" x14ac:dyDescent="0.2">
      <c r="P1041" s="53"/>
      <c r="Q1041" s="53"/>
      <c r="W1041" s="40"/>
    </row>
    <row r="1042" spans="16:23" x14ac:dyDescent="0.2">
      <c r="P1042" s="53"/>
      <c r="Q1042" s="53"/>
      <c r="W1042" s="40"/>
    </row>
    <row r="1043" spans="16:23" x14ac:dyDescent="0.2">
      <c r="P1043" s="53"/>
      <c r="Q1043" s="53"/>
      <c r="W1043" s="40"/>
    </row>
    <row r="1044" spans="16:23" x14ac:dyDescent="0.2">
      <c r="P1044" s="53"/>
      <c r="Q1044" s="53"/>
      <c r="W1044" s="40"/>
    </row>
    <row r="1045" spans="16:23" x14ac:dyDescent="0.2">
      <c r="P1045" s="53"/>
      <c r="Q1045" s="53"/>
      <c r="W1045" s="40"/>
    </row>
    <row r="1046" spans="16:23" x14ac:dyDescent="0.2">
      <c r="P1046" s="53"/>
      <c r="Q1046" s="53"/>
      <c r="W1046" s="40"/>
    </row>
    <row r="1047" spans="16:23" x14ac:dyDescent="0.2">
      <c r="P1047" s="53"/>
      <c r="Q1047" s="53"/>
      <c r="W1047" s="40"/>
    </row>
    <row r="1048" spans="16:23" x14ac:dyDescent="0.2">
      <c r="P1048" s="53"/>
      <c r="Q1048" s="53"/>
      <c r="W1048" s="40"/>
    </row>
    <row r="1049" spans="16:23" x14ac:dyDescent="0.2">
      <c r="P1049" s="53"/>
      <c r="Q1049" s="53"/>
      <c r="W1049" s="40"/>
    </row>
    <row r="1050" spans="16:23" x14ac:dyDescent="0.2">
      <c r="P1050" s="53"/>
      <c r="Q1050" s="53"/>
      <c r="W1050" s="40"/>
    </row>
    <row r="1051" spans="16:23" x14ac:dyDescent="0.2">
      <c r="P1051" s="53"/>
      <c r="Q1051" s="53"/>
      <c r="W1051" s="40"/>
    </row>
    <row r="1052" spans="16:23" x14ac:dyDescent="0.2">
      <c r="P1052" s="53"/>
      <c r="Q1052" s="53"/>
      <c r="W1052" s="40"/>
    </row>
    <row r="1053" spans="16:23" x14ac:dyDescent="0.2">
      <c r="P1053" s="53"/>
      <c r="Q1053" s="53"/>
      <c r="W1053" s="40"/>
    </row>
    <row r="1054" spans="16:23" x14ac:dyDescent="0.2">
      <c r="P1054" s="53"/>
      <c r="Q1054" s="53"/>
      <c r="W1054" s="40"/>
    </row>
    <row r="1055" spans="16:23" x14ac:dyDescent="0.2">
      <c r="P1055" s="53"/>
      <c r="Q1055" s="53"/>
      <c r="W1055" s="40"/>
    </row>
    <row r="1056" spans="16:23" x14ac:dyDescent="0.2">
      <c r="P1056" s="53"/>
      <c r="Q1056" s="53"/>
      <c r="W1056" s="40"/>
    </row>
    <row r="1057" spans="16:23" x14ac:dyDescent="0.2">
      <c r="P1057" s="53"/>
      <c r="Q1057" s="53"/>
      <c r="W1057" s="40"/>
    </row>
    <row r="1058" spans="16:23" x14ac:dyDescent="0.2">
      <c r="P1058" s="53"/>
      <c r="Q1058" s="53"/>
      <c r="W1058" s="40"/>
    </row>
    <row r="1059" spans="16:23" x14ac:dyDescent="0.2">
      <c r="P1059" s="53"/>
      <c r="Q1059" s="53"/>
      <c r="W1059" s="40"/>
    </row>
    <row r="1060" spans="16:23" x14ac:dyDescent="0.2">
      <c r="P1060" s="53"/>
      <c r="Q1060" s="53"/>
      <c r="W1060" s="40"/>
    </row>
    <row r="1061" spans="16:23" x14ac:dyDescent="0.2">
      <c r="P1061" s="53"/>
      <c r="Q1061" s="53"/>
      <c r="W1061" s="40"/>
    </row>
    <row r="1062" spans="16:23" x14ac:dyDescent="0.2">
      <c r="P1062" s="53"/>
      <c r="Q1062" s="53"/>
      <c r="W1062" s="40"/>
    </row>
    <row r="1063" spans="16:23" x14ac:dyDescent="0.2">
      <c r="P1063" s="53"/>
      <c r="Q1063" s="53"/>
      <c r="W1063" s="40"/>
    </row>
    <row r="1064" spans="16:23" x14ac:dyDescent="0.2">
      <c r="P1064" s="53"/>
      <c r="Q1064" s="53"/>
      <c r="W1064" s="40"/>
    </row>
    <row r="1065" spans="16:23" x14ac:dyDescent="0.2">
      <c r="P1065" s="53"/>
      <c r="Q1065" s="53"/>
      <c r="W1065" s="40"/>
    </row>
    <row r="1066" spans="16:23" x14ac:dyDescent="0.2">
      <c r="P1066" s="53"/>
      <c r="Q1066" s="53"/>
      <c r="W1066" s="40"/>
    </row>
    <row r="1067" spans="16:23" x14ac:dyDescent="0.2">
      <c r="P1067" s="53"/>
      <c r="Q1067" s="53"/>
      <c r="W1067" s="40"/>
    </row>
    <row r="1068" spans="16:23" x14ac:dyDescent="0.2">
      <c r="P1068" s="53"/>
      <c r="Q1068" s="53"/>
      <c r="W1068" s="40"/>
    </row>
    <row r="1069" spans="16:23" x14ac:dyDescent="0.2">
      <c r="P1069" s="53"/>
      <c r="Q1069" s="53"/>
      <c r="W1069" s="40"/>
    </row>
    <row r="1070" spans="16:23" x14ac:dyDescent="0.2">
      <c r="P1070" s="53"/>
      <c r="Q1070" s="53"/>
      <c r="W1070" s="40"/>
    </row>
    <row r="1071" spans="16:23" x14ac:dyDescent="0.2">
      <c r="P1071" s="53"/>
      <c r="Q1071" s="53"/>
      <c r="W1071" s="40"/>
    </row>
    <row r="1072" spans="16:23" x14ac:dyDescent="0.2">
      <c r="P1072" s="53"/>
      <c r="Q1072" s="53"/>
      <c r="W1072" s="40"/>
    </row>
    <row r="1073" spans="16:23" x14ac:dyDescent="0.2">
      <c r="P1073" s="53"/>
      <c r="Q1073" s="53"/>
      <c r="W1073" s="40"/>
    </row>
    <row r="1074" spans="16:23" x14ac:dyDescent="0.2">
      <c r="P1074" s="53"/>
      <c r="Q1074" s="53"/>
      <c r="W1074" s="40"/>
    </row>
    <row r="1075" spans="16:23" x14ac:dyDescent="0.2">
      <c r="P1075" s="53"/>
      <c r="Q1075" s="53"/>
      <c r="W1075" s="40"/>
    </row>
    <row r="1076" spans="16:23" x14ac:dyDescent="0.2">
      <c r="P1076" s="53"/>
      <c r="Q1076" s="53"/>
      <c r="W1076" s="40"/>
    </row>
    <row r="1077" spans="16:23" x14ac:dyDescent="0.2">
      <c r="P1077" s="53"/>
      <c r="Q1077" s="53"/>
      <c r="W1077" s="40"/>
    </row>
    <row r="1078" spans="16:23" x14ac:dyDescent="0.2">
      <c r="P1078" s="53"/>
      <c r="Q1078" s="53"/>
      <c r="W1078" s="40"/>
    </row>
    <row r="1079" spans="16:23" x14ac:dyDescent="0.2">
      <c r="P1079" s="53"/>
      <c r="Q1079" s="53"/>
      <c r="W1079" s="40"/>
    </row>
    <row r="1080" spans="16:23" x14ac:dyDescent="0.2">
      <c r="P1080" s="53"/>
      <c r="Q1080" s="53"/>
      <c r="W1080" s="40"/>
    </row>
    <row r="1081" spans="16:23" x14ac:dyDescent="0.2">
      <c r="P1081" s="53"/>
      <c r="Q1081" s="53"/>
      <c r="W1081" s="40"/>
    </row>
    <row r="1082" spans="16:23" x14ac:dyDescent="0.2">
      <c r="P1082" s="53"/>
      <c r="Q1082" s="53"/>
      <c r="W1082" s="40"/>
    </row>
    <row r="1083" spans="16:23" x14ac:dyDescent="0.2">
      <c r="P1083" s="53"/>
      <c r="Q1083" s="53"/>
      <c r="W1083" s="40"/>
    </row>
    <row r="1084" spans="16:23" x14ac:dyDescent="0.2">
      <c r="P1084" s="53"/>
      <c r="Q1084" s="53"/>
      <c r="W1084" s="40"/>
    </row>
    <row r="1085" spans="16:23" x14ac:dyDescent="0.2">
      <c r="P1085" s="53"/>
      <c r="Q1085" s="53"/>
      <c r="W1085" s="40"/>
    </row>
    <row r="1086" spans="16:23" x14ac:dyDescent="0.2">
      <c r="P1086" s="53"/>
      <c r="Q1086" s="53"/>
      <c r="W1086" s="40"/>
    </row>
    <row r="1087" spans="16:23" x14ac:dyDescent="0.2">
      <c r="P1087" s="53"/>
      <c r="Q1087" s="53"/>
      <c r="W1087" s="40"/>
    </row>
    <row r="1088" spans="16:23" x14ac:dyDescent="0.2">
      <c r="P1088" s="53"/>
      <c r="Q1088" s="53"/>
      <c r="W1088" s="40"/>
    </row>
    <row r="1089" spans="16:23" x14ac:dyDescent="0.2">
      <c r="P1089" s="53"/>
      <c r="Q1089" s="53"/>
      <c r="W1089" s="40"/>
    </row>
    <row r="1090" spans="16:23" x14ac:dyDescent="0.2">
      <c r="P1090" s="53"/>
      <c r="Q1090" s="53"/>
      <c r="W1090" s="40"/>
    </row>
    <row r="1091" spans="16:23" x14ac:dyDescent="0.2">
      <c r="P1091" s="53"/>
      <c r="Q1091" s="53"/>
      <c r="W1091" s="40"/>
    </row>
    <row r="1092" spans="16:23" x14ac:dyDescent="0.2">
      <c r="P1092" s="53"/>
      <c r="Q1092" s="53"/>
      <c r="W1092" s="40"/>
    </row>
    <row r="1093" spans="16:23" x14ac:dyDescent="0.2">
      <c r="P1093" s="53"/>
      <c r="Q1093" s="53"/>
      <c r="W1093" s="40"/>
    </row>
    <row r="1094" spans="16:23" x14ac:dyDescent="0.2">
      <c r="P1094" s="53"/>
      <c r="Q1094" s="53"/>
      <c r="W1094" s="40"/>
    </row>
    <row r="1095" spans="16:23" x14ac:dyDescent="0.2">
      <c r="P1095" s="53"/>
      <c r="Q1095" s="53"/>
      <c r="W1095" s="40"/>
    </row>
    <row r="1096" spans="16:23" x14ac:dyDescent="0.2">
      <c r="P1096" s="53"/>
      <c r="Q1096" s="53"/>
      <c r="W1096" s="40"/>
    </row>
    <row r="1097" spans="16:23" x14ac:dyDescent="0.2">
      <c r="P1097" s="53"/>
      <c r="Q1097" s="53"/>
      <c r="W1097" s="40"/>
    </row>
    <row r="1098" spans="16:23" x14ac:dyDescent="0.2">
      <c r="P1098" s="53"/>
      <c r="Q1098" s="53"/>
      <c r="W1098" s="40"/>
    </row>
    <row r="1099" spans="16:23" x14ac:dyDescent="0.2">
      <c r="P1099" s="53"/>
      <c r="Q1099" s="53"/>
      <c r="W1099" s="40"/>
    </row>
    <row r="1100" spans="16:23" x14ac:dyDescent="0.2">
      <c r="P1100" s="53"/>
      <c r="Q1100" s="53"/>
      <c r="W1100" s="40"/>
    </row>
    <row r="1101" spans="16:23" x14ac:dyDescent="0.2">
      <c r="P1101" s="53"/>
      <c r="Q1101" s="53"/>
      <c r="W1101" s="40"/>
    </row>
    <row r="1102" spans="16:23" x14ac:dyDescent="0.2">
      <c r="P1102" s="53"/>
      <c r="Q1102" s="53"/>
      <c r="W1102" s="40"/>
    </row>
    <row r="1103" spans="16:23" x14ac:dyDescent="0.2">
      <c r="P1103" s="53"/>
      <c r="Q1103" s="53"/>
      <c r="W1103" s="40"/>
    </row>
    <row r="1104" spans="16:23" x14ac:dyDescent="0.2">
      <c r="P1104" s="53"/>
      <c r="Q1104" s="53"/>
      <c r="W1104" s="40"/>
    </row>
    <row r="1105" spans="16:23" x14ac:dyDescent="0.2">
      <c r="P1105" s="53"/>
      <c r="Q1105" s="53"/>
      <c r="W1105" s="40"/>
    </row>
    <row r="1106" spans="16:23" x14ac:dyDescent="0.2">
      <c r="P1106" s="53"/>
      <c r="Q1106" s="53"/>
      <c r="W1106" s="40"/>
    </row>
    <row r="1107" spans="16:23" x14ac:dyDescent="0.2">
      <c r="P1107" s="53"/>
      <c r="Q1107" s="53"/>
      <c r="W1107" s="40"/>
    </row>
    <row r="1108" spans="16:23" x14ac:dyDescent="0.2">
      <c r="P1108" s="53"/>
      <c r="Q1108" s="53"/>
      <c r="W1108" s="40"/>
    </row>
    <row r="1109" spans="16:23" x14ac:dyDescent="0.2">
      <c r="P1109" s="53"/>
      <c r="Q1109" s="53"/>
      <c r="W1109" s="40"/>
    </row>
    <row r="1110" spans="16:23" x14ac:dyDescent="0.2">
      <c r="P1110" s="53"/>
      <c r="Q1110" s="53"/>
      <c r="W1110" s="40"/>
    </row>
    <row r="1111" spans="16:23" x14ac:dyDescent="0.2">
      <c r="P1111" s="53"/>
      <c r="Q1111" s="53"/>
      <c r="W1111" s="40"/>
    </row>
    <row r="1112" spans="16:23" x14ac:dyDescent="0.2">
      <c r="P1112" s="53"/>
      <c r="Q1112" s="53"/>
      <c r="W1112" s="40"/>
    </row>
    <row r="1113" spans="16:23" x14ac:dyDescent="0.2">
      <c r="P1113" s="53"/>
      <c r="Q1113" s="53"/>
      <c r="W1113" s="40"/>
    </row>
    <row r="1114" spans="16:23" x14ac:dyDescent="0.2">
      <c r="P1114" s="53"/>
      <c r="Q1114" s="53"/>
      <c r="W1114" s="40"/>
    </row>
    <row r="1115" spans="16:23" x14ac:dyDescent="0.2">
      <c r="P1115" s="53"/>
      <c r="Q1115" s="53"/>
      <c r="W1115" s="40"/>
    </row>
    <row r="1116" spans="16:23" x14ac:dyDescent="0.2">
      <c r="P1116" s="53"/>
      <c r="Q1116" s="53"/>
      <c r="W1116" s="40"/>
    </row>
    <row r="1117" spans="16:23" x14ac:dyDescent="0.2">
      <c r="P1117" s="53"/>
      <c r="Q1117" s="53"/>
      <c r="W1117" s="40"/>
    </row>
    <row r="1118" spans="16:23" x14ac:dyDescent="0.2">
      <c r="P1118" s="53"/>
      <c r="Q1118" s="53"/>
      <c r="W1118" s="40"/>
    </row>
    <row r="1119" spans="16:23" x14ac:dyDescent="0.2">
      <c r="P1119" s="53"/>
      <c r="Q1119" s="53"/>
      <c r="W1119" s="40"/>
    </row>
    <row r="1120" spans="16:23" x14ac:dyDescent="0.2">
      <c r="P1120" s="53"/>
      <c r="Q1120" s="53"/>
      <c r="W1120" s="40"/>
    </row>
    <row r="1121" spans="16:23" x14ac:dyDescent="0.2">
      <c r="P1121" s="53"/>
      <c r="Q1121" s="53"/>
      <c r="W1121" s="40"/>
    </row>
    <row r="1122" spans="16:23" x14ac:dyDescent="0.2">
      <c r="P1122" s="53"/>
      <c r="Q1122" s="53"/>
      <c r="W1122" s="40"/>
    </row>
    <row r="1123" spans="16:23" x14ac:dyDescent="0.2">
      <c r="P1123" s="53"/>
      <c r="Q1123" s="53"/>
      <c r="W1123" s="40"/>
    </row>
    <row r="1124" spans="16:23" x14ac:dyDescent="0.2">
      <c r="P1124" s="53"/>
      <c r="Q1124" s="53"/>
      <c r="W1124" s="40"/>
    </row>
    <row r="1125" spans="16:23" x14ac:dyDescent="0.2">
      <c r="P1125" s="53"/>
      <c r="Q1125" s="53"/>
      <c r="W1125" s="40"/>
    </row>
    <row r="1126" spans="16:23" x14ac:dyDescent="0.2">
      <c r="P1126" s="53"/>
      <c r="Q1126" s="53"/>
      <c r="W1126" s="40"/>
    </row>
    <row r="1127" spans="16:23" x14ac:dyDescent="0.2">
      <c r="P1127" s="53"/>
      <c r="Q1127" s="53"/>
      <c r="W1127" s="40"/>
    </row>
    <row r="1128" spans="16:23" x14ac:dyDescent="0.2">
      <c r="P1128" s="53"/>
      <c r="Q1128" s="53"/>
      <c r="W1128" s="40"/>
    </row>
    <row r="1129" spans="16:23" x14ac:dyDescent="0.2">
      <c r="P1129" s="53"/>
      <c r="Q1129" s="53"/>
      <c r="W1129" s="40"/>
    </row>
    <row r="1130" spans="16:23" x14ac:dyDescent="0.2">
      <c r="P1130" s="53"/>
      <c r="Q1130" s="53"/>
      <c r="W1130" s="40"/>
    </row>
    <row r="1131" spans="16:23" x14ac:dyDescent="0.2">
      <c r="P1131" s="53"/>
      <c r="Q1131" s="53"/>
      <c r="W1131" s="40"/>
    </row>
    <row r="1132" spans="16:23" x14ac:dyDescent="0.2">
      <c r="P1132" s="53"/>
      <c r="Q1132" s="53"/>
      <c r="W1132" s="40"/>
    </row>
    <row r="1133" spans="16:23" x14ac:dyDescent="0.2">
      <c r="P1133" s="53"/>
      <c r="Q1133" s="53"/>
      <c r="W1133" s="40"/>
    </row>
    <row r="1134" spans="16:23" x14ac:dyDescent="0.2">
      <c r="P1134" s="53"/>
      <c r="Q1134" s="53"/>
      <c r="W1134" s="40"/>
    </row>
    <row r="1135" spans="16:23" x14ac:dyDescent="0.2">
      <c r="P1135" s="53"/>
      <c r="Q1135" s="53"/>
      <c r="W1135" s="40"/>
    </row>
    <row r="1136" spans="16:23" x14ac:dyDescent="0.2">
      <c r="P1136" s="53"/>
      <c r="Q1136" s="53"/>
      <c r="W1136" s="40"/>
    </row>
    <row r="1137" spans="16:23" x14ac:dyDescent="0.2">
      <c r="P1137" s="53"/>
      <c r="Q1137" s="53"/>
      <c r="W1137" s="40"/>
    </row>
    <row r="1138" spans="16:23" x14ac:dyDescent="0.2">
      <c r="P1138" s="53"/>
      <c r="Q1138" s="53"/>
      <c r="W1138" s="40"/>
    </row>
    <row r="1139" spans="16:23" x14ac:dyDescent="0.2">
      <c r="P1139" s="53"/>
      <c r="Q1139" s="53"/>
      <c r="W1139" s="40"/>
    </row>
    <row r="1140" spans="16:23" x14ac:dyDescent="0.2">
      <c r="P1140" s="53"/>
      <c r="Q1140" s="53"/>
      <c r="W1140" s="40"/>
    </row>
    <row r="1141" spans="16:23" x14ac:dyDescent="0.2">
      <c r="P1141" s="53"/>
      <c r="Q1141" s="53"/>
      <c r="W1141" s="40"/>
    </row>
    <row r="1142" spans="16:23" x14ac:dyDescent="0.2">
      <c r="P1142" s="53"/>
      <c r="Q1142" s="53"/>
      <c r="W1142" s="40"/>
    </row>
    <row r="1143" spans="16:23" x14ac:dyDescent="0.2">
      <c r="P1143" s="53"/>
      <c r="Q1143" s="53"/>
      <c r="W1143" s="40"/>
    </row>
    <row r="1144" spans="16:23" x14ac:dyDescent="0.2">
      <c r="P1144" s="53"/>
      <c r="Q1144" s="53"/>
      <c r="W1144" s="40"/>
    </row>
    <row r="1145" spans="16:23" x14ac:dyDescent="0.2">
      <c r="P1145" s="53"/>
      <c r="Q1145" s="53"/>
      <c r="W1145" s="40"/>
    </row>
    <row r="1146" spans="16:23" x14ac:dyDescent="0.2">
      <c r="P1146" s="53"/>
      <c r="Q1146" s="53"/>
      <c r="W1146" s="40"/>
    </row>
    <row r="1147" spans="16:23" x14ac:dyDescent="0.2">
      <c r="P1147" s="53"/>
      <c r="Q1147" s="53"/>
      <c r="W1147" s="40"/>
    </row>
    <row r="1148" spans="16:23" x14ac:dyDescent="0.2">
      <c r="P1148" s="53"/>
      <c r="Q1148" s="53"/>
      <c r="W1148" s="40"/>
    </row>
    <row r="1149" spans="16:23" x14ac:dyDescent="0.2">
      <c r="P1149" s="53"/>
      <c r="Q1149" s="53"/>
      <c r="W1149" s="40"/>
    </row>
    <row r="1150" spans="16:23" x14ac:dyDescent="0.2">
      <c r="P1150" s="53"/>
      <c r="Q1150" s="53"/>
      <c r="W1150" s="40"/>
    </row>
    <row r="1151" spans="16:23" x14ac:dyDescent="0.2">
      <c r="P1151" s="53"/>
      <c r="Q1151" s="53"/>
      <c r="W1151" s="40"/>
    </row>
    <row r="1152" spans="16:23" x14ac:dyDescent="0.2">
      <c r="P1152" s="53"/>
      <c r="Q1152" s="53"/>
      <c r="W1152" s="40"/>
    </row>
    <row r="1153" spans="16:23" x14ac:dyDescent="0.2">
      <c r="P1153" s="53"/>
      <c r="Q1153" s="53"/>
      <c r="W1153" s="40"/>
    </row>
    <row r="1154" spans="16:23" x14ac:dyDescent="0.2">
      <c r="P1154" s="53"/>
      <c r="Q1154" s="53"/>
      <c r="W1154" s="40"/>
    </row>
    <row r="1155" spans="16:23" x14ac:dyDescent="0.2">
      <c r="P1155" s="53"/>
      <c r="Q1155" s="53"/>
      <c r="W1155" s="40"/>
    </row>
    <row r="1156" spans="16:23" x14ac:dyDescent="0.2">
      <c r="P1156" s="53"/>
      <c r="Q1156" s="53"/>
      <c r="W1156" s="40"/>
    </row>
    <row r="1157" spans="16:23" x14ac:dyDescent="0.2">
      <c r="P1157" s="53"/>
      <c r="Q1157" s="53"/>
      <c r="W1157" s="40"/>
    </row>
    <row r="1158" spans="16:23" x14ac:dyDescent="0.2">
      <c r="P1158" s="53"/>
      <c r="Q1158" s="53"/>
      <c r="W1158" s="40"/>
    </row>
    <row r="1159" spans="16:23" x14ac:dyDescent="0.2">
      <c r="P1159" s="53"/>
      <c r="Q1159" s="53"/>
      <c r="W1159" s="40"/>
    </row>
    <row r="1160" spans="16:23" x14ac:dyDescent="0.2">
      <c r="P1160" s="53"/>
      <c r="Q1160" s="53"/>
      <c r="W1160" s="40"/>
    </row>
    <row r="1161" spans="16:23" x14ac:dyDescent="0.2">
      <c r="P1161" s="53"/>
      <c r="Q1161" s="53"/>
      <c r="W1161" s="40"/>
    </row>
    <row r="1162" spans="16:23" x14ac:dyDescent="0.2">
      <c r="P1162" s="53"/>
      <c r="Q1162" s="53"/>
      <c r="W1162" s="40"/>
    </row>
    <row r="1163" spans="16:23" x14ac:dyDescent="0.2">
      <c r="P1163" s="53"/>
      <c r="Q1163" s="53"/>
      <c r="W1163" s="40"/>
    </row>
    <row r="1164" spans="16:23" x14ac:dyDescent="0.2">
      <c r="P1164" s="53"/>
      <c r="Q1164" s="53"/>
      <c r="W1164" s="40"/>
    </row>
    <row r="1165" spans="16:23" x14ac:dyDescent="0.2">
      <c r="P1165" s="53"/>
      <c r="Q1165" s="53"/>
      <c r="W1165" s="40"/>
    </row>
    <row r="1166" spans="16:23" x14ac:dyDescent="0.2">
      <c r="P1166" s="53"/>
      <c r="Q1166" s="53"/>
      <c r="W1166" s="40"/>
    </row>
    <row r="1167" spans="16:23" x14ac:dyDescent="0.2">
      <c r="P1167" s="53"/>
      <c r="Q1167" s="53"/>
      <c r="W1167" s="40"/>
    </row>
    <row r="1168" spans="16:23" x14ac:dyDescent="0.2">
      <c r="P1168" s="53"/>
      <c r="Q1168" s="53"/>
      <c r="W1168" s="40"/>
    </row>
    <row r="1169" spans="16:23" x14ac:dyDescent="0.2">
      <c r="P1169" s="53"/>
      <c r="Q1169" s="53"/>
      <c r="W1169" s="40"/>
    </row>
    <row r="1170" spans="16:23" x14ac:dyDescent="0.2">
      <c r="P1170" s="53"/>
      <c r="Q1170" s="53"/>
      <c r="W1170" s="40"/>
    </row>
    <row r="1171" spans="16:23" x14ac:dyDescent="0.2">
      <c r="P1171" s="53"/>
      <c r="Q1171" s="53"/>
      <c r="W1171" s="40"/>
    </row>
    <row r="1172" spans="16:23" x14ac:dyDescent="0.2">
      <c r="P1172" s="53"/>
      <c r="Q1172" s="53"/>
      <c r="W1172" s="40"/>
    </row>
    <row r="1173" spans="16:23" x14ac:dyDescent="0.2">
      <c r="P1173" s="53"/>
      <c r="Q1173" s="53"/>
      <c r="W1173" s="40"/>
    </row>
    <row r="1174" spans="16:23" x14ac:dyDescent="0.2">
      <c r="P1174" s="53"/>
      <c r="Q1174" s="53"/>
      <c r="W1174" s="40"/>
    </row>
    <row r="1175" spans="16:23" x14ac:dyDescent="0.2">
      <c r="P1175" s="53"/>
      <c r="Q1175" s="53"/>
      <c r="W1175" s="40"/>
    </row>
    <row r="1176" spans="16:23" x14ac:dyDescent="0.2">
      <c r="P1176" s="53"/>
      <c r="Q1176" s="53"/>
      <c r="W1176" s="40"/>
    </row>
    <row r="1177" spans="16:23" x14ac:dyDescent="0.2">
      <c r="P1177" s="53"/>
      <c r="Q1177" s="53"/>
      <c r="W1177" s="40"/>
    </row>
    <row r="1178" spans="16:23" x14ac:dyDescent="0.2">
      <c r="P1178" s="53"/>
      <c r="Q1178" s="53"/>
      <c r="W1178" s="40"/>
    </row>
    <row r="1179" spans="16:23" x14ac:dyDescent="0.2">
      <c r="P1179" s="53"/>
      <c r="Q1179" s="53"/>
      <c r="W1179" s="40"/>
    </row>
    <row r="1180" spans="16:23" x14ac:dyDescent="0.2">
      <c r="P1180" s="53"/>
      <c r="Q1180" s="53"/>
      <c r="W1180" s="40"/>
    </row>
    <row r="1181" spans="16:23" x14ac:dyDescent="0.2">
      <c r="P1181" s="53"/>
      <c r="Q1181" s="53"/>
      <c r="W1181" s="40"/>
    </row>
    <row r="1182" spans="16:23" x14ac:dyDescent="0.2">
      <c r="P1182" s="53"/>
      <c r="Q1182" s="53"/>
      <c r="W1182" s="40"/>
    </row>
    <row r="1183" spans="16:23" x14ac:dyDescent="0.2">
      <c r="P1183" s="53"/>
      <c r="Q1183" s="53"/>
      <c r="W1183" s="40"/>
    </row>
    <row r="1184" spans="16:23" x14ac:dyDescent="0.2">
      <c r="P1184" s="53"/>
      <c r="Q1184" s="53"/>
      <c r="W1184" s="40"/>
    </row>
    <row r="1185" spans="16:23" x14ac:dyDescent="0.2">
      <c r="P1185" s="53"/>
      <c r="Q1185" s="53"/>
      <c r="W1185" s="40"/>
    </row>
    <row r="1186" spans="16:23" x14ac:dyDescent="0.2">
      <c r="P1186" s="53"/>
      <c r="Q1186" s="53"/>
      <c r="W1186" s="40"/>
    </row>
    <row r="1187" spans="16:23" x14ac:dyDescent="0.2">
      <c r="P1187" s="53"/>
      <c r="Q1187" s="53"/>
      <c r="W1187" s="40"/>
    </row>
    <row r="1188" spans="16:23" x14ac:dyDescent="0.2">
      <c r="P1188" s="53"/>
      <c r="Q1188" s="53"/>
      <c r="W1188" s="40"/>
    </row>
    <row r="1189" spans="16:23" x14ac:dyDescent="0.2">
      <c r="P1189" s="53"/>
      <c r="Q1189" s="53"/>
      <c r="W1189" s="40"/>
    </row>
    <row r="1190" spans="16:23" x14ac:dyDescent="0.2">
      <c r="P1190" s="53"/>
      <c r="Q1190" s="53"/>
      <c r="W1190" s="40"/>
    </row>
    <row r="1191" spans="16:23" x14ac:dyDescent="0.2">
      <c r="P1191" s="53"/>
      <c r="Q1191" s="53"/>
      <c r="W1191" s="40"/>
    </row>
    <row r="1192" spans="16:23" x14ac:dyDescent="0.2">
      <c r="P1192" s="53"/>
      <c r="Q1192" s="53"/>
      <c r="W1192" s="40"/>
    </row>
    <row r="1193" spans="16:23" x14ac:dyDescent="0.2">
      <c r="P1193" s="53"/>
      <c r="Q1193" s="53"/>
      <c r="W1193" s="40"/>
    </row>
    <row r="1194" spans="16:23" x14ac:dyDescent="0.2">
      <c r="P1194" s="53"/>
      <c r="Q1194" s="53"/>
      <c r="W1194" s="40"/>
    </row>
    <row r="1195" spans="16:23" x14ac:dyDescent="0.2">
      <c r="P1195" s="53"/>
      <c r="Q1195" s="53"/>
      <c r="W1195" s="40"/>
    </row>
    <row r="1196" spans="16:23" x14ac:dyDescent="0.2">
      <c r="P1196" s="53"/>
      <c r="Q1196" s="53"/>
      <c r="W1196" s="40"/>
    </row>
    <row r="1197" spans="16:23" x14ac:dyDescent="0.2">
      <c r="P1197" s="53"/>
      <c r="Q1197" s="53"/>
      <c r="W1197" s="40"/>
    </row>
    <row r="1198" spans="16:23" x14ac:dyDescent="0.2">
      <c r="P1198" s="53"/>
      <c r="Q1198" s="53"/>
      <c r="W1198" s="40"/>
    </row>
    <row r="1199" spans="16:23" x14ac:dyDescent="0.2">
      <c r="P1199" s="53"/>
      <c r="Q1199" s="53"/>
      <c r="W1199" s="40"/>
    </row>
    <row r="1200" spans="16:23" x14ac:dyDescent="0.2">
      <c r="P1200" s="53"/>
      <c r="Q1200" s="53"/>
      <c r="W1200" s="40"/>
    </row>
    <row r="1201" spans="16:23" x14ac:dyDescent="0.2">
      <c r="P1201" s="53"/>
      <c r="Q1201" s="53"/>
      <c r="W1201" s="40"/>
    </row>
    <row r="1202" spans="16:23" x14ac:dyDescent="0.2">
      <c r="P1202" s="53"/>
      <c r="Q1202" s="53"/>
      <c r="W1202" s="40"/>
    </row>
    <row r="1203" spans="16:23" x14ac:dyDescent="0.2">
      <c r="P1203" s="53"/>
      <c r="Q1203" s="53"/>
      <c r="W1203" s="40"/>
    </row>
    <row r="1204" spans="16:23" x14ac:dyDescent="0.2">
      <c r="P1204" s="53"/>
      <c r="Q1204" s="53"/>
      <c r="W1204" s="40"/>
    </row>
    <row r="1205" spans="16:23" x14ac:dyDescent="0.2">
      <c r="P1205" s="53"/>
      <c r="Q1205" s="53"/>
      <c r="W1205" s="40"/>
    </row>
    <row r="1206" spans="16:23" x14ac:dyDescent="0.2">
      <c r="P1206" s="53"/>
      <c r="Q1206" s="53"/>
      <c r="W1206" s="40"/>
    </row>
    <row r="1207" spans="16:23" x14ac:dyDescent="0.2">
      <c r="P1207" s="53"/>
      <c r="Q1207" s="53"/>
      <c r="W1207" s="40"/>
    </row>
    <row r="1208" spans="16:23" x14ac:dyDescent="0.2">
      <c r="P1208" s="53"/>
      <c r="Q1208" s="53"/>
      <c r="W1208" s="40"/>
    </row>
    <row r="1209" spans="16:23" x14ac:dyDescent="0.2">
      <c r="P1209" s="53"/>
      <c r="Q1209" s="53"/>
      <c r="W1209" s="40"/>
    </row>
    <row r="1210" spans="16:23" x14ac:dyDescent="0.2">
      <c r="P1210" s="53"/>
      <c r="Q1210" s="53"/>
      <c r="W1210" s="40"/>
    </row>
    <row r="1211" spans="16:23" x14ac:dyDescent="0.2">
      <c r="P1211" s="53"/>
      <c r="Q1211" s="53"/>
      <c r="W1211" s="40"/>
    </row>
    <row r="1212" spans="16:23" x14ac:dyDescent="0.2">
      <c r="P1212" s="53"/>
      <c r="Q1212" s="53"/>
      <c r="W1212" s="40"/>
    </row>
    <row r="1213" spans="16:23" x14ac:dyDescent="0.2">
      <c r="P1213" s="53"/>
      <c r="Q1213" s="53"/>
      <c r="W1213" s="40"/>
    </row>
    <row r="1214" spans="16:23" x14ac:dyDescent="0.2">
      <c r="P1214" s="53"/>
      <c r="Q1214" s="53"/>
      <c r="W1214" s="40"/>
    </row>
    <row r="1215" spans="16:23" x14ac:dyDescent="0.2">
      <c r="P1215" s="53"/>
      <c r="Q1215" s="53"/>
      <c r="W1215" s="40"/>
    </row>
    <row r="1216" spans="16:23" x14ac:dyDescent="0.2">
      <c r="P1216" s="53"/>
      <c r="Q1216" s="53"/>
      <c r="W1216" s="40"/>
    </row>
    <row r="1217" spans="16:23" x14ac:dyDescent="0.2">
      <c r="P1217" s="53"/>
      <c r="Q1217" s="53"/>
      <c r="W1217" s="40"/>
    </row>
    <row r="1218" spans="16:23" x14ac:dyDescent="0.2">
      <c r="P1218" s="53"/>
      <c r="Q1218" s="53"/>
      <c r="W1218" s="40"/>
    </row>
    <row r="1219" spans="16:23" x14ac:dyDescent="0.2">
      <c r="P1219" s="53"/>
      <c r="Q1219" s="53"/>
      <c r="W1219" s="40"/>
    </row>
    <row r="1220" spans="16:23" x14ac:dyDescent="0.2">
      <c r="P1220" s="53"/>
      <c r="Q1220" s="53"/>
      <c r="W1220" s="40"/>
    </row>
    <row r="1221" spans="16:23" x14ac:dyDescent="0.2">
      <c r="P1221" s="53"/>
      <c r="Q1221" s="53"/>
      <c r="W1221" s="40"/>
    </row>
    <row r="1222" spans="16:23" x14ac:dyDescent="0.2">
      <c r="P1222" s="53"/>
      <c r="Q1222" s="53"/>
      <c r="W1222" s="40"/>
    </row>
    <row r="1223" spans="16:23" x14ac:dyDescent="0.2">
      <c r="P1223" s="53"/>
      <c r="Q1223" s="53"/>
      <c r="W1223" s="40"/>
    </row>
    <row r="1224" spans="16:23" x14ac:dyDescent="0.2">
      <c r="P1224" s="53"/>
      <c r="Q1224" s="53"/>
      <c r="W1224" s="40"/>
    </row>
    <row r="1225" spans="16:23" x14ac:dyDescent="0.2">
      <c r="P1225" s="53"/>
      <c r="Q1225" s="53"/>
      <c r="W1225" s="40"/>
    </row>
    <row r="1226" spans="16:23" x14ac:dyDescent="0.2">
      <c r="P1226" s="53"/>
      <c r="Q1226" s="53"/>
      <c r="W1226" s="40"/>
    </row>
    <row r="1227" spans="16:23" x14ac:dyDescent="0.2">
      <c r="P1227" s="53"/>
      <c r="Q1227" s="53"/>
      <c r="W1227" s="40"/>
    </row>
    <row r="1228" spans="16:23" x14ac:dyDescent="0.2">
      <c r="P1228" s="53"/>
      <c r="Q1228" s="53"/>
      <c r="W1228" s="40"/>
    </row>
    <row r="1229" spans="16:23" x14ac:dyDescent="0.2">
      <c r="P1229" s="53"/>
      <c r="Q1229" s="53"/>
      <c r="W1229" s="40"/>
    </row>
    <row r="1230" spans="16:23" x14ac:dyDescent="0.2">
      <c r="P1230" s="53"/>
      <c r="Q1230" s="53"/>
      <c r="W1230" s="40"/>
    </row>
    <row r="1231" spans="16:23" x14ac:dyDescent="0.2">
      <c r="P1231" s="53"/>
      <c r="Q1231" s="53"/>
      <c r="W1231" s="40"/>
    </row>
    <row r="1232" spans="16:23" x14ac:dyDescent="0.2">
      <c r="P1232" s="53"/>
      <c r="Q1232" s="53"/>
      <c r="W1232" s="40"/>
    </row>
    <row r="1233" spans="16:23" x14ac:dyDescent="0.2">
      <c r="P1233" s="53"/>
      <c r="Q1233" s="53"/>
      <c r="W1233" s="40"/>
    </row>
    <row r="1234" spans="16:23" x14ac:dyDescent="0.2">
      <c r="P1234" s="53"/>
      <c r="Q1234" s="53"/>
      <c r="W1234" s="40"/>
    </row>
    <row r="1235" spans="16:23" x14ac:dyDescent="0.2">
      <c r="P1235" s="53"/>
      <c r="Q1235" s="53"/>
      <c r="W1235" s="40"/>
    </row>
    <row r="1236" spans="16:23" x14ac:dyDescent="0.2">
      <c r="P1236" s="53"/>
      <c r="Q1236" s="53"/>
      <c r="W1236" s="40"/>
    </row>
    <row r="1237" spans="16:23" x14ac:dyDescent="0.2">
      <c r="P1237" s="53"/>
      <c r="Q1237" s="53"/>
      <c r="W1237" s="40"/>
    </row>
    <row r="1238" spans="16:23" x14ac:dyDescent="0.2">
      <c r="P1238" s="53"/>
      <c r="Q1238" s="53"/>
      <c r="W1238" s="40"/>
    </row>
    <row r="1239" spans="16:23" x14ac:dyDescent="0.2">
      <c r="P1239" s="53"/>
      <c r="Q1239" s="53"/>
      <c r="W1239" s="40"/>
    </row>
    <row r="1240" spans="16:23" x14ac:dyDescent="0.2">
      <c r="P1240" s="53"/>
      <c r="Q1240" s="53"/>
      <c r="W1240" s="40"/>
    </row>
    <row r="1241" spans="16:23" x14ac:dyDescent="0.2">
      <c r="P1241" s="53"/>
      <c r="Q1241" s="53"/>
      <c r="W1241" s="40"/>
    </row>
    <row r="1242" spans="16:23" x14ac:dyDescent="0.2">
      <c r="P1242" s="53"/>
      <c r="Q1242" s="53"/>
      <c r="W1242" s="40"/>
    </row>
    <row r="1243" spans="16:23" x14ac:dyDescent="0.2">
      <c r="P1243" s="53"/>
      <c r="Q1243" s="53"/>
      <c r="W1243" s="40"/>
    </row>
    <row r="1244" spans="16:23" x14ac:dyDescent="0.2">
      <c r="P1244" s="53"/>
      <c r="Q1244" s="53"/>
      <c r="W1244" s="40"/>
    </row>
    <row r="1245" spans="16:23" x14ac:dyDescent="0.2">
      <c r="P1245" s="53"/>
      <c r="Q1245" s="53"/>
      <c r="W1245" s="40"/>
    </row>
    <row r="1246" spans="16:23" x14ac:dyDescent="0.2">
      <c r="P1246" s="53"/>
      <c r="Q1246" s="53"/>
      <c r="W1246" s="40"/>
    </row>
    <row r="1247" spans="16:23" x14ac:dyDescent="0.2">
      <c r="P1247" s="53"/>
      <c r="Q1247" s="53"/>
      <c r="W1247" s="40"/>
    </row>
    <row r="1248" spans="16:23" x14ac:dyDescent="0.2">
      <c r="P1248" s="53"/>
      <c r="Q1248" s="53"/>
      <c r="W1248" s="40"/>
    </row>
    <row r="1249" spans="16:23" x14ac:dyDescent="0.2">
      <c r="P1249" s="53"/>
      <c r="Q1249" s="53"/>
      <c r="W1249" s="40"/>
    </row>
    <row r="1250" spans="16:23" x14ac:dyDescent="0.2">
      <c r="P1250" s="53"/>
      <c r="Q1250" s="53"/>
      <c r="W1250" s="40"/>
    </row>
    <row r="1251" spans="16:23" x14ac:dyDescent="0.2">
      <c r="P1251" s="53"/>
      <c r="Q1251" s="53"/>
      <c r="W1251" s="40"/>
    </row>
    <row r="1252" spans="16:23" x14ac:dyDescent="0.2">
      <c r="P1252" s="53"/>
      <c r="Q1252" s="53"/>
      <c r="W1252" s="40"/>
    </row>
    <row r="1253" spans="16:23" x14ac:dyDescent="0.2">
      <c r="P1253" s="53"/>
      <c r="Q1253" s="53"/>
      <c r="W1253" s="40"/>
    </row>
    <row r="1254" spans="16:23" x14ac:dyDescent="0.2">
      <c r="P1254" s="53"/>
      <c r="Q1254" s="53"/>
      <c r="W1254" s="40"/>
    </row>
    <row r="1255" spans="16:23" x14ac:dyDescent="0.2">
      <c r="P1255" s="53"/>
      <c r="Q1255" s="53"/>
      <c r="W1255" s="40"/>
    </row>
    <row r="1256" spans="16:23" x14ac:dyDescent="0.2">
      <c r="P1256" s="53"/>
      <c r="Q1256" s="53"/>
      <c r="W1256" s="40"/>
    </row>
    <row r="1257" spans="16:23" x14ac:dyDescent="0.2">
      <c r="P1257" s="53"/>
      <c r="Q1257" s="53"/>
      <c r="W1257" s="40"/>
    </row>
    <row r="1258" spans="16:23" x14ac:dyDescent="0.2">
      <c r="P1258" s="53"/>
      <c r="Q1258" s="53"/>
      <c r="W1258" s="40"/>
    </row>
    <row r="1259" spans="16:23" x14ac:dyDescent="0.2">
      <c r="P1259" s="53"/>
      <c r="Q1259" s="53"/>
      <c r="W1259" s="40"/>
    </row>
    <row r="1260" spans="16:23" x14ac:dyDescent="0.2">
      <c r="P1260" s="53"/>
      <c r="Q1260" s="53"/>
      <c r="W1260" s="40"/>
    </row>
    <row r="1261" spans="16:23" x14ac:dyDescent="0.2">
      <c r="P1261" s="53"/>
      <c r="Q1261" s="53"/>
      <c r="W1261" s="40"/>
    </row>
    <row r="1262" spans="16:23" x14ac:dyDescent="0.2">
      <c r="P1262" s="53"/>
      <c r="Q1262" s="53"/>
      <c r="W1262" s="40"/>
    </row>
    <row r="1263" spans="16:23" x14ac:dyDescent="0.2">
      <c r="P1263" s="53"/>
      <c r="Q1263" s="53"/>
      <c r="W1263" s="40"/>
    </row>
    <row r="1264" spans="16:23" x14ac:dyDescent="0.2">
      <c r="P1264" s="53"/>
      <c r="Q1264" s="53"/>
      <c r="W1264" s="40"/>
    </row>
    <row r="1265" spans="16:23" x14ac:dyDescent="0.2">
      <c r="P1265" s="53"/>
      <c r="Q1265" s="53"/>
      <c r="W1265" s="40"/>
    </row>
    <row r="1266" spans="16:23" x14ac:dyDescent="0.2">
      <c r="P1266" s="53"/>
      <c r="Q1266" s="53"/>
      <c r="W1266" s="40"/>
    </row>
    <row r="1267" spans="16:23" x14ac:dyDescent="0.2">
      <c r="P1267" s="53"/>
      <c r="Q1267" s="53"/>
      <c r="W1267" s="40"/>
    </row>
    <row r="1268" spans="16:23" x14ac:dyDescent="0.2">
      <c r="P1268" s="53"/>
      <c r="Q1268" s="53"/>
      <c r="W1268" s="40"/>
    </row>
    <row r="1269" spans="16:23" x14ac:dyDescent="0.2">
      <c r="P1269" s="53"/>
      <c r="Q1269" s="53"/>
      <c r="W1269" s="40"/>
    </row>
    <row r="1270" spans="16:23" x14ac:dyDescent="0.2">
      <c r="P1270" s="53"/>
      <c r="Q1270" s="53"/>
      <c r="W1270" s="40"/>
    </row>
    <row r="1271" spans="16:23" x14ac:dyDescent="0.2">
      <c r="P1271" s="53"/>
      <c r="Q1271" s="53"/>
      <c r="W1271" s="40"/>
    </row>
    <row r="1272" spans="16:23" x14ac:dyDescent="0.2">
      <c r="P1272" s="53"/>
      <c r="Q1272" s="53"/>
      <c r="W1272" s="40"/>
    </row>
    <row r="1273" spans="16:23" x14ac:dyDescent="0.2">
      <c r="P1273" s="53"/>
      <c r="Q1273" s="53"/>
      <c r="W1273" s="40"/>
    </row>
    <row r="1274" spans="16:23" x14ac:dyDescent="0.2">
      <c r="P1274" s="53"/>
      <c r="Q1274" s="53"/>
      <c r="W1274" s="40"/>
    </row>
    <row r="1275" spans="16:23" x14ac:dyDescent="0.2">
      <c r="P1275" s="53"/>
      <c r="Q1275" s="53"/>
      <c r="W1275" s="40"/>
    </row>
    <row r="1276" spans="16:23" x14ac:dyDescent="0.2">
      <c r="P1276" s="53"/>
      <c r="Q1276" s="53"/>
      <c r="W1276" s="40"/>
    </row>
    <row r="1277" spans="16:23" x14ac:dyDescent="0.2">
      <c r="P1277" s="53"/>
      <c r="Q1277" s="53"/>
      <c r="W1277" s="40"/>
    </row>
    <row r="1278" spans="16:23" x14ac:dyDescent="0.2">
      <c r="P1278" s="53"/>
      <c r="Q1278" s="53"/>
    </row>
    <row r="1279" spans="16:23" x14ac:dyDescent="0.2">
      <c r="P1279" s="53"/>
      <c r="Q1279" s="53"/>
    </row>
    <row r="1280" spans="16:23" x14ac:dyDescent="0.2">
      <c r="P1280" s="53"/>
      <c r="Q1280" s="53"/>
    </row>
    <row r="1281" spans="16:17" x14ac:dyDescent="0.2">
      <c r="P1281" s="53"/>
      <c r="Q1281" s="53"/>
    </row>
    <row r="1282" spans="16:17" x14ac:dyDescent="0.2">
      <c r="P1282" s="53"/>
      <c r="Q1282" s="53"/>
    </row>
    <row r="1283" spans="16:17" x14ac:dyDescent="0.2">
      <c r="P1283" s="53"/>
      <c r="Q1283" s="53"/>
    </row>
    <row r="1284" spans="16:17" x14ac:dyDescent="0.2">
      <c r="P1284" s="53"/>
      <c r="Q1284" s="53"/>
    </row>
    <row r="1285" spans="16:17" x14ac:dyDescent="0.2">
      <c r="P1285" s="53"/>
      <c r="Q1285" s="53"/>
    </row>
    <row r="1286" spans="16:17" x14ac:dyDescent="0.2">
      <c r="P1286" s="53"/>
      <c r="Q1286" s="53"/>
    </row>
    <row r="1287" spans="16:17" x14ac:dyDescent="0.2">
      <c r="P1287" s="53"/>
      <c r="Q1287" s="53"/>
    </row>
    <row r="1288" spans="16:17" x14ac:dyDescent="0.2">
      <c r="P1288" s="53"/>
      <c r="Q1288" s="53"/>
    </row>
    <row r="1289" spans="16:17" x14ac:dyDescent="0.2">
      <c r="P1289" s="53"/>
      <c r="Q1289" s="53"/>
    </row>
    <row r="1290" spans="16:17" x14ac:dyDescent="0.2">
      <c r="P1290" s="53"/>
      <c r="Q1290" s="53"/>
    </row>
    <row r="1291" spans="16:17" x14ac:dyDescent="0.2">
      <c r="P1291" s="53"/>
      <c r="Q1291" s="53"/>
    </row>
    <row r="1292" spans="16:17" x14ac:dyDescent="0.2">
      <c r="P1292" s="53"/>
      <c r="Q1292" s="53"/>
    </row>
    <row r="1293" spans="16:17" x14ac:dyDescent="0.2">
      <c r="P1293" s="53"/>
      <c r="Q1293" s="53"/>
    </row>
    <row r="1294" spans="16:17" x14ac:dyDescent="0.2">
      <c r="P1294" s="53"/>
      <c r="Q1294" s="53"/>
    </row>
    <row r="1295" spans="16:17" x14ac:dyDescent="0.2">
      <c r="P1295" s="53"/>
      <c r="Q1295" s="53"/>
    </row>
    <row r="1296" spans="16:17" x14ac:dyDescent="0.2">
      <c r="P1296" s="53"/>
      <c r="Q1296" s="53"/>
    </row>
    <row r="1297" spans="16:17" x14ac:dyDescent="0.2">
      <c r="P1297" s="53"/>
      <c r="Q1297" s="53"/>
    </row>
    <row r="1298" spans="16:17" x14ac:dyDescent="0.2">
      <c r="P1298" s="53"/>
      <c r="Q1298" s="53"/>
    </row>
    <row r="1299" spans="16:17" x14ac:dyDescent="0.2">
      <c r="P1299" s="53"/>
      <c r="Q1299" s="53"/>
    </row>
    <row r="1300" spans="16:17" x14ac:dyDescent="0.2">
      <c r="P1300" s="53"/>
      <c r="Q1300" s="53"/>
    </row>
    <row r="1301" spans="16:17" x14ac:dyDescent="0.2">
      <c r="P1301" s="53"/>
      <c r="Q1301" s="53"/>
    </row>
    <row r="1302" spans="16:17" x14ac:dyDescent="0.2">
      <c r="P1302" s="53"/>
      <c r="Q1302" s="53"/>
    </row>
    <row r="1303" spans="16:17" x14ac:dyDescent="0.2">
      <c r="P1303" s="53"/>
      <c r="Q1303" s="53"/>
    </row>
    <row r="1304" spans="16:17" x14ac:dyDescent="0.2">
      <c r="P1304" s="53"/>
      <c r="Q1304" s="53"/>
    </row>
    <row r="1305" spans="16:17" x14ac:dyDescent="0.2">
      <c r="P1305" s="53"/>
      <c r="Q1305" s="53"/>
    </row>
    <row r="1306" spans="16:17" x14ac:dyDescent="0.2">
      <c r="P1306" s="53"/>
      <c r="Q1306" s="53"/>
    </row>
    <row r="1307" spans="16:17" x14ac:dyDescent="0.2">
      <c r="P1307" s="53"/>
      <c r="Q1307" s="53"/>
    </row>
    <row r="1308" spans="16:17" x14ac:dyDescent="0.2">
      <c r="P1308" s="53"/>
      <c r="Q1308" s="53"/>
    </row>
    <row r="1309" spans="16:17" x14ac:dyDescent="0.2">
      <c r="P1309" s="53"/>
      <c r="Q1309" s="53"/>
    </row>
    <row r="1310" spans="16:17" x14ac:dyDescent="0.2">
      <c r="P1310" s="53"/>
      <c r="Q1310" s="53"/>
    </row>
    <row r="1311" spans="16:17" x14ac:dyDescent="0.2">
      <c r="P1311" s="53"/>
      <c r="Q1311" s="53"/>
    </row>
    <row r="1312" spans="16:17" x14ac:dyDescent="0.2">
      <c r="P1312" s="53"/>
      <c r="Q1312" s="53"/>
    </row>
    <row r="1313" spans="16:17" x14ac:dyDescent="0.2">
      <c r="P1313" s="53"/>
      <c r="Q1313" s="53"/>
    </row>
    <row r="1314" spans="16:17" x14ac:dyDescent="0.2">
      <c r="P1314" s="53"/>
      <c r="Q1314" s="53"/>
    </row>
    <row r="1315" spans="16:17" x14ac:dyDescent="0.2">
      <c r="P1315" s="53"/>
      <c r="Q1315" s="53"/>
    </row>
    <row r="1316" spans="16:17" x14ac:dyDescent="0.2">
      <c r="P1316" s="53"/>
      <c r="Q1316" s="53"/>
    </row>
    <row r="1317" spans="16:17" x14ac:dyDescent="0.2">
      <c r="P1317" s="53"/>
      <c r="Q1317" s="53"/>
    </row>
    <row r="1318" spans="16:17" x14ac:dyDescent="0.2">
      <c r="P1318" s="53"/>
      <c r="Q1318" s="53"/>
    </row>
    <row r="1319" spans="16:17" x14ac:dyDescent="0.2">
      <c r="P1319" s="53"/>
      <c r="Q1319" s="53"/>
    </row>
    <row r="1320" spans="16:17" x14ac:dyDescent="0.2">
      <c r="P1320" s="53"/>
      <c r="Q1320" s="53"/>
    </row>
    <row r="1321" spans="16:17" x14ac:dyDescent="0.2">
      <c r="P1321" s="53"/>
      <c r="Q1321" s="53"/>
    </row>
    <row r="1322" spans="16:17" x14ac:dyDescent="0.2">
      <c r="P1322" s="53"/>
      <c r="Q1322" s="53"/>
    </row>
    <row r="1323" spans="16:17" x14ac:dyDescent="0.2">
      <c r="P1323" s="53"/>
      <c r="Q1323" s="53"/>
    </row>
    <row r="1324" spans="16:17" x14ac:dyDescent="0.2">
      <c r="P1324" s="53"/>
      <c r="Q1324" s="53"/>
    </row>
    <row r="1325" spans="16:17" x14ac:dyDescent="0.2">
      <c r="P1325" s="53"/>
      <c r="Q1325" s="53"/>
    </row>
    <row r="1326" spans="16:17" x14ac:dyDescent="0.2">
      <c r="P1326" s="53"/>
      <c r="Q1326" s="53"/>
    </row>
    <row r="1327" spans="16:17" x14ac:dyDescent="0.2">
      <c r="P1327" s="53"/>
      <c r="Q1327" s="53"/>
    </row>
    <row r="1328" spans="16:17" x14ac:dyDescent="0.2">
      <c r="P1328" s="53"/>
      <c r="Q1328" s="53"/>
    </row>
    <row r="1329" spans="16:17" x14ac:dyDescent="0.2">
      <c r="P1329" s="53"/>
      <c r="Q1329" s="53"/>
    </row>
    <row r="1330" spans="16:17" x14ac:dyDescent="0.2">
      <c r="P1330" s="53"/>
      <c r="Q1330" s="53"/>
    </row>
    <row r="1331" spans="16:17" x14ac:dyDescent="0.2">
      <c r="P1331" s="53"/>
      <c r="Q1331" s="53"/>
    </row>
    <row r="1332" spans="16:17" x14ac:dyDescent="0.2">
      <c r="P1332" s="53"/>
      <c r="Q1332" s="53"/>
    </row>
    <row r="1333" spans="16:17" x14ac:dyDescent="0.2">
      <c r="P1333" s="53"/>
      <c r="Q1333" s="53"/>
    </row>
    <row r="1334" spans="16:17" x14ac:dyDescent="0.2">
      <c r="P1334" s="53"/>
      <c r="Q1334" s="53"/>
    </row>
    <row r="1335" spans="16:17" x14ac:dyDescent="0.2">
      <c r="P1335" s="53"/>
      <c r="Q1335" s="53"/>
    </row>
    <row r="1336" spans="16:17" x14ac:dyDescent="0.2">
      <c r="P1336" s="53"/>
      <c r="Q1336" s="53"/>
    </row>
    <row r="1337" spans="16:17" x14ac:dyDescent="0.2">
      <c r="P1337" s="53"/>
      <c r="Q1337" s="53"/>
    </row>
    <row r="1338" spans="16:17" x14ac:dyDescent="0.2">
      <c r="P1338" s="53"/>
      <c r="Q1338" s="53"/>
    </row>
    <row r="1339" spans="16:17" x14ac:dyDescent="0.2">
      <c r="P1339" s="53"/>
      <c r="Q1339" s="53"/>
    </row>
    <row r="1340" spans="16:17" x14ac:dyDescent="0.2">
      <c r="P1340" s="53"/>
      <c r="Q1340" s="53"/>
    </row>
    <row r="1341" spans="16:17" x14ac:dyDescent="0.2">
      <c r="P1341" s="53"/>
      <c r="Q1341" s="53"/>
    </row>
    <row r="1342" spans="16:17" x14ac:dyDescent="0.2">
      <c r="P1342" s="53"/>
      <c r="Q1342" s="53"/>
    </row>
    <row r="1343" spans="16:17" x14ac:dyDescent="0.2">
      <c r="P1343" s="53"/>
      <c r="Q1343" s="53"/>
    </row>
    <row r="1344" spans="16:17" x14ac:dyDescent="0.2">
      <c r="P1344" s="53"/>
      <c r="Q1344" s="53"/>
    </row>
    <row r="1345" spans="16:17" x14ac:dyDescent="0.2">
      <c r="P1345" s="53"/>
      <c r="Q1345" s="53"/>
    </row>
    <row r="1346" spans="16:17" x14ac:dyDescent="0.2">
      <c r="P1346" s="53"/>
      <c r="Q1346" s="53"/>
    </row>
    <row r="1347" spans="16:17" x14ac:dyDescent="0.2">
      <c r="P1347" s="53"/>
      <c r="Q1347" s="53"/>
    </row>
    <row r="1348" spans="16:17" x14ac:dyDescent="0.2">
      <c r="P1348" s="53"/>
      <c r="Q1348" s="53"/>
    </row>
    <row r="1349" spans="16:17" x14ac:dyDescent="0.2">
      <c r="P1349" s="53"/>
      <c r="Q1349" s="53"/>
    </row>
    <row r="1350" spans="16:17" x14ac:dyDescent="0.2">
      <c r="P1350" s="53"/>
      <c r="Q1350" s="53"/>
    </row>
    <row r="1351" spans="16:17" x14ac:dyDescent="0.2">
      <c r="P1351" s="53"/>
      <c r="Q1351" s="53"/>
    </row>
    <row r="1352" spans="16:17" x14ac:dyDescent="0.2">
      <c r="P1352" s="53"/>
      <c r="Q1352" s="53"/>
    </row>
    <row r="1353" spans="16:17" x14ac:dyDescent="0.2">
      <c r="P1353" s="53"/>
      <c r="Q1353" s="53"/>
    </row>
    <row r="1354" spans="16:17" x14ac:dyDescent="0.2">
      <c r="P1354" s="53"/>
      <c r="Q1354" s="53"/>
    </row>
    <row r="1355" spans="16:17" x14ac:dyDescent="0.2">
      <c r="P1355" s="53"/>
      <c r="Q1355" s="53"/>
    </row>
    <row r="1356" spans="16:17" x14ac:dyDescent="0.2">
      <c r="P1356" s="53"/>
      <c r="Q1356" s="53"/>
    </row>
    <row r="1357" spans="16:17" x14ac:dyDescent="0.2">
      <c r="P1357" s="53"/>
      <c r="Q1357" s="53"/>
    </row>
    <row r="1358" spans="16:17" x14ac:dyDescent="0.2">
      <c r="P1358" s="53"/>
      <c r="Q1358" s="53"/>
    </row>
    <row r="1359" spans="16:17" x14ac:dyDescent="0.2">
      <c r="P1359" s="53"/>
      <c r="Q1359" s="53"/>
    </row>
    <row r="1360" spans="16:17" x14ac:dyDescent="0.2">
      <c r="P1360" s="53"/>
      <c r="Q1360" s="53"/>
    </row>
    <row r="1361" spans="16:17" x14ac:dyDescent="0.2">
      <c r="P1361" s="53"/>
      <c r="Q1361" s="53"/>
    </row>
    <row r="1362" spans="16:17" x14ac:dyDescent="0.2">
      <c r="P1362" s="53"/>
      <c r="Q1362" s="53"/>
    </row>
    <row r="1363" spans="16:17" x14ac:dyDescent="0.2">
      <c r="P1363" s="53"/>
      <c r="Q1363" s="53"/>
    </row>
    <row r="1364" spans="16:17" x14ac:dyDescent="0.2">
      <c r="P1364" s="53"/>
      <c r="Q1364" s="53"/>
    </row>
    <row r="1365" spans="16:17" x14ac:dyDescent="0.2">
      <c r="P1365" s="53"/>
      <c r="Q1365" s="53"/>
    </row>
    <row r="1366" spans="16:17" x14ac:dyDescent="0.2">
      <c r="P1366" s="53"/>
      <c r="Q1366" s="53"/>
    </row>
    <row r="1367" spans="16:17" x14ac:dyDescent="0.2">
      <c r="P1367" s="53"/>
      <c r="Q1367" s="53"/>
    </row>
    <row r="1368" spans="16:17" x14ac:dyDescent="0.2">
      <c r="P1368" s="53"/>
      <c r="Q1368" s="53"/>
    </row>
    <row r="1369" spans="16:17" x14ac:dyDescent="0.2">
      <c r="P1369" s="53"/>
      <c r="Q1369" s="53"/>
    </row>
    <row r="1370" spans="16:17" x14ac:dyDescent="0.2">
      <c r="P1370" s="53"/>
      <c r="Q1370" s="53"/>
    </row>
    <row r="1371" spans="16:17" x14ac:dyDescent="0.2">
      <c r="P1371" s="53"/>
      <c r="Q1371" s="53"/>
    </row>
    <row r="1372" spans="16:17" x14ac:dyDescent="0.2">
      <c r="P1372" s="53"/>
      <c r="Q1372" s="53"/>
    </row>
    <row r="1373" spans="16:17" x14ac:dyDescent="0.2">
      <c r="P1373" s="53"/>
      <c r="Q1373" s="53"/>
    </row>
    <row r="1374" spans="16:17" x14ac:dyDescent="0.2">
      <c r="P1374" s="53"/>
      <c r="Q1374" s="53"/>
    </row>
    <row r="1375" spans="16:17" x14ac:dyDescent="0.2">
      <c r="P1375" s="53"/>
      <c r="Q1375" s="53"/>
    </row>
    <row r="1376" spans="16:17" x14ac:dyDescent="0.2">
      <c r="P1376" s="53"/>
      <c r="Q1376" s="53"/>
    </row>
    <row r="1377" spans="16:17" x14ac:dyDescent="0.2">
      <c r="P1377" s="53"/>
      <c r="Q1377" s="53"/>
    </row>
    <row r="1378" spans="16:17" x14ac:dyDescent="0.2">
      <c r="P1378" s="53"/>
      <c r="Q1378" s="53"/>
    </row>
    <row r="1379" spans="16:17" x14ac:dyDescent="0.2">
      <c r="P1379" s="53"/>
      <c r="Q1379" s="53"/>
    </row>
    <row r="1380" spans="16:17" x14ac:dyDescent="0.2">
      <c r="P1380" s="53"/>
      <c r="Q1380" s="53"/>
    </row>
    <row r="1381" spans="16:17" x14ac:dyDescent="0.2">
      <c r="P1381" s="53"/>
      <c r="Q1381" s="53"/>
    </row>
    <row r="1382" spans="16:17" x14ac:dyDescent="0.2">
      <c r="P1382" s="53"/>
      <c r="Q1382" s="53"/>
    </row>
    <row r="1383" spans="16:17" x14ac:dyDescent="0.2">
      <c r="P1383" s="53"/>
      <c r="Q1383" s="53"/>
    </row>
    <row r="1384" spans="16:17" x14ac:dyDescent="0.2">
      <c r="P1384" s="53"/>
      <c r="Q1384" s="53"/>
    </row>
    <row r="1385" spans="16:17" x14ac:dyDescent="0.2">
      <c r="P1385" s="53"/>
      <c r="Q1385" s="53"/>
    </row>
    <row r="1386" spans="16:17" x14ac:dyDescent="0.2">
      <c r="P1386" s="53"/>
      <c r="Q1386" s="53"/>
    </row>
    <row r="1387" spans="16:17" x14ac:dyDescent="0.2">
      <c r="P1387" s="53"/>
      <c r="Q1387" s="53"/>
    </row>
    <row r="1388" spans="16:17" x14ac:dyDescent="0.2">
      <c r="P1388" s="53"/>
      <c r="Q1388" s="53"/>
    </row>
    <row r="1389" spans="16:17" x14ac:dyDescent="0.2">
      <c r="P1389" s="53"/>
      <c r="Q1389" s="53"/>
    </row>
    <row r="1390" spans="16:17" x14ac:dyDescent="0.2">
      <c r="P1390" s="53"/>
      <c r="Q1390" s="53"/>
    </row>
    <row r="1391" spans="16:17" x14ac:dyDescent="0.2">
      <c r="P1391" s="53"/>
      <c r="Q1391" s="53"/>
    </row>
    <row r="1392" spans="16:17" x14ac:dyDescent="0.2">
      <c r="P1392" s="53"/>
      <c r="Q1392" s="53"/>
    </row>
    <row r="1393" spans="16:17" x14ac:dyDescent="0.2">
      <c r="P1393" s="53"/>
      <c r="Q1393" s="53"/>
    </row>
    <row r="1394" spans="16:17" x14ac:dyDescent="0.2">
      <c r="P1394" s="53"/>
      <c r="Q1394" s="53"/>
    </row>
    <row r="1395" spans="16:17" x14ac:dyDescent="0.2">
      <c r="P1395" s="53"/>
      <c r="Q1395" s="53"/>
    </row>
    <row r="1396" spans="16:17" x14ac:dyDescent="0.2">
      <c r="P1396" s="53"/>
      <c r="Q1396" s="53"/>
    </row>
    <row r="1397" spans="16:17" x14ac:dyDescent="0.2">
      <c r="P1397" s="53"/>
      <c r="Q1397" s="53"/>
    </row>
    <row r="1398" spans="16:17" x14ac:dyDescent="0.2">
      <c r="P1398" s="53"/>
      <c r="Q1398" s="53"/>
    </row>
    <row r="1399" spans="16:17" x14ac:dyDescent="0.2">
      <c r="P1399" s="53"/>
      <c r="Q1399" s="53"/>
    </row>
    <row r="1400" spans="16:17" x14ac:dyDescent="0.2">
      <c r="P1400" s="53"/>
      <c r="Q1400" s="53"/>
    </row>
    <row r="1401" spans="16:17" x14ac:dyDescent="0.2">
      <c r="P1401" s="53"/>
      <c r="Q1401" s="53"/>
    </row>
    <row r="1402" spans="16:17" x14ac:dyDescent="0.2">
      <c r="P1402" s="53"/>
      <c r="Q1402" s="53"/>
    </row>
    <row r="1403" spans="16:17" x14ac:dyDescent="0.2">
      <c r="P1403" s="53"/>
      <c r="Q1403" s="53"/>
    </row>
    <row r="1404" spans="16:17" x14ac:dyDescent="0.2">
      <c r="P1404" s="53"/>
      <c r="Q1404" s="53"/>
    </row>
    <row r="1405" spans="16:17" x14ac:dyDescent="0.2">
      <c r="P1405" s="53"/>
      <c r="Q1405" s="53"/>
    </row>
    <row r="1406" spans="16:17" x14ac:dyDescent="0.2">
      <c r="P1406" s="53"/>
      <c r="Q1406" s="53"/>
    </row>
    <row r="1407" spans="16:17" x14ac:dyDescent="0.2">
      <c r="P1407" s="53"/>
      <c r="Q1407" s="53"/>
    </row>
    <row r="1408" spans="16:17" x14ac:dyDescent="0.2">
      <c r="P1408" s="53"/>
      <c r="Q1408" s="53"/>
    </row>
    <row r="1409" spans="16:17" x14ac:dyDescent="0.2">
      <c r="P1409" s="53"/>
      <c r="Q1409" s="53"/>
    </row>
    <row r="1410" spans="16:17" x14ac:dyDescent="0.2">
      <c r="P1410" s="53"/>
      <c r="Q1410" s="53"/>
    </row>
    <row r="1411" spans="16:17" x14ac:dyDescent="0.2">
      <c r="P1411" s="53"/>
      <c r="Q1411" s="53"/>
    </row>
    <row r="1412" spans="16:17" x14ac:dyDescent="0.2">
      <c r="P1412" s="53"/>
      <c r="Q1412" s="53"/>
    </row>
    <row r="1413" spans="16:17" x14ac:dyDescent="0.2">
      <c r="P1413" s="53"/>
      <c r="Q1413" s="53"/>
    </row>
    <row r="1414" spans="16:17" x14ac:dyDescent="0.2">
      <c r="P1414" s="53"/>
      <c r="Q1414" s="53"/>
    </row>
    <row r="1415" spans="16:17" x14ac:dyDescent="0.2">
      <c r="P1415" s="53"/>
      <c r="Q1415" s="53"/>
    </row>
    <row r="1416" spans="16:17" x14ac:dyDescent="0.2">
      <c r="P1416" s="53"/>
      <c r="Q1416" s="53"/>
    </row>
    <row r="1417" spans="16:17" x14ac:dyDescent="0.2">
      <c r="P1417" s="53"/>
      <c r="Q1417" s="53"/>
    </row>
    <row r="1418" spans="16:17" x14ac:dyDescent="0.2">
      <c r="P1418" s="53"/>
      <c r="Q1418" s="53"/>
    </row>
    <row r="1419" spans="16:17" x14ac:dyDescent="0.2">
      <c r="P1419" s="53"/>
      <c r="Q1419" s="53"/>
    </row>
    <row r="1420" spans="16:17" x14ac:dyDescent="0.2">
      <c r="P1420" s="53"/>
      <c r="Q1420" s="53"/>
    </row>
    <row r="1421" spans="16:17" x14ac:dyDescent="0.2">
      <c r="P1421" s="53"/>
      <c r="Q1421" s="53"/>
    </row>
    <row r="1422" spans="16:17" x14ac:dyDescent="0.2">
      <c r="P1422" s="53"/>
      <c r="Q1422" s="53"/>
    </row>
    <row r="1423" spans="16:17" x14ac:dyDescent="0.2">
      <c r="P1423" s="53"/>
      <c r="Q1423" s="53"/>
    </row>
    <row r="1424" spans="16:17" x14ac:dyDescent="0.2">
      <c r="P1424" s="53"/>
      <c r="Q1424" s="53"/>
    </row>
    <row r="1425" spans="16:17" x14ac:dyDescent="0.2">
      <c r="P1425" s="53"/>
      <c r="Q1425" s="53"/>
    </row>
    <row r="1426" spans="16:17" x14ac:dyDescent="0.2">
      <c r="P1426" s="53"/>
      <c r="Q1426" s="53"/>
    </row>
    <row r="1427" spans="16:17" x14ac:dyDescent="0.2">
      <c r="P1427" s="53"/>
      <c r="Q1427" s="53"/>
    </row>
    <row r="1428" spans="16:17" x14ac:dyDescent="0.2">
      <c r="P1428" s="53"/>
      <c r="Q1428" s="53"/>
    </row>
    <row r="1429" spans="16:17" x14ac:dyDescent="0.2">
      <c r="P1429" s="53"/>
      <c r="Q1429" s="53"/>
    </row>
    <row r="1430" spans="16:17" x14ac:dyDescent="0.2">
      <c r="P1430" s="53"/>
      <c r="Q1430" s="53"/>
    </row>
    <row r="1431" spans="16:17" x14ac:dyDescent="0.2">
      <c r="P1431" s="53"/>
      <c r="Q1431" s="53"/>
    </row>
    <row r="1432" spans="16:17" x14ac:dyDescent="0.2">
      <c r="P1432" s="53"/>
      <c r="Q1432" s="53"/>
    </row>
    <row r="1433" spans="16:17" x14ac:dyDescent="0.2">
      <c r="P1433" s="53"/>
      <c r="Q1433" s="53"/>
    </row>
    <row r="1434" spans="16:17" x14ac:dyDescent="0.2">
      <c r="P1434" s="53"/>
      <c r="Q1434" s="53"/>
    </row>
    <row r="1435" spans="16:17" x14ac:dyDescent="0.2">
      <c r="P1435" s="53"/>
      <c r="Q1435" s="53"/>
    </row>
    <row r="1436" spans="16:17" x14ac:dyDescent="0.2">
      <c r="P1436" s="53"/>
      <c r="Q1436" s="53"/>
    </row>
    <row r="1437" spans="16:17" x14ac:dyDescent="0.2">
      <c r="P1437" s="53"/>
      <c r="Q1437" s="53"/>
    </row>
    <row r="1438" spans="16:17" x14ac:dyDescent="0.2">
      <c r="P1438" s="53"/>
      <c r="Q1438" s="53"/>
    </row>
    <row r="1439" spans="16:17" x14ac:dyDescent="0.2">
      <c r="P1439" s="53"/>
      <c r="Q1439" s="53"/>
    </row>
    <row r="1440" spans="16:17" x14ac:dyDescent="0.2">
      <c r="P1440" s="53"/>
      <c r="Q1440" s="53"/>
    </row>
    <row r="1441" spans="16:17" x14ac:dyDescent="0.2">
      <c r="P1441" s="53"/>
      <c r="Q1441" s="53"/>
    </row>
    <row r="1442" spans="16:17" x14ac:dyDescent="0.2">
      <c r="P1442" s="53"/>
      <c r="Q1442" s="53"/>
    </row>
    <row r="1443" spans="16:17" x14ac:dyDescent="0.2">
      <c r="P1443" s="53"/>
      <c r="Q1443" s="53"/>
    </row>
    <row r="1444" spans="16:17" x14ac:dyDescent="0.2">
      <c r="P1444" s="53"/>
      <c r="Q1444" s="53"/>
    </row>
    <row r="1445" spans="16:17" x14ac:dyDescent="0.2">
      <c r="P1445" s="53"/>
      <c r="Q1445" s="53"/>
    </row>
    <row r="1446" spans="16:17" x14ac:dyDescent="0.2">
      <c r="P1446" s="53"/>
      <c r="Q1446" s="53"/>
    </row>
    <row r="1447" spans="16:17" x14ac:dyDescent="0.2">
      <c r="P1447" s="53"/>
      <c r="Q1447" s="53"/>
    </row>
    <row r="1448" spans="16:17" x14ac:dyDescent="0.2">
      <c r="P1448" s="53"/>
      <c r="Q1448" s="53"/>
    </row>
    <row r="1449" spans="16:17" x14ac:dyDescent="0.2">
      <c r="P1449" s="53"/>
      <c r="Q1449" s="53"/>
    </row>
    <row r="1450" spans="16:17" x14ac:dyDescent="0.2">
      <c r="P1450" s="53"/>
      <c r="Q1450" s="53"/>
    </row>
    <row r="1451" spans="16:17" x14ac:dyDescent="0.2">
      <c r="P1451" s="53"/>
      <c r="Q1451" s="53"/>
    </row>
    <row r="1452" spans="16:17" x14ac:dyDescent="0.2">
      <c r="P1452" s="53"/>
      <c r="Q1452" s="53"/>
    </row>
    <row r="1453" spans="16:17" x14ac:dyDescent="0.2">
      <c r="P1453" s="53"/>
      <c r="Q1453" s="53"/>
    </row>
    <row r="1454" spans="16:17" x14ac:dyDescent="0.2">
      <c r="P1454" s="53"/>
      <c r="Q1454" s="53"/>
    </row>
    <row r="1455" spans="16:17" x14ac:dyDescent="0.2">
      <c r="P1455" s="53"/>
      <c r="Q1455" s="53"/>
    </row>
    <row r="1456" spans="16:17" x14ac:dyDescent="0.2">
      <c r="P1456" s="53"/>
      <c r="Q1456" s="53"/>
    </row>
    <row r="1457" spans="16:17" x14ac:dyDescent="0.2">
      <c r="P1457" s="53"/>
      <c r="Q1457" s="53"/>
    </row>
    <row r="1458" spans="16:17" x14ac:dyDescent="0.2">
      <c r="P1458" s="53"/>
      <c r="Q1458" s="53"/>
    </row>
    <row r="1459" spans="16:17" x14ac:dyDescent="0.2">
      <c r="P1459" s="53"/>
      <c r="Q1459" s="53"/>
    </row>
    <row r="1460" spans="16:17" x14ac:dyDescent="0.2">
      <c r="P1460" s="53"/>
      <c r="Q1460" s="53"/>
    </row>
    <row r="1461" spans="16:17" x14ac:dyDescent="0.2">
      <c r="P1461" s="53"/>
      <c r="Q1461" s="53"/>
    </row>
    <row r="1462" spans="16:17" x14ac:dyDescent="0.2">
      <c r="P1462" s="53"/>
      <c r="Q1462" s="53"/>
    </row>
    <row r="1463" spans="16:17" x14ac:dyDescent="0.2">
      <c r="P1463" s="53"/>
      <c r="Q1463" s="53"/>
    </row>
    <row r="1464" spans="16:17" x14ac:dyDescent="0.2">
      <c r="P1464" s="53"/>
      <c r="Q1464" s="53"/>
    </row>
    <row r="1465" spans="16:17" x14ac:dyDescent="0.2">
      <c r="P1465" s="53"/>
      <c r="Q1465" s="53"/>
    </row>
    <row r="1466" spans="16:17" x14ac:dyDescent="0.2">
      <c r="P1466" s="53"/>
      <c r="Q1466" s="53"/>
    </row>
    <row r="1467" spans="16:17" x14ac:dyDescent="0.2">
      <c r="P1467" s="53"/>
      <c r="Q1467" s="53"/>
    </row>
    <row r="1468" spans="16:17" x14ac:dyDescent="0.2">
      <c r="P1468" s="53"/>
      <c r="Q1468" s="53"/>
    </row>
    <row r="1469" spans="16:17" x14ac:dyDescent="0.2">
      <c r="P1469" s="53"/>
      <c r="Q1469" s="53"/>
    </row>
    <row r="1470" spans="16:17" x14ac:dyDescent="0.2">
      <c r="P1470" s="53"/>
      <c r="Q1470" s="53"/>
    </row>
    <row r="1471" spans="16:17" x14ac:dyDescent="0.2">
      <c r="P1471" s="53"/>
      <c r="Q1471" s="53"/>
    </row>
    <row r="1472" spans="16:17" x14ac:dyDescent="0.2">
      <c r="P1472" s="53"/>
      <c r="Q1472" s="53"/>
    </row>
    <row r="1473" spans="16:17" x14ac:dyDescent="0.2">
      <c r="P1473" s="53"/>
      <c r="Q1473" s="53"/>
    </row>
    <row r="1474" spans="16:17" x14ac:dyDescent="0.2">
      <c r="P1474" s="53"/>
      <c r="Q1474" s="53"/>
    </row>
    <row r="1475" spans="16:17" x14ac:dyDescent="0.2">
      <c r="P1475" s="53"/>
      <c r="Q1475" s="53"/>
    </row>
    <row r="1476" spans="16:17" x14ac:dyDescent="0.2">
      <c r="P1476" s="53"/>
      <c r="Q1476" s="53"/>
    </row>
    <row r="1477" spans="16:17" x14ac:dyDescent="0.2">
      <c r="P1477" s="53"/>
      <c r="Q1477" s="53"/>
    </row>
    <row r="1478" spans="16:17" x14ac:dyDescent="0.2">
      <c r="P1478" s="53"/>
      <c r="Q1478" s="53"/>
    </row>
    <row r="1479" spans="16:17" x14ac:dyDescent="0.2">
      <c r="P1479" s="53"/>
      <c r="Q1479" s="53"/>
    </row>
    <row r="1480" spans="16:17" x14ac:dyDescent="0.2">
      <c r="P1480" s="53"/>
      <c r="Q1480" s="53"/>
    </row>
    <row r="1481" spans="16:17" x14ac:dyDescent="0.2">
      <c r="P1481" s="53"/>
      <c r="Q1481" s="53"/>
    </row>
    <row r="1482" spans="16:17" x14ac:dyDescent="0.2">
      <c r="P1482" s="53"/>
      <c r="Q1482" s="53"/>
    </row>
    <row r="1483" spans="16:17" x14ac:dyDescent="0.2">
      <c r="P1483" s="53"/>
      <c r="Q1483" s="53"/>
    </row>
    <row r="1484" spans="16:17" x14ac:dyDescent="0.2">
      <c r="P1484" s="53"/>
      <c r="Q1484" s="53"/>
    </row>
    <row r="1485" spans="16:17" x14ac:dyDescent="0.2">
      <c r="P1485" s="53"/>
      <c r="Q1485" s="53"/>
    </row>
    <row r="1486" spans="16:17" x14ac:dyDescent="0.2">
      <c r="P1486" s="53"/>
      <c r="Q1486" s="53"/>
    </row>
    <row r="1487" spans="16:17" x14ac:dyDescent="0.2">
      <c r="P1487" s="53"/>
      <c r="Q1487" s="53"/>
    </row>
    <row r="1488" spans="16:17" x14ac:dyDescent="0.2">
      <c r="P1488" s="53"/>
      <c r="Q1488" s="53"/>
    </row>
    <row r="1489" spans="16:17" x14ac:dyDescent="0.2">
      <c r="P1489" s="53"/>
      <c r="Q1489" s="53"/>
    </row>
    <row r="1490" spans="16:17" x14ac:dyDescent="0.2">
      <c r="P1490" s="53"/>
      <c r="Q1490" s="53"/>
    </row>
    <row r="1491" spans="16:17" x14ac:dyDescent="0.2">
      <c r="P1491" s="53"/>
      <c r="Q1491" s="53"/>
    </row>
    <row r="1492" spans="16:17" x14ac:dyDescent="0.2">
      <c r="P1492" s="53"/>
      <c r="Q1492" s="53"/>
    </row>
    <row r="1493" spans="16:17" x14ac:dyDescent="0.2">
      <c r="P1493" s="53"/>
      <c r="Q1493" s="53"/>
    </row>
    <row r="1494" spans="16:17" x14ac:dyDescent="0.2">
      <c r="P1494" s="53"/>
      <c r="Q1494" s="53"/>
    </row>
    <row r="1495" spans="16:17" x14ac:dyDescent="0.2">
      <c r="P1495" s="53"/>
      <c r="Q1495" s="53"/>
    </row>
    <row r="1496" spans="16:17" x14ac:dyDescent="0.2">
      <c r="P1496" s="53"/>
      <c r="Q1496" s="53"/>
    </row>
    <row r="1497" spans="16:17" x14ac:dyDescent="0.2">
      <c r="P1497" s="53"/>
      <c r="Q1497" s="53"/>
    </row>
    <row r="1498" spans="16:17" x14ac:dyDescent="0.2">
      <c r="P1498" s="53"/>
      <c r="Q1498" s="53"/>
    </row>
    <row r="1499" spans="16:17" x14ac:dyDescent="0.2">
      <c r="P1499" s="53"/>
      <c r="Q1499" s="53"/>
    </row>
    <row r="1500" spans="16:17" x14ac:dyDescent="0.2">
      <c r="P1500" s="53"/>
      <c r="Q1500" s="53"/>
    </row>
    <row r="1501" spans="16:17" x14ac:dyDescent="0.2">
      <c r="P1501" s="53"/>
      <c r="Q1501" s="53"/>
    </row>
    <row r="1502" spans="16:17" x14ac:dyDescent="0.2">
      <c r="P1502" s="53"/>
      <c r="Q1502" s="53"/>
    </row>
    <row r="1503" spans="16:17" x14ac:dyDescent="0.2">
      <c r="P1503" s="53"/>
      <c r="Q1503" s="53"/>
    </row>
    <row r="1504" spans="16:17" x14ac:dyDescent="0.2">
      <c r="P1504" s="53"/>
      <c r="Q1504" s="53"/>
    </row>
    <row r="1505" spans="16:17" x14ac:dyDescent="0.2">
      <c r="P1505" s="53"/>
      <c r="Q1505" s="53"/>
    </row>
    <row r="1506" spans="16:17" x14ac:dyDescent="0.2">
      <c r="P1506" s="53"/>
      <c r="Q1506" s="53"/>
    </row>
    <row r="1507" spans="16:17" x14ac:dyDescent="0.2">
      <c r="P1507" s="53"/>
      <c r="Q1507" s="53"/>
    </row>
    <row r="1508" spans="16:17" x14ac:dyDescent="0.2">
      <c r="P1508" s="53"/>
      <c r="Q1508" s="53"/>
    </row>
    <row r="1509" spans="16:17" x14ac:dyDescent="0.2">
      <c r="P1509" s="53"/>
      <c r="Q1509" s="53"/>
    </row>
    <row r="1510" spans="16:17" x14ac:dyDescent="0.2">
      <c r="P1510" s="53"/>
      <c r="Q1510" s="53"/>
    </row>
    <row r="1511" spans="16:17" x14ac:dyDescent="0.2">
      <c r="P1511" s="53"/>
      <c r="Q1511" s="53"/>
    </row>
    <row r="1512" spans="16:17" x14ac:dyDescent="0.2">
      <c r="P1512" s="53"/>
      <c r="Q1512" s="53"/>
    </row>
    <row r="1513" spans="16:17" x14ac:dyDescent="0.2">
      <c r="P1513" s="53"/>
      <c r="Q1513" s="53"/>
    </row>
    <row r="1514" spans="16:17" x14ac:dyDescent="0.2">
      <c r="P1514" s="53"/>
      <c r="Q1514" s="53"/>
    </row>
    <row r="1515" spans="16:17" x14ac:dyDescent="0.2">
      <c r="P1515" s="53"/>
      <c r="Q1515" s="53"/>
    </row>
    <row r="1516" spans="16:17" x14ac:dyDescent="0.2">
      <c r="P1516" s="53"/>
      <c r="Q1516" s="53"/>
    </row>
    <row r="1517" spans="16:17" x14ac:dyDescent="0.2">
      <c r="P1517" s="53"/>
      <c r="Q1517" s="53"/>
    </row>
    <row r="1518" spans="16:17" x14ac:dyDescent="0.2">
      <c r="P1518" s="53"/>
      <c r="Q1518" s="53"/>
    </row>
    <row r="1519" spans="16:17" x14ac:dyDescent="0.2">
      <c r="P1519" s="53"/>
      <c r="Q1519" s="53"/>
    </row>
    <row r="1520" spans="16:17" x14ac:dyDescent="0.2">
      <c r="P1520" s="53"/>
      <c r="Q1520" s="53"/>
    </row>
    <row r="1521" spans="16:17" x14ac:dyDescent="0.2">
      <c r="P1521" s="53"/>
      <c r="Q1521" s="53"/>
    </row>
    <row r="1522" spans="16:17" x14ac:dyDescent="0.2">
      <c r="P1522" s="53"/>
      <c r="Q1522" s="53"/>
    </row>
    <row r="1523" spans="16:17" x14ac:dyDescent="0.2">
      <c r="P1523" s="53"/>
      <c r="Q1523" s="53"/>
    </row>
    <row r="1524" spans="16:17" x14ac:dyDescent="0.2">
      <c r="P1524" s="53"/>
      <c r="Q1524" s="53"/>
    </row>
    <row r="1525" spans="16:17" x14ac:dyDescent="0.2">
      <c r="P1525" s="53"/>
      <c r="Q1525" s="53"/>
    </row>
    <row r="1526" spans="16:17" x14ac:dyDescent="0.2">
      <c r="P1526" s="53"/>
      <c r="Q1526" s="53"/>
    </row>
    <row r="1527" spans="16:17" x14ac:dyDescent="0.2">
      <c r="P1527" s="53"/>
      <c r="Q1527" s="53"/>
    </row>
    <row r="1528" spans="16:17" x14ac:dyDescent="0.2">
      <c r="P1528" s="53"/>
      <c r="Q1528" s="53"/>
    </row>
    <row r="1529" spans="16:17" x14ac:dyDescent="0.2">
      <c r="P1529" s="53"/>
      <c r="Q1529" s="53"/>
    </row>
    <row r="1530" spans="16:17" x14ac:dyDescent="0.2">
      <c r="P1530" s="53"/>
      <c r="Q1530" s="53"/>
    </row>
    <row r="1531" spans="16:17" x14ac:dyDescent="0.2">
      <c r="P1531" s="53"/>
      <c r="Q1531" s="53"/>
    </row>
    <row r="1532" spans="16:17" x14ac:dyDescent="0.2">
      <c r="P1532" s="53"/>
      <c r="Q1532" s="53"/>
    </row>
    <row r="1533" spans="16:17" x14ac:dyDescent="0.2">
      <c r="P1533" s="53"/>
      <c r="Q1533" s="53"/>
    </row>
    <row r="1534" spans="16:17" x14ac:dyDescent="0.2">
      <c r="P1534" s="53"/>
      <c r="Q1534" s="53"/>
    </row>
    <row r="1535" spans="16:17" x14ac:dyDescent="0.2">
      <c r="P1535" s="53"/>
      <c r="Q1535" s="53"/>
    </row>
    <row r="1536" spans="16:17" x14ac:dyDescent="0.2">
      <c r="P1536" s="53"/>
      <c r="Q1536" s="53"/>
    </row>
    <row r="1537" spans="16:17" x14ac:dyDescent="0.2">
      <c r="P1537" s="53"/>
      <c r="Q1537" s="53"/>
    </row>
    <row r="1538" spans="16:17" x14ac:dyDescent="0.2">
      <c r="P1538" s="53"/>
      <c r="Q1538" s="53"/>
    </row>
    <row r="1539" spans="16:17" x14ac:dyDescent="0.2">
      <c r="P1539" s="53"/>
      <c r="Q1539" s="53"/>
    </row>
    <row r="1540" spans="16:17" x14ac:dyDescent="0.2">
      <c r="P1540" s="53"/>
      <c r="Q1540" s="53"/>
    </row>
    <row r="1541" spans="16:17" x14ac:dyDescent="0.2">
      <c r="P1541" s="53"/>
      <c r="Q1541" s="53"/>
    </row>
    <row r="1542" spans="16:17" x14ac:dyDescent="0.2">
      <c r="P1542" s="53"/>
      <c r="Q1542" s="53"/>
    </row>
    <row r="1543" spans="16:17" x14ac:dyDescent="0.2">
      <c r="P1543" s="53"/>
      <c r="Q1543" s="53"/>
    </row>
    <row r="1544" spans="16:17" x14ac:dyDescent="0.2">
      <c r="P1544" s="53"/>
      <c r="Q1544" s="53"/>
    </row>
    <row r="1545" spans="16:17" x14ac:dyDescent="0.2">
      <c r="P1545" s="53"/>
      <c r="Q1545" s="53"/>
    </row>
    <row r="1546" spans="16:17" x14ac:dyDescent="0.2">
      <c r="P1546" s="53"/>
      <c r="Q1546" s="53"/>
    </row>
    <row r="1547" spans="16:17" x14ac:dyDescent="0.2">
      <c r="P1547" s="53"/>
      <c r="Q1547" s="53"/>
    </row>
    <row r="1548" spans="16:17" x14ac:dyDescent="0.2">
      <c r="P1548" s="53"/>
      <c r="Q1548" s="53"/>
    </row>
    <row r="1549" spans="16:17" x14ac:dyDescent="0.2">
      <c r="P1549" s="53"/>
      <c r="Q1549" s="53"/>
    </row>
    <row r="1550" spans="16:17" x14ac:dyDescent="0.2">
      <c r="P1550" s="53"/>
      <c r="Q1550" s="53"/>
    </row>
    <row r="1551" spans="16:17" x14ac:dyDescent="0.2">
      <c r="P1551" s="53"/>
      <c r="Q1551" s="53"/>
    </row>
    <row r="1552" spans="16:17" x14ac:dyDescent="0.2">
      <c r="P1552" s="53"/>
      <c r="Q1552" s="53"/>
    </row>
    <row r="1553" spans="16:17" x14ac:dyDescent="0.2">
      <c r="P1553" s="53"/>
      <c r="Q1553" s="53"/>
    </row>
    <row r="1554" spans="16:17" x14ac:dyDescent="0.2">
      <c r="P1554" s="53"/>
      <c r="Q1554" s="53"/>
    </row>
    <row r="1555" spans="16:17" x14ac:dyDescent="0.2">
      <c r="P1555" s="53"/>
      <c r="Q1555" s="53"/>
    </row>
    <row r="1556" spans="16:17" x14ac:dyDescent="0.2">
      <c r="P1556" s="53"/>
      <c r="Q1556" s="53"/>
    </row>
    <row r="1557" spans="16:17" x14ac:dyDescent="0.2">
      <c r="P1557" s="53"/>
      <c r="Q1557" s="53"/>
    </row>
    <row r="1558" spans="16:17" x14ac:dyDescent="0.2">
      <c r="P1558" s="53"/>
      <c r="Q1558" s="53"/>
    </row>
    <row r="1559" spans="16:17" x14ac:dyDescent="0.2">
      <c r="P1559" s="53"/>
      <c r="Q1559" s="53"/>
    </row>
    <row r="1560" spans="16:17" x14ac:dyDescent="0.2">
      <c r="P1560" s="53"/>
      <c r="Q1560" s="53"/>
    </row>
    <row r="1561" spans="16:17" x14ac:dyDescent="0.2">
      <c r="P1561" s="53"/>
      <c r="Q1561" s="53"/>
    </row>
    <row r="1562" spans="16:17" x14ac:dyDescent="0.2">
      <c r="P1562" s="53"/>
      <c r="Q1562" s="53"/>
    </row>
    <row r="1563" spans="16:17" x14ac:dyDescent="0.2">
      <c r="P1563" s="53"/>
      <c r="Q1563" s="53"/>
    </row>
    <row r="1564" spans="16:17" x14ac:dyDescent="0.2">
      <c r="P1564" s="53"/>
      <c r="Q1564" s="53"/>
    </row>
    <row r="1565" spans="16:17" x14ac:dyDescent="0.2">
      <c r="P1565" s="53"/>
      <c r="Q1565" s="53"/>
    </row>
    <row r="1566" spans="16:17" x14ac:dyDescent="0.2">
      <c r="P1566" s="53"/>
      <c r="Q1566" s="53"/>
    </row>
    <row r="1567" spans="16:17" x14ac:dyDescent="0.2">
      <c r="P1567" s="53"/>
      <c r="Q1567" s="53"/>
    </row>
    <row r="1568" spans="16:17" x14ac:dyDescent="0.2">
      <c r="P1568" s="53"/>
      <c r="Q1568" s="53"/>
    </row>
    <row r="1569" spans="16:17" x14ac:dyDescent="0.2">
      <c r="P1569" s="53"/>
      <c r="Q1569" s="53"/>
    </row>
    <row r="1570" spans="16:17" x14ac:dyDescent="0.2">
      <c r="P1570" s="53"/>
      <c r="Q1570" s="53"/>
    </row>
    <row r="1571" spans="16:17" x14ac:dyDescent="0.2">
      <c r="P1571" s="53"/>
      <c r="Q1571" s="53"/>
    </row>
    <row r="1572" spans="16:17" x14ac:dyDescent="0.2">
      <c r="P1572" s="53"/>
      <c r="Q1572" s="53"/>
    </row>
    <row r="1573" spans="16:17" x14ac:dyDescent="0.2">
      <c r="P1573" s="53"/>
      <c r="Q1573" s="53"/>
    </row>
    <row r="1574" spans="16:17" x14ac:dyDescent="0.2">
      <c r="P1574" s="53"/>
      <c r="Q1574" s="53"/>
    </row>
  </sheetData>
  <sheetProtection selectLockedCells="1"/>
  <sortState ref="D12:J199">
    <sortCondition ref="D12"/>
  </sortState>
  <mergeCells count="3">
    <mergeCell ref="P10:Q10"/>
    <mergeCell ref="S10:V10"/>
    <mergeCell ref="D10:N10"/>
  </mergeCells>
  <dataValidations count="1">
    <dataValidation type="list" allowBlank="1" showInputMessage="1" showErrorMessage="1" errorTitle="Netting Set no Existe" error="Primero debes especificar un Netting Set a la izquierda antes de asignarlo a una operación." sqref="Q12:Q1048571">
      <formula1>INDIRECT($F$4)</formula1>
    </dataValidation>
  </dataValidations>
  <pageMargins left="0.7" right="0.7" top="0.75" bottom="0.75" header="0.3" footer="0.3"/>
  <pageSetup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AS1571"/>
  <sheetViews>
    <sheetView showGridLines="0" topLeftCell="C4" zoomScaleNormal="100" workbookViewId="0">
      <pane xSplit="12" ySplit="5" topLeftCell="AO9" activePane="bottomRight" state="frozen"/>
      <selection activeCell="C4" sqref="C4"/>
      <selection pane="topRight" activeCell="O4" sqref="O4"/>
      <selection pane="bottomLeft" activeCell="C9" sqref="C9"/>
      <selection pane="bottomRight" activeCell="AQ23" sqref="AQ23"/>
    </sheetView>
  </sheetViews>
  <sheetFormatPr baseColWidth="10" defaultColWidth="2.125" defaultRowHeight="14.25" outlineLevelRow="1" outlineLevelCol="1" x14ac:dyDescent="0.2"/>
  <cols>
    <col min="1" max="1" width="14.75" style="2" hidden="1" customWidth="1" outlineLevel="1"/>
    <col min="2" max="2" width="17" style="2" hidden="1" customWidth="1" outlineLevel="1"/>
    <col min="3" max="3" width="2.625" style="30" customWidth="1" collapsed="1"/>
    <col min="4" max="4" width="10.625" style="50" customWidth="1"/>
    <col min="5" max="5" width="8.625" style="50" customWidth="1"/>
    <col min="6" max="6" width="7.5" style="50" customWidth="1"/>
    <col min="7" max="7" width="6.375" style="50" customWidth="1"/>
    <col min="8" max="8" width="11.875" style="50" customWidth="1"/>
    <col min="9" max="9" width="11.125" style="50" customWidth="1"/>
    <col min="10" max="10" width="9.125" style="50" customWidth="1"/>
    <col min="11" max="11" width="14.375" style="50" customWidth="1"/>
    <col min="12" max="15" width="9.125" style="50" customWidth="1"/>
    <col min="16" max="16" width="10.25" style="50" customWidth="1"/>
    <col min="17" max="20" width="9.125" style="50" customWidth="1"/>
    <col min="21" max="21" width="12" style="50" customWidth="1"/>
    <col min="22" max="22" width="9.125" style="50" customWidth="1"/>
    <col min="23" max="23" width="12.625" style="50" customWidth="1"/>
    <col min="24" max="27" width="9.125" style="50" customWidth="1"/>
    <col min="28" max="28" width="13.75" style="50" customWidth="1"/>
    <col min="29" max="32" width="9.125" style="50" customWidth="1"/>
    <col min="33" max="33" width="11.25" style="50" customWidth="1"/>
    <col min="34" max="34" width="9.125" style="50" customWidth="1"/>
    <col min="35" max="35" width="10.75" style="50" customWidth="1"/>
    <col min="36" max="37" width="9.125" style="50" customWidth="1"/>
    <col min="38" max="38" width="10.875" style="50" customWidth="1"/>
    <col min="39" max="39" width="13.125" style="50" customWidth="1"/>
    <col min="40" max="40" width="12.625" style="50" customWidth="1"/>
    <col min="41" max="41" width="9.125" style="50" customWidth="1"/>
    <col min="42" max="42" width="13.5" style="39" customWidth="1"/>
    <col min="43" max="43" width="10.875" style="1" bestFit="1" customWidth="1"/>
    <col min="44" max="44" width="14.625" style="1" bestFit="1" customWidth="1"/>
    <col min="45" max="16384" width="2.125" style="1"/>
  </cols>
  <sheetData>
    <row r="1" spans="1:45" s="2" customFormat="1" hidden="1" outlineLevel="1" x14ac:dyDescent="0.2">
      <c r="A1" s="2" t="str">
        <f ca="1">nameOfThisSheet()</f>
        <v>Operations</v>
      </c>
      <c r="C1" s="4"/>
      <c r="D1" s="4"/>
      <c r="E1" s="4"/>
      <c r="F1" s="4"/>
      <c r="G1" s="4"/>
      <c r="I1" s="4"/>
      <c r="J1" s="4"/>
      <c r="K1" s="5"/>
      <c r="L1" s="4"/>
      <c r="U1" s="4"/>
      <c r="V1" s="4"/>
      <c r="W1" s="4"/>
      <c r="X1" s="4"/>
      <c r="Y1" s="4"/>
      <c r="Z1" s="4"/>
      <c r="AA1" s="4"/>
      <c r="AB1" s="4"/>
      <c r="AC1" s="4"/>
    </row>
    <row r="2" spans="1:45" s="2" customFormat="1" hidden="1" outlineLevel="1" x14ac:dyDescent="0.2">
      <c r="C2" s="4"/>
      <c r="D2" s="4"/>
      <c r="E2" s="4"/>
      <c r="F2" s="4"/>
      <c r="G2" s="4"/>
      <c r="H2" s="4"/>
      <c r="I2" s="4"/>
      <c r="J2" s="4"/>
      <c r="K2" s="5"/>
      <c r="L2" s="4"/>
      <c r="U2" s="4"/>
      <c r="V2" s="4"/>
      <c r="W2" s="4"/>
      <c r="X2" s="4"/>
      <c r="Y2" s="4"/>
      <c r="Z2" s="4"/>
      <c r="AA2" s="4"/>
      <c r="AB2" s="4"/>
      <c r="AC2" s="4"/>
    </row>
    <row r="3" spans="1:45" s="42" customFormat="1" ht="10.5" hidden="1" customHeight="1" outlineLevel="1" x14ac:dyDescent="0.2">
      <c r="A3" s="2"/>
      <c r="B3" s="2"/>
      <c r="C3" s="44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</row>
    <row r="4" spans="1:45" ht="10.5" customHeight="1" collapsed="1" x14ac:dyDescent="0.2">
      <c r="C4" s="35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</row>
    <row r="5" spans="1:45" ht="30" x14ac:dyDescent="0.2">
      <c r="A5" s="2" t="s">
        <v>98</v>
      </c>
      <c r="C5" s="35" t="s">
        <v>120</v>
      </c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45" x14ac:dyDescent="0.2">
      <c r="A6" s="2" t="s">
        <v>84</v>
      </c>
      <c r="B6" s="2">
        <f ca="1">ROW(INDIRECT("originOperations"))</f>
        <v>9</v>
      </c>
      <c r="D6" s="30"/>
      <c r="E6" s="30"/>
      <c r="F6" s="30"/>
      <c r="G6" s="30"/>
      <c r="H6" s="30"/>
      <c r="I6" s="30"/>
      <c r="J6" s="30"/>
      <c r="K6" s="96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</row>
    <row r="7" spans="1:45" x14ac:dyDescent="0.2">
      <c r="A7" s="2" t="s">
        <v>85</v>
      </c>
      <c r="B7" s="2">
        <f ca="1">COLUMN(INDIRECT("originOperations"))</f>
        <v>4</v>
      </c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</row>
    <row r="8" spans="1:45" ht="18" customHeight="1" x14ac:dyDescent="0.2">
      <c r="A8" s="2" t="s">
        <v>86</v>
      </c>
      <c r="B8" s="18" t="str">
        <f ca="1">numbertoletter(B7)</f>
        <v>D</v>
      </c>
      <c r="D8" s="34" t="s">
        <v>18</v>
      </c>
      <c r="E8" s="34" t="s">
        <v>1</v>
      </c>
      <c r="F8" s="34" t="s">
        <v>11</v>
      </c>
      <c r="G8" s="34" t="s">
        <v>10</v>
      </c>
      <c r="H8" s="34" t="s">
        <v>29</v>
      </c>
      <c r="I8" s="34" t="s">
        <v>30</v>
      </c>
      <c r="J8" s="34" t="s">
        <v>31</v>
      </c>
      <c r="K8" s="34" t="s">
        <v>32</v>
      </c>
      <c r="L8" s="34" t="s">
        <v>33</v>
      </c>
      <c r="M8" s="34" t="s">
        <v>34</v>
      </c>
      <c r="N8" s="34" t="s">
        <v>35</v>
      </c>
      <c r="O8" s="34" t="s">
        <v>36</v>
      </c>
      <c r="P8" s="34" t="s">
        <v>37</v>
      </c>
      <c r="Q8" s="34" t="s">
        <v>38</v>
      </c>
      <c r="R8" s="34" t="s">
        <v>39</v>
      </c>
      <c r="S8" s="34" t="s">
        <v>40</v>
      </c>
      <c r="T8" s="34" t="s">
        <v>41</v>
      </c>
      <c r="U8" s="34" t="s">
        <v>42</v>
      </c>
      <c r="V8" s="34" t="s">
        <v>43</v>
      </c>
      <c r="W8" s="34" t="s">
        <v>44</v>
      </c>
      <c r="X8" s="34" t="s">
        <v>45</v>
      </c>
      <c r="Y8" s="34" t="s">
        <v>46</v>
      </c>
      <c r="Z8" s="34" t="s">
        <v>47</v>
      </c>
      <c r="AA8" s="34" t="s">
        <v>48</v>
      </c>
      <c r="AB8" s="34" t="s">
        <v>49</v>
      </c>
      <c r="AC8" s="34" t="s">
        <v>50</v>
      </c>
      <c r="AD8" s="34" t="s">
        <v>51</v>
      </c>
      <c r="AE8" s="34" t="s">
        <v>52</v>
      </c>
      <c r="AF8" s="34" t="s">
        <v>53</v>
      </c>
      <c r="AG8" s="34" t="s">
        <v>54</v>
      </c>
      <c r="AH8" s="34" t="s">
        <v>55</v>
      </c>
      <c r="AI8" s="34" t="s">
        <v>56</v>
      </c>
      <c r="AJ8" s="34" t="s">
        <v>57</v>
      </c>
      <c r="AK8" s="34" t="s">
        <v>58</v>
      </c>
      <c r="AL8" s="34" t="s">
        <v>59</v>
      </c>
      <c r="AM8" s="34" t="s">
        <v>60</v>
      </c>
      <c r="AN8" s="34" t="s">
        <v>61</v>
      </c>
      <c r="AO8" s="34" t="s">
        <v>62</v>
      </c>
    </row>
    <row r="9" spans="1:45" ht="14.25" customHeight="1" x14ac:dyDescent="0.2">
      <c r="A9" s="2" t="s">
        <v>87</v>
      </c>
      <c r="B9" s="18" t="str">
        <f ca="1">B8&amp;B6&amp;":"&amp;B8&amp;maxRowsValue</f>
        <v>D9:D1048576</v>
      </c>
      <c r="D9" s="95" t="s">
        <v>204</v>
      </c>
      <c r="E9" s="90" t="s">
        <v>15</v>
      </c>
      <c r="F9" s="90" t="s">
        <v>178</v>
      </c>
      <c r="G9" s="94"/>
      <c r="H9" s="93">
        <v>-0.35068493150684932</v>
      </c>
      <c r="I9" s="93">
        <v>9.6767123287671239</v>
      </c>
      <c r="J9" s="90" t="s">
        <v>2</v>
      </c>
      <c r="K9" s="90">
        <v>409650000</v>
      </c>
      <c r="L9" s="90" t="s">
        <v>142</v>
      </c>
      <c r="M9" s="90" t="s">
        <v>171</v>
      </c>
      <c r="N9" s="92">
        <v>3.8100000000000002E-2</v>
      </c>
      <c r="O9" s="90" t="s">
        <v>174</v>
      </c>
      <c r="P9" s="90" t="s">
        <v>143</v>
      </c>
      <c r="Q9" s="94"/>
      <c r="R9" s="94"/>
      <c r="S9" s="92">
        <v>0</v>
      </c>
      <c r="T9" s="90" t="s">
        <v>173</v>
      </c>
      <c r="U9" s="90" t="s">
        <v>102</v>
      </c>
      <c r="V9" s="90" t="s">
        <v>144</v>
      </c>
      <c r="W9" s="90" t="s">
        <v>179</v>
      </c>
      <c r="X9" s="94"/>
      <c r="Y9" s="93">
        <v>-0.35068493150684932</v>
      </c>
      <c r="Z9" s="93">
        <v>9.6767123287671239</v>
      </c>
      <c r="AA9" s="90" t="s">
        <v>14</v>
      </c>
      <c r="AB9" s="90">
        <v>300000000</v>
      </c>
      <c r="AC9" s="90" t="s">
        <v>142</v>
      </c>
      <c r="AD9" s="90" t="s">
        <v>171</v>
      </c>
      <c r="AE9" s="92">
        <v>2.2499999999999999E-2</v>
      </c>
      <c r="AF9" s="90" t="s">
        <v>174</v>
      </c>
      <c r="AG9" s="90" t="s">
        <v>143</v>
      </c>
      <c r="AH9" s="94"/>
      <c r="AI9" s="94"/>
      <c r="AJ9" s="92">
        <v>0</v>
      </c>
      <c r="AK9" s="90" t="s">
        <v>173</v>
      </c>
      <c r="AL9" s="90" t="s">
        <v>102</v>
      </c>
      <c r="AM9" s="90" t="s">
        <v>144</v>
      </c>
      <c r="AN9" s="90" t="s">
        <v>180</v>
      </c>
      <c r="AO9" s="94"/>
      <c r="AP9" s="101">
        <f>+_xll.getValueSwapFromDealNumber(D9)</f>
        <v>21158286490.959412</v>
      </c>
      <c r="AQ9" s="1">
        <v>35847766</v>
      </c>
      <c r="AR9" s="112">
        <f>+AP9-AQ9</f>
        <v>21122438724.959412</v>
      </c>
    </row>
    <row r="10" spans="1:45" x14ac:dyDescent="0.2">
      <c r="A10" s="2" t="s">
        <v>88</v>
      </c>
      <c r="B10" s="2">
        <f ca="1">COUNTA(INDIRECT(B9))</f>
        <v>13</v>
      </c>
      <c r="D10" s="95" t="s">
        <v>205</v>
      </c>
      <c r="E10" s="50" t="s">
        <v>15</v>
      </c>
      <c r="F10" s="50" t="s">
        <v>178</v>
      </c>
      <c r="H10" s="80">
        <v>-0.25205479452054791</v>
      </c>
      <c r="I10" s="80">
        <v>10.194520547945205</v>
      </c>
      <c r="J10" s="50" t="s">
        <v>3</v>
      </c>
      <c r="K10" s="50">
        <v>97580000000</v>
      </c>
      <c r="L10" s="94" t="s">
        <v>142</v>
      </c>
      <c r="M10" s="94" t="s">
        <v>171</v>
      </c>
      <c r="N10" s="92">
        <v>1.9800000000000002E-2</v>
      </c>
      <c r="O10" s="94" t="s">
        <v>172</v>
      </c>
      <c r="P10" s="94" t="s">
        <v>143</v>
      </c>
      <c r="Q10" s="94"/>
      <c r="R10" s="94"/>
      <c r="S10" s="92">
        <v>0</v>
      </c>
      <c r="T10" s="94" t="s">
        <v>173</v>
      </c>
      <c r="U10" s="94" t="s">
        <v>102</v>
      </c>
      <c r="V10" s="94" t="s">
        <v>144</v>
      </c>
      <c r="W10" s="94" t="s">
        <v>181</v>
      </c>
      <c r="X10" s="94"/>
      <c r="Y10" s="93">
        <v>-0.25205479452054791</v>
      </c>
      <c r="Z10" s="93">
        <v>10.194520547945205</v>
      </c>
      <c r="AA10" s="94" t="s">
        <v>2</v>
      </c>
      <c r="AB10" s="94">
        <v>170000000</v>
      </c>
      <c r="AC10" s="94" t="s">
        <v>142</v>
      </c>
      <c r="AD10" s="94" t="s">
        <v>171</v>
      </c>
      <c r="AE10" s="100">
        <v>0</v>
      </c>
      <c r="AF10" s="94" t="s">
        <v>172</v>
      </c>
      <c r="AG10" s="94" t="s">
        <v>143</v>
      </c>
      <c r="AH10" s="94"/>
      <c r="AI10" s="94"/>
      <c r="AJ10" s="92">
        <v>0</v>
      </c>
      <c r="AK10" s="94" t="s">
        <v>173</v>
      </c>
      <c r="AL10" s="94" t="s">
        <v>102</v>
      </c>
      <c r="AM10" s="94" t="s">
        <v>144</v>
      </c>
      <c r="AN10" s="94" t="s">
        <v>179</v>
      </c>
      <c r="AO10" s="94"/>
      <c r="AP10" s="101">
        <f>+_xll.getValueSwapFromDealNumber(D10)</f>
        <v>-1514712107.5039062</v>
      </c>
      <c r="AQ10" s="1">
        <v>-1934598</v>
      </c>
      <c r="AR10" s="112">
        <f>+AP10-AQ10</f>
        <v>-1512777509.5039062</v>
      </c>
    </row>
    <row r="11" spans="1:45" ht="15" x14ac:dyDescent="0.25">
      <c r="A11" s="2" t="s">
        <v>89</v>
      </c>
      <c r="B11" s="19">
        <v>38</v>
      </c>
      <c r="D11" s="95" t="s">
        <v>206</v>
      </c>
      <c r="E11" s="50" t="s">
        <v>15</v>
      </c>
      <c r="F11" s="50" t="s">
        <v>178</v>
      </c>
      <c r="H11" s="80">
        <v>-0.58630136986301373</v>
      </c>
      <c r="I11" s="80">
        <v>9.4054794520547933</v>
      </c>
      <c r="J11" s="50" t="s">
        <v>2</v>
      </c>
      <c r="K11" s="50">
        <v>128611182.59999999</v>
      </c>
      <c r="L11" s="94" t="s">
        <v>142</v>
      </c>
      <c r="M11" s="94" t="s">
        <v>171</v>
      </c>
      <c r="N11" s="92">
        <v>5.1500000000000004E-2</v>
      </c>
      <c r="O11" s="94" t="s">
        <v>172</v>
      </c>
      <c r="P11" s="94" t="s">
        <v>143</v>
      </c>
      <c r="Q11" s="94"/>
      <c r="R11" s="94"/>
      <c r="S11" s="92">
        <v>0</v>
      </c>
      <c r="T11" s="94" t="s">
        <v>173</v>
      </c>
      <c r="U11" s="94" t="s">
        <v>102</v>
      </c>
      <c r="V11" s="94" t="s">
        <v>144</v>
      </c>
      <c r="W11" s="94" t="s">
        <v>179</v>
      </c>
      <c r="X11" s="94"/>
      <c r="Y11" s="93">
        <v>-0.58630136986301373</v>
      </c>
      <c r="Z11" s="93">
        <v>9.4054794520547933</v>
      </c>
      <c r="AA11" s="94" t="s">
        <v>76</v>
      </c>
      <c r="AB11" s="94">
        <v>3000000</v>
      </c>
      <c r="AC11" s="94" t="s">
        <v>142</v>
      </c>
      <c r="AD11" s="94" t="s">
        <v>171</v>
      </c>
      <c r="AE11" s="92">
        <v>3.5681999999999998E-2</v>
      </c>
      <c r="AF11" s="94" t="s">
        <v>172</v>
      </c>
      <c r="AG11" s="94" t="s">
        <v>143</v>
      </c>
      <c r="AH11" s="94"/>
      <c r="AI11" s="94"/>
      <c r="AJ11" s="92">
        <v>0</v>
      </c>
      <c r="AK11" s="94" t="s">
        <v>173</v>
      </c>
      <c r="AL11" s="94" t="s">
        <v>102</v>
      </c>
      <c r="AM11" s="94" t="s">
        <v>144</v>
      </c>
      <c r="AN11" s="94" t="s">
        <v>182</v>
      </c>
      <c r="AO11" s="94"/>
      <c r="AP11" s="101">
        <f>+_xll.getValueSwapFromDealNumber(D11)</f>
        <v>9266531251.5663757</v>
      </c>
      <c r="AQ11" s="1">
        <v>15828292</v>
      </c>
      <c r="AR11" s="112">
        <f>+AP11-AQ11</f>
        <v>9250702959.5663757</v>
      </c>
    </row>
    <row r="12" spans="1:45" x14ac:dyDescent="0.2">
      <c r="A12" s="2" t="s">
        <v>90</v>
      </c>
      <c r="B12" s="18" t="str">
        <f ca="1">B8&amp;B6&amp;":"&amp;numbertoletter(B7+B11-1)&amp;(B6+B10-1)</f>
        <v>D9:AO21</v>
      </c>
      <c r="D12" s="95" t="s">
        <v>207</v>
      </c>
      <c r="E12" s="50" t="s">
        <v>15</v>
      </c>
      <c r="F12" s="50" t="s">
        <v>178</v>
      </c>
      <c r="H12" s="80">
        <v>-1.4821917808219176</v>
      </c>
      <c r="I12" s="80">
        <v>6.904109589041096</v>
      </c>
      <c r="J12" s="50" t="s">
        <v>2</v>
      </c>
      <c r="K12" s="50">
        <v>96000000</v>
      </c>
      <c r="L12" s="94" t="s">
        <v>142</v>
      </c>
      <c r="M12" s="94" t="s">
        <v>171</v>
      </c>
      <c r="N12" s="92">
        <v>3.9199999999999999E-2</v>
      </c>
      <c r="O12" s="94" t="s">
        <v>172</v>
      </c>
      <c r="P12" s="94" t="s">
        <v>143</v>
      </c>
      <c r="Q12" s="94"/>
      <c r="R12" s="94"/>
      <c r="S12" s="92">
        <v>0</v>
      </c>
      <c r="T12" s="94" t="s">
        <v>173</v>
      </c>
      <c r="U12" s="94" t="s">
        <v>102</v>
      </c>
      <c r="V12" s="94" t="s">
        <v>144</v>
      </c>
      <c r="W12" s="94" t="s">
        <v>179</v>
      </c>
      <c r="X12" s="94"/>
      <c r="Y12" s="93">
        <v>-1.4821917808219176</v>
      </c>
      <c r="Z12" s="93">
        <v>6.904109589041096</v>
      </c>
      <c r="AA12" s="94" t="s">
        <v>76</v>
      </c>
      <c r="AB12" s="94">
        <v>2000000</v>
      </c>
      <c r="AC12" s="94" t="s">
        <v>142</v>
      </c>
      <c r="AD12" s="94" t="s">
        <v>171</v>
      </c>
      <c r="AE12" s="92">
        <v>3.7000000000000005E-2</v>
      </c>
      <c r="AF12" s="94" t="s">
        <v>172</v>
      </c>
      <c r="AG12" s="94" t="s">
        <v>143</v>
      </c>
      <c r="AH12" s="94"/>
      <c r="AI12" s="94"/>
      <c r="AJ12" s="92">
        <v>0</v>
      </c>
      <c r="AK12" s="94" t="s">
        <v>173</v>
      </c>
      <c r="AL12" s="94" t="s">
        <v>102</v>
      </c>
      <c r="AM12" s="94" t="s">
        <v>144</v>
      </c>
      <c r="AN12" s="94" t="s">
        <v>182</v>
      </c>
      <c r="AO12" s="94"/>
      <c r="AP12" s="101">
        <f>+_xll.getValueSwapFromDealNumber(D12)</f>
        <v>8027764464.7703857</v>
      </c>
      <c r="AQ12" s="1">
        <v>14287065</v>
      </c>
      <c r="AR12" s="112">
        <f>+AP12-AQ12</f>
        <v>8013477399.7703857</v>
      </c>
    </row>
    <row r="13" spans="1:45" x14ac:dyDescent="0.2">
      <c r="D13" s="115" t="s">
        <v>209</v>
      </c>
      <c r="E13" s="116" t="s">
        <v>15</v>
      </c>
      <c r="F13" s="116" t="s">
        <v>178</v>
      </c>
      <c r="G13" s="116"/>
      <c r="H13" s="93">
        <v>-1.4821917808219176</v>
      </c>
      <c r="I13" s="93">
        <v>6.904109589041096</v>
      </c>
      <c r="J13" s="116" t="s">
        <v>2</v>
      </c>
      <c r="K13" s="116">
        <v>96000000</v>
      </c>
      <c r="L13" s="116" t="s">
        <v>142</v>
      </c>
      <c r="M13" s="116" t="s">
        <v>171</v>
      </c>
      <c r="N13" s="117">
        <v>3.9199999999999999E-2</v>
      </c>
      <c r="O13" s="116" t="s">
        <v>172</v>
      </c>
      <c r="P13" s="116" t="s">
        <v>143</v>
      </c>
      <c r="Q13" s="116"/>
      <c r="R13" s="116"/>
      <c r="S13" s="117">
        <v>0</v>
      </c>
      <c r="T13" s="116" t="s">
        <v>173</v>
      </c>
      <c r="U13" s="116" t="s">
        <v>102</v>
      </c>
      <c r="V13" s="116" t="s">
        <v>144</v>
      </c>
      <c r="W13" s="116" t="s">
        <v>179</v>
      </c>
      <c r="X13" s="116"/>
      <c r="Y13" s="93">
        <v>-1.4821917808219176</v>
      </c>
      <c r="Z13" s="93">
        <v>6.904109589041096</v>
      </c>
      <c r="AA13" s="116" t="s">
        <v>76</v>
      </c>
      <c r="AB13" s="116">
        <v>2000000</v>
      </c>
      <c r="AC13" s="116" t="s">
        <v>142</v>
      </c>
      <c r="AD13" s="116" t="s">
        <v>171</v>
      </c>
      <c r="AE13" s="117">
        <v>3.7000000000000005E-2</v>
      </c>
      <c r="AF13" s="116" t="s">
        <v>172</v>
      </c>
      <c r="AG13" s="116" t="s">
        <v>143</v>
      </c>
      <c r="AH13" s="116"/>
      <c r="AI13" s="116"/>
      <c r="AJ13" s="117">
        <v>0</v>
      </c>
      <c r="AK13" s="116" t="s">
        <v>173</v>
      </c>
      <c r="AL13" s="116" t="s">
        <v>102</v>
      </c>
      <c r="AM13" s="116" t="s">
        <v>144</v>
      </c>
      <c r="AN13" s="116" t="s">
        <v>182</v>
      </c>
      <c r="AO13" s="116"/>
      <c r="AP13" s="101">
        <f>+_xll.getValueSwapFromDealNumber(D13)</f>
        <v>8027764464.7703857</v>
      </c>
      <c r="AS13" s="92">
        <v>5.1500000000000004E-2</v>
      </c>
    </row>
    <row r="14" spans="1:45" x14ac:dyDescent="0.2">
      <c r="D14" s="118" t="s">
        <v>211</v>
      </c>
      <c r="E14" s="119" t="s">
        <v>15</v>
      </c>
      <c r="F14" s="119" t="s">
        <v>178</v>
      </c>
      <c r="G14" s="119"/>
      <c r="H14" s="120">
        <v>-0.35068493150684932</v>
      </c>
      <c r="I14" s="120">
        <v>9.6767123287671239</v>
      </c>
      <c r="J14" s="119" t="s">
        <v>2</v>
      </c>
      <c r="K14" s="119">
        <v>409650000</v>
      </c>
      <c r="L14" s="119" t="s">
        <v>142</v>
      </c>
      <c r="M14" s="119" t="s">
        <v>171</v>
      </c>
      <c r="N14" s="124">
        <v>2.8500000000000001E-2</v>
      </c>
      <c r="O14" s="119" t="s">
        <v>174</v>
      </c>
      <c r="P14" s="119" t="s">
        <v>143</v>
      </c>
      <c r="Q14" s="119"/>
      <c r="R14" s="119"/>
      <c r="S14" s="121">
        <v>0</v>
      </c>
      <c r="T14" s="119" t="s">
        <v>173</v>
      </c>
      <c r="U14" s="119" t="s">
        <v>102</v>
      </c>
      <c r="V14" s="119" t="s">
        <v>144</v>
      </c>
      <c r="W14" s="119" t="s">
        <v>179</v>
      </c>
      <c r="X14" s="119"/>
      <c r="Y14" s="122">
        <v>-0.35068493150684932</v>
      </c>
      <c r="Z14" s="122">
        <v>9.6767123287671239</v>
      </c>
      <c r="AA14" s="119" t="s">
        <v>14</v>
      </c>
      <c r="AB14" s="119">
        <v>300000000</v>
      </c>
      <c r="AC14" s="119" t="s">
        <v>142</v>
      </c>
      <c r="AD14" s="119" t="s">
        <v>171</v>
      </c>
      <c r="AE14" s="121">
        <v>2.2499999999999999E-2</v>
      </c>
      <c r="AF14" s="119" t="s">
        <v>174</v>
      </c>
      <c r="AG14" s="119" t="s">
        <v>143</v>
      </c>
      <c r="AH14" s="119"/>
      <c r="AI14" s="119"/>
      <c r="AJ14" s="121">
        <v>0</v>
      </c>
      <c r="AK14" s="119" t="s">
        <v>173</v>
      </c>
      <c r="AL14" s="119" t="s">
        <v>102</v>
      </c>
      <c r="AM14" s="119" t="s">
        <v>144</v>
      </c>
      <c r="AN14" s="119" t="s">
        <v>180</v>
      </c>
      <c r="AO14" s="119"/>
      <c r="AP14" s="123">
        <f>+_xll.getValueSwapFromDealNumber(D14)</f>
        <v>3385888.3874511719</v>
      </c>
    </row>
    <row r="15" spans="1:45" x14ac:dyDescent="0.2">
      <c r="D15" s="95" t="s">
        <v>212</v>
      </c>
      <c r="E15" s="50" t="s">
        <v>15</v>
      </c>
      <c r="F15" s="50" t="s">
        <v>178</v>
      </c>
      <c r="H15" s="80">
        <v>-0.25205479452054791</v>
      </c>
      <c r="I15" s="93">
        <v>10.194520547945205</v>
      </c>
      <c r="J15" s="50" t="s">
        <v>3</v>
      </c>
      <c r="K15" s="50">
        <v>97580000000</v>
      </c>
      <c r="L15" s="50" t="s">
        <v>142</v>
      </c>
      <c r="M15" s="50" t="s">
        <v>171</v>
      </c>
      <c r="N15" s="100">
        <v>2.1649999999999999E-2</v>
      </c>
      <c r="O15" s="50" t="s">
        <v>172</v>
      </c>
      <c r="P15" s="50" t="s">
        <v>143</v>
      </c>
      <c r="S15" s="92">
        <v>0</v>
      </c>
      <c r="T15" s="50" t="s">
        <v>173</v>
      </c>
      <c r="U15" s="50" t="s">
        <v>102</v>
      </c>
      <c r="V15" s="50" t="s">
        <v>144</v>
      </c>
      <c r="W15" s="50" t="s">
        <v>181</v>
      </c>
      <c r="Y15" s="114">
        <v>-0.25205479452054791</v>
      </c>
      <c r="Z15" s="114">
        <v>10.194520547945205</v>
      </c>
      <c r="AA15" s="50" t="s">
        <v>2</v>
      </c>
      <c r="AB15" s="50">
        <v>170000000</v>
      </c>
      <c r="AC15" s="50" t="s">
        <v>142</v>
      </c>
      <c r="AD15" s="50" t="s">
        <v>171</v>
      </c>
      <c r="AE15" s="92">
        <v>0</v>
      </c>
      <c r="AF15" s="50" t="s">
        <v>172</v>
      </c>
      <c r="AG15" s="50" t="s">
        <v>143</v>
      </c>
      <c r="AJ15" s="88">
        <v>0</v>
      </c>
      <c r="AK15" s="50" t="s">
        <v>173</v>
      </c>
      <c r="AL15" s="50" t="s">
        <v>102</v>
      </c>
      <c r="AM15" s="50" t="s">
        <v>144</v>
      </c>
      <c r="AN15" s="50" t="s">
        <v>179</v>
      </c>
      <c r="AP15" s="101">
        <f>+_xll.getValueSwapFromDealNumber(D15)</f>
        <v>4855221.6525268555</v>
      </c>
    </row>
    <row r="16" spans="1:45" x14ac:dyDescent="0.2">
      <c r="D16" s="95" t="s">
        <v>213</v>
      </c>
      <c r="E16" s="94" t="s">
        <v>15</v>
      </c>
      <c r="F16" s="94" t="s">
        <v>178</v>
      </c>
      <c r="G16" s="94"/>
      <c r="H16" s="93">
        <v>-0.58630136986301373</v>
      </c>
      <c r="I16" s="93">
        <v>9.4054794520547933</v>
      </c>
      <c r="J16" s="94" t="s">
        <v>2</v>
      </c>
      <c r="K16" s="94">
        <v>128611182.59999999</v>
      </c>
      <c r="L16" s="94" t="s">
        <v>142</v>
      </c>
      <c r="M16" s="94" t="s">
        <v>171</v>
      </c>
      <c r="N16" s="100">
        <v>3.7400000000000003E-2</v>
      </c>
      <c r="O16" s="94" t="s">
        <v>172</v>
      </c>
      <c r="P16" s="94" t="s">
        <v>143</v>
      </c>
      <c r="Q16" s="94"/>
      <c r="R16" s="94"/>
      <c r="S16" s="92">
        <v>0</v>
      </c>
      <c r="T16" s="94" t="s">
        <v>173</v>
      </c>
      <c r="U16" s="94" t="s">
        <v>102</v>
      </c>
      <c r="V16" s="94" t="s">
        <v>144</v>
      </c>
      <c r="W16" s="94" t="s">
        <v>179</v>
      </c>
      <c r="X16" s="94"/>
      <c r="Y16" s="114">
        <v>-0.58630136986301373</v>
      </c>
      <c r="Z16" s="114">
        <v>9.4054794520547933</v>
      </c>
      <c r="AA16" s="94" t="s">
        <v>76</v>
      </c>
      <c r="AB16" s="94">
        <v>3000000</v>
      </c>
      <c r="AC16" s="94" t="s">
        <v>142</v>
      </c>
      <c r="AD16" s="94" t="s">
        <v>171</v>
      </c>
      <c r="AE16" s="92">
        <v>3.5681999999999998E-2</v>
      </c>
      <c r="AF16" s="94" t="s">
        <v>172</v>
      </c>
      <c r="AG16" s="94" t="s">
        <v>143</v>
      </c>
      <c r="AH16" s="94"/>
      <c r="AI16" s="94"/>
      <c r="AJ16" s="92">
        <v>0</v>
      </c>
      <c r="AK16" s="94" t="s">
        <v>173</v>
      </c>
      <c r="AL16" s="94" t="s">
        <v>102</v>
      </c>
      <c r="AM16" s="94" t="s">
        <v>144</v>
      </c>
      <c r="AN16" s="94" t="s">
        <v>182</v>
      </c>
      <c r="AO16" s="94"/>
      <c r="AP16" s="101">
        <f>+_xll.getValueSwapFromDealNumber(D16)</f>
        <v>-42577552.734634399</v>
      </c>
    </row>
    <row r="17" spans="4:42" x14ac:dyDescent="0.2">
      <c r="D17" s="115" t="s">
        <v>214</v>
      </c>
      <c r="E17" s="94" t="s">
        <v>15</v>
      </c>
      <c r="F17" s="94" t="s">
        <v>178</v>
      </c>
      <c r="G17" s="94"/>
      <c r="H17" s="93">
        <v>-1.4821917808219176</v>
      </c>
      <c r="I17" s="93">
        <v>6.904109589041096</v>
      </c>
      <c r="J17" s="94" t="s">
        <v>2</v>
      </c>
      <c r="K17" s="94">
        <v>96000000</v>
      </c>
      <c r="L17" s="94" t="s">
        <v>142</v>
      </c>
      <c r="M17" s="94" t="s">
        <v>171</v>
      </c>
      <c r="N17" s="100">
        <v>1.78E-2</v>
      </c>
      <c r="O17" s="94" t="s">
        <v>172</v>
      </c>
      <c r="P17" s="94" t="s">
        <v>143</v>
      </c>
      <c r="Q17" s="94"/>
      <c r="R17" s="94"/>
      <c r="S17" s="92">
        <v>0</v>
      </c>
      <c r="T17" s="94" t="s">
        <v>173</v>
      </c>
      <c r="U17" s="94" t="s">
        <v>102</v>
      </c>
      <c r="V17" s="94" t="s">
        <v>144</v>
      </c>
      <c r="W17" s="94" t="s">
        <v>179</v>
      </c>
      <c r="X17" s="94"/>
      <c r="Y17" s="114">
        <v>-1.4821917808219176</v>
      </c>
      <c r="Z17" s="114">
        <v>6.904109589041096</v>
      </c>
      <c r="AA17" s="94" t="s">
        <v>76</v>
      </c>
      <c r="AB17" s="94">
        <v>2000000</v>
      </c>
      <c r="AC17" s="94" t="s">
        <v>142</v>
      </c>
      <c r="AD17" s="94" t="s">
        <v>171</v>
      </c>
      <c r="AE17" s="92">
        <v>3.7000000000000005E-2</v>
      </c>
      <c r="AF17" s="94" t="s">
        <v>172</v>
      </c>
      <c r="AG17" s="94" t="s">
        <v>143</v>
      </c>
      <c r="AH17" s="94"/>
      <c r="AI17" s="94"/>
      <c r="AJ17" s="92">
        <v>0</v>
      </c>
      <c r="AK17" s="94" t="s">
        <v>173</v>
      </c>
      <c r="AL17" s="94" t="s">
        <v>102</v>
      </c>
      <c r="AM17" s="94" t="s">
        <v>144</v>
      </c>
      <c r="AN17" s="94" t="s">
        <v>182</v>
      </c>
      <c r="AO17" s="94"/>
      <c r="AP17" s="101">
        <f>+_xll.getValueSwapFromDealNumber(D17)</f>
        <v>-20552336.681999207</v>
      </c>
    </row>
    <row r="18" spans="4:42" x14ac:dyDescent="0.2">
      <c r="D18" s="118" t="s">
        <v>218</v>
      </c>
      <c r="E18" s="119" t="s">
        <v>0</v>
      </c>
      <c r="F18" s="119" t="s">
        <v>178</v>
      </c>
      <c r="G18" s="119"/>
      <c r="H18" s="120">
        <v>-0.35068493150684932</v>
      </c>
      <c r="I18" s="120">
        <v>9.6767123287671239</v>
      </c>
      <c r="J18" s="119" t="s">
        <v>2</v>
      </c>
      <c r="K18" s="125">
        <v>378100000</v>
      </c>
      <c r="L18" s="119" t="s">
        <v>142</v>
      </c>
      <c r="M18" s="119" t="s">
        <v>171</v>
      </c>
      <c r="N18" s="121">
        <v>3.8100000000000002E-2</v>
      </c>
      <c r="O18" s="119" t="s">
        <v>174</v>
      </c>
      <c r="P18" s="119" t="s">
        <v>143</v>
      </c>
      <c r="Q18" s="119"/>
      <c r="R18" s="119"/>
      <c r="S18" s="121">
        <v>0</v>
      </c>
      <c r="T18" s="119" t="s">
        <v>173</v>
      </c>
      <c r="U18" s="119" t="s">
        <v>102</v>
      </c>
      <c r="V18" s="119" t="s">
        <v>144</v>
      </c>
      <c r="W18" s="119" t="s">
        <v>179</v>
      </c>
      <c r="X18" s="119"/>
      <c r="Y18" s="122">
        <v>-0.35068493150684932</v>
      </c>
      <c r="Z18" s="122">
        <v>9.6767123287671239</v>
      </c>
      <c r="AA18" s="119" t="s">
        <v>14</v>
      </c>
      <c r="AB18" s="119">
        <v>300000000</v>
      </c>
      <c r="AC18" s="119" t="s">
        <v>142</v>
      </c>
      <c r="AD18" s="119" t="s">
        <v>171</v>
      </c>
      <c r="AE18" s="121">
        <v>2.2499999999999999E-2</v>
      </c>
      <c r="AF18" s="119" t="s">
        <v>174</v>
      </c>
      <c r="AG18" s="119" t="s">
        <v>143</v>
      </c>
      <c r="AH18" s="119"/>
      <c r="AI18" s="119"/>
      <c r="AJ18" s="121">
        <v>0</v>
      </c>
      <c r="AK18" s="119" t="s">
        <v>173</v>
      </c>
      <c r="AL18" s="119" t="s">
        <v>102</v>
      </c>
      <c r="AM18" s="119" t="s">
        <v>144</v>
      </c>
      <c r="AN18" s="119" t="s">
        <v>180</v>
      </c>
      <c r="AO18" s="119"/>
      <c r="AP18" s="123">
        <f>+_xll.getValueSwapFromDealNumber(D18)</f>
        <v>26637327.713134766</v>
      </c>
    </row>
    <row r="19" spans="4:42" x14ac:dyDescent="0.2">
      <c r="D19" s="95" t="s">
        <v>215</v>
      </c>
      <c r="E19" s="94" t="s">
        <v>15</v>
      </c>
      <c r="F19" s="94" t="s">
        <v>178</v>
      </c>
      <c r="G19" s="94"/>
      <c r="H19" s="93">
        <v>-0.25205479452054791</v>
      </c>
      <c r="I19" s="93">
        <v>10.194520547945205</v>
      </c>
      <c r="J19" s="94" t="s">
        <v>3</v>
      </c>
      <c r="K19" s="94">
        <v>99499000000</v>
      </c>
      <c r="L19" s="94" t="s">
        <v>142</v>
      </c>
      <c r="M19" s="94" t="s">
        <v>171</v>
      </c>
      <c r="N19" s="92">
        <v>1.9800000000000002E-2</v>
      </c>
      <c r="O19" s="94" t="s">
        <v>172</v>
      </c>
      <c r="P19" s="94" t="s">
        <v>143</v>
      </c>
      <c r="Q19" s="94"/>
      <c r="R19" s="94"/>
      <c r="S19" s="92">
        <v>0</v>
      </c>
      <c r="T19" s="94" t="s">
        <v>173</v>
      </c>
      <c r="U19" s="94" t="s">
        <v>102</v>
      </c>
      <c r="V19" s="94" t="s">
        <v>144</v>
      </c>
      <c r="W19" s="94" t="s">
        <v>181</v>
      </c>
      <c r="X19" s="94"/>
      <c r="Y19" s="114">
        <v>-0.25205479452054791</v>
      </c>
      <c r="Z19" s="114">
        <v>10.194520547945205</v>
      </c>
      <c r="AA19" s="94" t="s">
        <v>2</v>
      </c>
      <c r="AB19" s="94">
        <v>170000000</v>
      </c>
      <c r="AC19" s="94" t="s">
        <v>142</v>
      </c>
      <c r="AD19" s="94" t="s">
        <v>171</v>
      </c>
      <c r="AE19" s="92">
        <v>0</v>
      </c>
      <c r="AF19" s="94" t="s">
        <v>172</v>
      </c>
      <c r="AG19" s="94" t="s">
        <v>143</v>
      </c>
      <c r="AH19" s="94"/>
      <c r="AI19" s="94"/>
      <c r="AJ19" s="92">
        <v>0</v>
      </c>
      <c r="AK19" s="94" t="s">
        <v>173</v>
      </c>
      <c r="AL19" s="94" t="s">
        <v>102</v>
      </c>
      <c r="AM19" s="94" t="s">
        <v>144</v>
      </c>
      <c r="AN19" s="94" t="s">
        <v>179</v>
      </c>
      <c r="AO19" s="94"/>
      <c r="AP19" s="101">
        <f>+_xll.getValueSwapFromDealNumber(D19)</f>
        <v>-20119075.277832031</v>
      </c>
    </row>
    <row r="20" spans="4:42" x14ac:dyDescent="0.2">
      <c r="D20" s="95" t="s">
        <v>216</v>
      </c>
      <c r="E20" s="94" t="s">
        <v>15</v>
      </c>
      <c r="F20" s="94" t="s">
        <v>178</v>
      </c>
      <c r="G20" s="94"/>
      <c r="H20" s="93">
        <v>-0.58630136986301373</v>
      </c>
      <c r="I20" s="93">
        <v>9.4054794520547933</v>
      </c>
      <c r="J20" s="94" t="s">
        <v>2</v>
      </c>
      <c r="K20" s="94">
        <v>115991182.59999999</v>
      </c>
      <c r="L20" s="94" t="s">
        <v>142</v>
      </c>
      <c r="M20" s="94" t="s">
        <v>171</v>
      </c>
      <c r="N20" s="92">
        <v>5.1500000000000004E-2</v>
      </c>
      <c r="O20" s="94" t="s">
        <v>172</v>
      </c>
      <c r="P20" s="94" t="s">
        <v>143</v>
      </c>
      <c r="Q20" s="94"/>
      <c r="R20" s="94"/>
      <c r="S20" s="92">
        <v>0</v>
      </c>
      <c r="T20" s="94" t="s">
        <v>173</v>
      </c>
      <c r="U20" s="94" t="s">
        <v>102</v>
      </c>
      <c r="V20" s="94" t="s">
        <v>144</v>
      </c>
      <c r="W20" s="94" t="s">
        <v>179</v>
      </c>
      <c r="X20" s="94"/>
      <c r="Y20" s="114">
        <v>-0.58630136986301373</v>
      </c>
      <c r="Z20" s="114">
        <v>9.4054794520547933</v>
      </c>
      <c r="AA20" s="94" t="s">
        <v>76</v>
      </c>
      <c r="AB20" s="94">
        <v>3000000</v>
      </c>
      <c r="AC20" s="94" t="s">
        <v>142</v>
      </c>
      <c r="AD20" s="94" t="s">
        <v>171</v>
      </c>
      <c r="AE20" s="92">
        <v>3.5681999999999998E-2</v>
      </c>
      <c r="AF20" s="94" t="s">
        <v>172</v>
      </c>
      <c r="AG20" s="94" t="s">
        <v>143</v>
      </c>
      <c r="AH20" s="94"/>
      <c r="AI20" s="94"/>
      <c r="AJ20" s="92">
        <v>0</v>
      </c>
      <c r="AK20" s="94" t="s">
        <v>173</v>
      </c>
      <c r="AL20" s="94" t="s">
        <v>102</v>
      </c>
      <c r="AM20" s="94" t="s">
        <v>144</v>
      </c>
      <c r="AN20" s="94" t="s">
        <v>182</v>
      </c>
      <c r="AO20" s="94"/>
      <c r="AP20" s="101">
        <f>+_xll.getValueSwapFromDealNumber(D20)</f>
        <v>3330851.8429412842</v>
      </c>
    </row>
    <row r="21" spans="4:42" x14ac:dyDescent="0.2">
      <c r="D21" s="95" t="s">
        <v>217</v>
      </c>
      <c r="E21" s="94" t="s">
        <v>15</v>
      </c>
      <c r="F21" s="94" t="s">
        <v>178</v>
      </c>
      <c r="G21" s="94"/>
      <c r="H21" s="93">
        <v>-1.4821917808219176</v>
      </c>
      <c r="I21" s="93">
        <v>6.904109589041096</v>
      </c>
      <c r="J21" s="94" t="s">
        <v>2</v>
      </c>
      <c r="K21" s="94">
        <v>83900000</v>
      </c>
      <c r="L21" s="94" t="s">
        <v>142</v>
      </c>
      <c r="M21" s="94" t="s">
        <v>171</v>
      </c>
      <c r="N21" s="92">
        <v>3.9199999999999999E-2</v>
      </c>
      <c r="O21" s="94" t="s">
        <v>172</v>
      </c>
      <c r="P21" s="94" t="s">
        <v>143</v>
      </c>
      <c r="Q21" s="94"/>
      <c r="R21" s="94"/>
      <c r="S21" s="92">
        <v>0</v>
      </c>
      <c r="T21" s="94" t="s">
        <v>173</v>
      </c>
      <c r="U21" s="94" t="s">
        <v>102</v>
      </c>
      <c r="V21" s="94" t="s">
        <v>144</v>
      </c>
      <c r="W21" s="94" t="s">
        <v>179</v>
      </c>
      <c r="X21" s="94"/>
      <c r="Y21" s="114">
        <v>-1.4821917808219176</v>
      </c>
      <c r="Z21" s="114">
        <v>6.904109589041096</v>
      </c>
      <c r="AA21" s="94" t="s">
        <v>76</v>
      </c>
      <c r="AB21" s="94">
        <v>2000000</v>
      </c>
      <c r="AC21" s="94" t="s">
        <v>142</v>
      </c>
      <c r="AD21" s="94" t="s">
        <v>171</v>
      </c>
      <c r="AE21" s="92">
        <v>3.7000000000000005E-2</v>
      </c>
      <c r="AF21" s="94" t="s">
        <v>172</v>
      </c>
      <c r="AG21" s="94" t="s">
        <v>143</v>
      </c>
      <c r="AH21" s="94"/>
      <c r="AI21" s="94"/>
      <c r="AJ21" s="92">
        <v>0</v>
      </c>
      <c r="AK21" s="94" t="s">
        <v>173</v>
      </c>
      <c r="AL21" s="94" t="s">
        <v>102</v>
      </c>
      <c r="AM21" s="94" t="s">
        <v>144</v>
      </c>
      <c r="AN21" s="94" t="s">
        <v>182</v>
      </c>
      <c r="AO21" s="94"/>
      <c r="AP21" s="101">
        <f>+_xll.getValueSwapFromDealNumber(D21)</f>
        <v>-20520889.629875183</v>
      </c>
    </row>
    <row r="22" spans="4:42" x14ac:dyDescent="0.2">
      <c r="D22" s="95"/>
      <c r="E22" s="94"/>
      <c r="F22" s="94"/>
      <c r="G22" s="94"/>
      <c r="H22" s="93"/>
      <c r="I22" s="93"/>
      <c r="J22" s="94"/>
      <c r="K22" s="94"/>
      <c r="L22" s="94"/>
      <c r="M22" s="94"/>
      <c r="N22" s="92"/>
      <c r="O22" s="94"/>
      <c r="P22" s="94"/>
      <c r="Q22" s="94"/>
      <c r="R22" s="94"/>
      <c r="S22" s="92"/>
      <c r="T22" s="94"/>
      <c r="U22" s="94"/>
      <c r="V22" s="94"/>
      <c r="W22" s="94"/>
      <c r="X22" s="94"/>
      <c r="Y22" s="114"/>
      <c r="Z22" s="114"/>
      <c r="AA22" s="94"/>
      <c r="AB22" s="94"/>
      <c r="AC22" s="94"/>
      <c r="AD22" s="94"/>
      <c r="AE22" s="92"/>
      <c r="AF22" s="94"/>
      <c r="AG22" s="94"/>
      <c r="AH22" s="94"/>
      <c r="AI22" s="94"/>
      <c r="AJ22" s="92"/>
      <c r="AK22" s="94"/>
      <c r="AL22" s="94"/>
      <c r="AM22" s="94"/>
      <c r="AN22" s="94"/>
      <c r="AO22" s="94"/>
      <c r="AP22" s="101"/>
    </row>
    <row r="23" spans="4:42" x14ac:dyDescent="0.2">
      <c r="D23" s="53"/>
      <c r="H23" s="80"/>
      <c r="I23" s="80"/>
    </row>
    <row r="24" spans="4:42" x14ac:dyDescent="0.2">
      <c r="D24" s="53"/>
      <c r="H24" s="80"/>
      <c r="I24" s="80"/>
    </row>
    <row r="25" spans="4:42" x14ac:dyDescent="0.2">
      <c r="D25" s="53"/>
      <c r="H25" s="80"/>
      <c r="I25" s="93"/>
    </row>
    <row r="26" spans="4:42" x14ac:dyDescent="0.2">
      <c r="D26" s="53"/>
      <c r="H26" s="80"/>
      <c r="I26" s="93"/>
    </row>
    <row r="27" spans="4:42" x14ac:dyDescent="0.2">
      <c r="D27" s="53"/>
      <c r="H27" s="80"/>
      <c r="I27" s="93"/>
    </row>
    <row r="28" spans="4:42" x14ac:dyDescent="0.2">
      <c r="D28" s="53"/>
      <c r="H28" s="80"/>
      <c r="I28" s="93"/>
    </row>
    <row r="29" spans="4:42" x14ac:dyDescent="0.2">
      <c r="D29" s="53"/>
      <c r="H29" s="80"/>
      <c r="I29" s="93"/>
    </row>
    <row r="30" spans="4:42" x14ac:dyDescent="0.2">
      <c r="D30" s="53"/>
      <c r="H30" s="80"/>
      <c r="I30" s="93"/>
    </row>
    <row r="31" spans="4:42" x14ac:dyDescent="0.2">
      <c r="D31" s="53"/>
      <c r="H31" s="80"/>
      <c r="I31" s="93"/>
    </row>
    <row r="32" spans="4:42" x14ac:dyDescent="0.2">
      <c r="D32" s="53"/>
      <c r="H32" s="80"/>
      <c r="I32" s="80"/>
    </row>
    <row r="33" spans="4:9" x14ac:dyDescent="0.2">
      <c r="D33" s="53"/>
      <c r="H33" s="80"/>
      <c r="I33" s="80"/>
    </row>
    <row r="34" spans="4:9" x14ac:dyDescent="0.2">
      <c r="D34" s="53"/>
      <c r="H34" s="80"/>
      <c r="I34" s="80"/>
    </row>
    <row r="35" spans="4:9" x14ac:dyDescent="0.2">
      <c r="D35" s="53"/>
      <c r="H35" s="80"/>
      <c r="I35" s="80"/>
    </row>
    <row r="36" spans="4:9" x14ac:dyDescent="0.2">
      <c r="D36" s="53"/>
      <c r="H36" s="80"/>
      <c r="I36" s="80"/>
    </row>
    <row r="37" spans="4:9" x14ac:dyDescent="0.2">
      <c r="D37" s="53"/>
      <c r="H37" s="80"/>
      <c r="I37" s="80"/>
    </row>
    <row r="38" spans="4:9" x14ac:dyDescent="0.2">
      <c r="D38" s="53"/>
      <c r="H38" s="80"/>
      <c r="I38" s="80"/>
    </row>
    <row r="39" spans="4:9" x14ac:dyDescent="0.2">
      <c r="H39" s="80"/>
      <c r="I39" s="80"/>
    </row>
    <row r="40" spans="4:9" x14ac:dyDescent="0.2">
      <c r="H40" s="80"/>
      <c r="I40" s="80"/>
    </row>
    <row r="41" spans="4:9" x14ac:dyDescent="0.2">
      <c r="H41" s="80"/>
      <c r="I41" s="80"/>
    </row>
    <row r="42" spans="4:9" x14ac:dyDescent="0.2">
      <c r="H42" s="80"/>
      <c r="I42" s="80"/>
    </row>
    <row r="43" spans="4:9" x14ac:dyDescent="0.2">
      <c r="H43" s="80"/>
      <c r="I43" s="80"/>
    </row>
    <row r="44" spans="4:9" x14ac:dyDescent="0.2">
      <c r="H44" s="80"/>
      <c r="I44" s="80"/>
    </row>
    <row r="45" spans="4:9" x14ac:dyDescent="0.2">
      <c r="H45" s="80"/>
      <c r="I45" s="80"/>
    </row>
    <row r="46" spans="4:9" x14ac:dyDescent="0.2">
      <c r="H46" s="80"/>
      <c r="I46" s="80"/>
    </row>
    <row r="47" spans="4:9" x14ac:dyDescent="0.2">
      <c r="H47" s="80"/>
      <c r="I47" s="80"/>
    </row>
    <row r="48" spans="4:9" x14ac:dyDescent="0.2">
      <c r="H48" s="80"/>
      <c r="I48" s="80"/>
    </row>
    <row r="49" spans="8:9" x14ac:dyDescent="0.2">
      <c r="H49" s="80"/>
      <c r="I49" s="80"/>
    </row>
    <row r="50" spans="8:9" x14ac:dyDescent="0.2">
      <c r="H50" s="80"/>
      <c r="I50" s="80"/>
    </row>
    <row r="51" spans="8:9" x14ac:dyDescent="0.2">
      <c r="H51" s="80"/>
      <c r="I51" s="80"/>
    </row>
    <row r="52" spans="8:9" x14ac:dyDescent="0.2">
      <c r="H52" s="80"/>
      <c r="I52" s="80"/>
    </row>
    <row r="53" spans="8:9" x14ac:dyDescent="0.2">
      <c r="H53" s="80"/>
      <c r="I53" s="80"/>
    </row>
    <row r="54" spans="8:9" x14ac:dyDescent="0.2">
      <c r="H54" s="80"/>
      <c r="I54" s="80"/>
    </row>
    <row r="55" spans="8:9" x14ac:dyDescent="0.2">
      <c r="H55" s="80"/>
      <c r="I55" s="80"/>
    </row>
    <row r="56" spans="8:9" x14ac:dyDescent="0.2">
      <c r="H56" s="80"/>
      <c r="I56" s="80"/>
    </row>
    <row r="57" spans="8:9" x14ac:dyDescent="0.2">
      <c r="H57" s="80"/>
      <c r="I57" s="80"/>
    </row>
    <row r="58" spans="8:9" x14ac:dyDescent="0.2">
      <c r="H58" s="80"/>
      <c r="I58" s="80"/>
    </row>
    <row r="59" spans="8:9" x14ac:dyDescent="0.2">
      <c r="H59" s="80"/>
      <c r="I59" s="80"/>
    </row>
    <row r="60" spans="8:9" x14ac:dyDescent="0.2">
      <c r="H60" s="80"/>
      <c r="I60" s="80"/>
    </row>
    <row r="61" spans="8:9" x14ac:dyDescent="0.2">
      <c r="H61" s="80"/>
      <c r="I61" s="80"/>
    </row>
    <row r="62" spans="8:9" x14ac:dyDescent="0.2">
      <c r="H62" s="80"/>
      <c r="I62" s="80"/>
    </row>
    <row r="63" spans="8:9" x14ac:dyDescent="0.2">
      <c r="H63" s="80"/>
      <c r="I63" s="80"/>
    </row>
    <row r="64" spans="8:9" x14ac:dyDescent="0.2">
      <c r="H64" s="80"/>
      <c r="I64" s="80"/>
    </row>
    <row r="65" spans="8:9" x14ac:dyDescent="0.2">
      <c r="H65" s="80"/>
      <c r="I65" s="80"/>
    </row>
    <row r="66" spans="8:9" x14ac:dyDescent="0.2">
      <c r="H66" s="80"/>
      <c r="I66" s="80"/>
    </row>
    <row r="67" spans="8:9" x14ac:dyDescent="0.2">
      <c r="H67" s="80"/>
      <c r="I67" s="80"/>
    </row>
    <row r="68" spans="8:9" x14ac:dyDescent="0.2">
      <c r="H68" s="80"/>
      <c r="I68" s="80"/>
    </row>
    <row r="69" spans="8:9" x14ac:dyDescent="0.2">
      <c r="H69" s="80"/>
      <c r="I69" s="80"/>
    </row>
    <row r="70" spans="8:9" x14ac:dyDescent="0.2">
      <c r="H70" s="80"/>
      <c r="I70" s="80"/>
    </row>
    <row r="71" spans="8:9" x14ac:dyDescent="0.2">
      <c r="H71" s="80"/>
      <c r="I71" s="80"/>
    </row>
    <row r="72" spans="8:9" x14ac:dyDescent="0.2">
      <c r="H72" s="80"/>
      <c r="I72" s="80"/>
    </row>
    <row r="73" spans="8:9" x14ac:dyDescent="0.2">
      <c r="H73" s="80"/>
      <c r="I73" s="80"/>
    </row>
    <row r="74" spans="8:9" x14ac:dyDescent="0.2">
      <c r="H74" s="80"/>
      <c r="I74" s="80"/>
    </row>
    <row r="75" spans="8:9" x14ac:dyDescent="0.2">
      <c r="H75" s="80"/>
      <c r="I75" s="80"/>
    </row>
    <row r="76" spans="8:9" x14ac:dyDescent="0.2">
      <c r="H76" s="80"/>
      <c r="I76" s="80"/>
    </row>
    <row r="77" spans="8:9" x14ac:dyDescent="0.2">
      <c r="H77" s="80"/>
      <c r="I77" s="80"/>
    </row>
    <row r="78" spans="8:9" x14ac:dyDescent="0.2">
      <c r="H78" s="80"/>
      <c r="I78" s="80"/>
    </row>
    <row r="79" spans="8:9" x14ac:dyDescent="0.2">
      <c r="H79" s="80"/>
      <c r="I79" s="80"/>
    </row>
    <row r="80" spans="8:9" x14ac:dyDescent="0.2">
      <c r="H80" s="80"/>
      <c r="I80" s="80"/>
    </row>
    <row r="81" spans="8:9" x14ac:dyDescent="0.2">
      <c r="H81" s="80"/>
      <c r="I81" s="80"/>
    </row>
    <row r="82" spans="8:9" x14ac:dyDescent="0.2">
      <c r="H82" s="80"/>
      <c r="I82" s="80"/>
    </row>
    <row r="83" spans="8:9" x14ac:dyDescent="0.2">
      <c r="H83" s="80"/>
      <c r="I83" s="80"/>
    </row>
    <row r="84" spans="8:9" x14ac:dyDescent="0.2">
      <c r="H84" s="80"/>
      <c r="I84" s="80"/>
    </row>
    <row r="85" spans="8:9" x14ac:dyDescent="0.2">
      <c r="H85" s="80"/>
      <c r="I85" s="80"/>
    </row>
    <row r="86" spans="8:9" x14ac:dyDescent="0.2">
      <c r="H86" s="80"/>
      <c r="I86" s="80"/>
    </row>
    <row r="87" spans="8:9" x14ac:dyDescent="0.2">
      <c r="H87" s="80"/>
      <c r="I87" s="80"/>
    </row>
    <row r="88" spans="8:9" x14ac:dyDescent="0.2">
      <c r="H88" s="80"/>
      <c r="I88" s="80"/>
    </row>
    <row r="89" spans="8:9" x14ac:dyDescent="0.2">
      <c r="H89" s="80"/>
      <c r="I89" s="80"/>
    </row>
    <row r="90" spans="8:9" x14ac:dyDescent="0.2">
      <c r="H90" s="80"/>
      <c r="I90" s="80"/>
    </row>
    <row r="91" spans="8:9" x14ac:dyDescent="0.2">
      <c r="H91" s="80"/>
      <c r="I91" s="80"/>
    </row>
    <row r="92" spans="8:9" x14ac:dyDescent="0.2">
      <c r="H92" s="80"/>
      <c r="I92" s="80"/>
    </row>
    <row r="93" spans="8:9" x14ac:dyDescent="0.2">
      <c r="H93" s="80"/>
      <c r="I93" s="80"/>
    </row>
    <row r="94" spans="8:9" x14ac:dyDescent="0.2">
      <c r="H94" s="80"/>
      <c r="I94" s="80"/>
    </row>
    <row r="95" spans="8:9" x14ac:dyDescent="0.2">
      <c r="H95" s="80"/>
      <c r="I95" s="80"/>
    </row>
    <row r="96" spans="8:9" x14ac:dyDescent="0.2">
      <c r="H96" s="80"/>
      <c r="I96" s="80"/>
    </row>
    <row r="97" spans="8:9" x14ac:dyDescent="0.2">
      <c r="H97" s="80"/>
      <c r="I97" s="80"/>
    </row>
    <row r="98" spans="8:9" x14ac:dyDescent="0.2">
      <c r="H98" s="80"/>
      <c r="I98" s="80"/>
    </row>
    <row r="99" spans="8:9" x14ac:dyDescent="0.2">
      <c r="H99" s="80"/>
      <c r="I99" s="80"/>
    </row>
    <row r="100" spans="8:9" x14ac:dyDescent="0.2">
      <c r="H100" s="80"/>
      <c r="I100" s="80"/>
    </row>
    <row r="101" spans="8:9" x14ac:dyDescent="0.2">
      <c r="H101" s="80"/>
      <c r="I101" s="80"/>
    </row>
    <row r="102" spans="8:9" x14ac:dyDescent="0.2">
      <c r="H102" s="80"/>
      <c r="I102" s="80"/>
    </row>
    <row r="103" spans="8:9" x14ac:dyDescent="0.2">
      <c r="H103" s="80"/>
      <c r="I103" s="80"/>
    </row>
    <row r="104" spans="8:9" x14ac:dyDescent="0.2">
      <c r="H104" s="80"/>
      <c r="I104" s="80"/>
    </row>
    <row r="105" spans="8:9" x14ac:dyDescent="0.2">
      <c r="H105" s="80"/>
      <c r="I105" s="80"/>
    </row>
    <row r="106" spans="8:9" x14ac:dyDescent="0.2">
      <c r="H106" s="80"/>
      <c r="I106" s="80"/>
    </row>
    <row r="107" spans="8:9" x14ac:dyDescent="0.2">
      <c r="H107" s="80"/>
      <c r="I107" s="80"/>
    </row>
    <row r="108" spans="8:9" x14ac:dyDescent="0.2">
      <c r="H108" s="80"/>
      <c r="I108" s="80"/>
    </row>
    <row r="109" spans="8:9" x14ac:dyDescent="0.2">
      <c r="H109" s="80"/>
      <c r="I109" s="80"/>
    </row>
    <row r="110" spans="8:9" x14ac:dyDescent="0.2">
      <c r="H110" s="80"/>
      <c r="I110" s="80"/>
    </row>
    <row r="111" spans="8:9" x14ac:dyDescent="0.2">
      <c r="H111" s="80"/>
      <c r="I111" s="80"/>
    </row>
    <row r="112" spans="8:9" x14ac:dyDescent="0.2">
      <c r="H112" s="80"/>
      <c r="I112" s="80"/>
    </row>
    <row r="113" spans="8:9" x14ac:dyDescent="0.2">
      <c r="H113" s="80"/>
      <c r="I113" s="80"/>
    </row>
    <row r="114" spans="8:9" x14ac:dyDescent="0.2">
      <c r="H114" s="80"/>
      <c r="I114" s="80"/>
    </row>
    <row r="115" spans="8:9" x14ac:dyDescent="0.2">
      <c r="H115" s="80"/>
      <c r="I115" s="80"/>
    </row>
    <row r="116" spans="8:9" x14ac:dyDescent="0.2">
      <c r="H116" s="80"/>
      <c r="I116" s="80"/>
    </row>
    <row r="117" spans="8:9" x14ac:dyDescent="0.2">
      <c r="H117" s="80"/>
      <c r="I117" s="80"/>
    </row>
    <row r="118" spans="8:9" x14ac:dyDescent="0.2">
      <c r="H118" s="80"/>
      <c r="I118" s="80"/>
    </row>
    <row r="119" spans="8:9" x14ac:dyDescent="0.2">
      <c r="H119" s="80"/>
      <c r="I119" s="80"/>
    </row>
    <row r="120" spans="8:9" x14ac:dyDescent="0.2">
      <c r="H120" s="80"/>
      <c r="I120" s="80"/>
    </row>
    <row r="121" spans="8:9" x14ac:dyDescent="0.2">
      <c r="H121" s="80"/>
      <c r="I121" s="80"/>
    </row>
    <row r="122" spans="8:9" x14ac:dyDescent="0.2">
      <c r="H122" s="80"/>
      <c r="I122" s="80"/>
    </row>
    <row r="123" spans="8:9" x14ac:dyDescent="0.2">
      <c r="H123" s="80"/>
      <c r="I123" s="80"/>
    </row>
    <row r="124" spans="8:9" x14ac:dyDescent="0.2">
      <c r="H124" s="80"/>
      <c r="I124" s="80"/>
    </row>
    <row r="125" spans="8:9" x14ac:dyDescent="0.2">
      <c r="H125" s="80"/>
      <c r="I125" s="80"/>
    </row>
    <row r="126" spans="8:9" x14ac:dyDescent="0.2">
      <c r="H126" s="80"/>
      <c r="I126" s="80"/>
    </row>
    <row r="127" spans="8:9" x14ac:dyDescent="0.2">
      <c r="H127" s="80"/>
      <c r="I127" s="80"/>
    </row>
    <row r="128" spans="8:9" x14ac:dyDescent="0.2">
      <c r="H128" s="80"/>
      <c r="I128" s="80"/>
    </row>
    <row r="129" spans="8:9" x14ac:dyDescent="0.2">
      <c r="H129" s="80"/>
      <c r="I129" s="80"/>
    </row>
    <row r="130" spans="8:9" x14ac:dyDescent="0.2">
      <c r="H130" s="80"/>
      <c r="I130" s="80"/>
    </row>
    <row r="131" spans="8:9" x14ac:dyDescent="0.2">
      <c r="H131" s="80"/>
      <c r="I131" s="80"/>
    </row>
    <row r="132" spans="8:9" x14ac:dyDescent="0.2">
      <c r="H132" s="80"/>
      <c r="I132" s="80"/>
    </row>
    <row r="133" spans="8:9" x14ac:dyDescent="0.2">
      <c r="H133" s="80"/>
      <c r="I133" s="80"/>
    </row>
    <row r="134" spans="8:9" x14ac:dyDescent="0.2">
      <c r="H134" s="80"/>
      <c r="I134" s="80"/>
    </row>
    <row r="135" spans="8:9" x14ac:dyDescent="0.2">
      <c r="H135" s="80"/>
      <c r="I135" s="80"/>
    </row>
    <row r="136" spans="8:9" x14ac:dyDescent="0.2">
      <c r="H136" s="80"/>
      <c r="I136" s="80"/>
    </row>
    <row r="137" spans="8:9" x14ac:dyDescent="0.2">
      <c r="H137" s="80"/>
      <c r="I137" s="80"/>
    </row>
    <row r="138" spans="8:9" x14ac:dyDescent="0.2">
      <c r="H138" s="80"/>
      <c r="I138" s="80"/>
    </row>
    <row r="139" spans="8:9" x14ac:dyDescent="0.2">
      <c r="H139" s="80"/>
      <c r="I139" s="80"/>
    </row>
    <row r="140" spans="8:9" x14ac:dyDescent="0.2">
      <c r="H140" s="80"/>
      <c r="I140" s="80"/>
    </row>
    <row r="141" spans="8:9" x14ac:dyDescent="0.2">
      <c r="H141" s="80"/>
      <c r="I141" s="80"/>
    </row>
    <row r="142" spans="8:9" x14ac:dyDescent="0.2">
      <c r="H142" s="80"/>
      <c r="I142" s="80"/>
    </row>
    <row r="143" spans="8:9" x14ac:dyDescent="0.2">
      <c r="H143" s="80"/>
      <c r="I143" s="80"/>
    </row>
    <row r="144" spans="8:9" x14ac:dyDescent="0.2">
      <c r="H144" s="80"/>
      <c r="I144" s="80"/>
    </row>
    <row r="145" spans="8:9" x14ac:dyDescent="0.2">
      <c r="H145" s="80"/>
      <c r="I145" s="80"/>
    </row>
    <row r="146" spans="8:9" x14ac:dyDescent="0.2">
      <c r="H146" s="80"/>
      <c r="I146" s="80"/>
    </row>
    <row r="147" spans="8:9" x14ac:dyDescent="0.2">
      <c r="H147" s="80"/>
      <c r="I147" s="80"/>
    </row>
    <row r="148" spans="8:9" x14ac:dyDescent="0.2">
      <c r="H148" s="80"/>
      <c r="I148" s="80"/>
    </row>
    <row r="149" spans="8:9" x14ac:dyDescent="0.2">
      <c r="H149" s="80"/>
      <c r="I149" s="80"/>
    </row>
    <row r="150" spans="8:9" x14ac:dyDescent="0.2">
      <c r="H150" s="80"/>
      <c r="I150" s="80"/>
    </row>
    <row r="151" spans="8:9" x14ac:dyDescent="0.2">
      <c r="H151" s="80"/>
      <c r="I151" s="80"/>
    </row>
    <row r="152" spans="8:9" x14ac:dyDescent="0.2">
      <c r="H152" s="80"/>
      <c r="I152" s="80"/>
    </row>
    <row r="153" spans="8:9" x14ac:dyDescent="0.2">
      <c r="H153" s="80"/>
      <c r="I153" s="80"/>
    </row>
    <row r="154" spans="8:9" x14ac:dyDescent="0.2">
      <c r="H154" s="80"/>
      <c r="I154" s="80"/>
    </row>
    <row r="155" spans="8:9" x14ac:dyDescent="0.2">
      <c r="H155" s="80"/>
      <c r="I155" s="80"/>
    </row>
    <row r="156" spans="8:9" x14ac:dyDescent="0.2">
      <c r="H156" s="80"/>
      <c r="I156" s="80"/>
    </row>
    <row r="157" spans="8:9" x14ac:dyDescent="0.2">
      <c r="H157" s="80"/>
      <c r="I157" s="80"/>
    </row>
    <row r="158" spans="8:9" x14ac:dyDescent="0.2">
      <c r="H158" s="80"/>
      <c r="I158" s="80"/>
    </row>
    <row r="159" spans="8:9" x14ac:dyDescent="0.2">
      <c r="H159" s="80"/>
      <c r="I159" s="80"/>
    </row>
    <row r="160" spans="8:9" x14ac:dyDescent="0.2">
      <c r="H160" s="80"/>
      <c r="I160" s="80"/>
    </row>
    <row r="161" spans="8:9" x14ac:dyDescent="0.2">
      <c r="H161" s="80"/>
      <c r="I161" s="80"/>
    </row>
    <row r="162" spans="8:9" x14ac:dyDescent="0.2">
      <c r="H162" s="80"/>
      <c r="I162" s="80"/>
    </row>
    <row r="163" spans="8:9" x14ac:dyDescent="0.2">
      <c r="H163" s="80"/>
      <c r="I163" s="80"/>
    </row>
    <row r="164" spans="8:9" x14ac:dyDescent="0.2">
      <c r="H164" s="80"/>
      <c r="I164" s="80"/>
    </row>
    <row r="165" spans="8:9" x14ac:dyDescent="0.2">
      <c r="H165" s="80"/>
      <c r="I165" s="80"/>
    </row>
    <row r="166" spans="8:9" x14ac:dyDescent="0.2">
      <c r="H166" s="80"/>
      <c r="I166" s="80"/>
    </row>
    <row r="167" spans="8:9" x14ac:dyDescent="0.2">
      <c r="H167" s="80"/>
      <c r="I167" s="80"/>
    </row>
    <row r="168" spans="8:9" x14ac:dyDescent="0.2">
      <c r="H168" s="80"/>
      <c r="I168" s="80"/>
    </row>
    <row r="169" spans="8:9" x14ac:dyDescent="0.2">
      <c r="H169" s="80"/>
      <c r="I169" s="80"/>
    </row>
    <row r="170" spans="8:9" x14ac:dyDescent="0.2">
      <c r="H170" s="80"/>
      <c r="I170" s="80"/>
    </row>
    <row r="171" spans="8:9" x14ac:dyDescent="0.2">
      <c r="H171" s="80"/>
      <c r="I171" s="80"/>
    </row>
    <row r="172" spans="8:9" x14ac:dyDescent="0.2">
      <c r="H172" s="80"/>
      <c r="I172" s="80"/>
    </row>
    <row r="173" spans="8:9" x14ac:dyDescent="0.2">
      <c r="H173" s="80"/>
      <c r="I173" s="80"/>
    </row>
    <row r="174" spans="8:9" x14ac:dyDescent="0.2">
      <c r="H174" s="80"/>
      <c r="I174" s="80"/>
    </row>
    <row r="175" spans="8:9" x14ac:dyDescent="0.2">
      <c r="H175" s="80"/>
      <c r="I175" s="80"/>
    </row>
    <row r="176" spans="8:9" x14ac:dyDescent="0.2">
      <c r="H176" s="80"/>
      <c r="I176" s="80"/>
    </row>
    <row r="177" spans="8:9" x14ac:dyDescent="0.2">
      <c r="H177" s="80"/>
      <c r="I177" s="80"/>
    </row>
    <row r="178" spans="8:9" x14ac:dyDescent="0.2">
      <c r="H178" s="80"/>
      <c r="I178" s="80"/>
    </row>
    <row r="179" spans="8:9" x14ac:dyDescent="0.2">
      <c r="H179" s="80"/>
      <c r="I179" s="80"/>
    </row>
    <row r="180" spans="8:9" x14ac:dyDescent="0.2">
      <c r="H180" s="80"/>
      <c r="I180" s="80"/>
    </row>
    <row r="181" spans="8:9" x14ac:dyDescent="0.2">
      <c r="H181" s="80"/>
      <c r="I181" s="80"/>
    </row>
    <row r="182" spans="8:9" x14ac:dyDescent="0.2">
      <c r="H182" s="80"/>
      <c r="I182" s="80"/>
    </row>
    <row r="183" spans="8:9" x14ac:dyDescent="0.2">
      <c r="H183" s="80"/>
      <c r="I183" s="80"/>
    </row>
    <row r="184" spans="8:9" x14ac:dyDescent="0.2">
      <c r="H184" s="80"/>
      <c r="I184" s="80"/>
    </row>
    <row r="185" spans="8:9" x14ac:dyDescent="0.2">
      <c r="H185" s="80"/>
      <c r="I185" s="80"/>
    </row>
    <row r="186" spans="8:9" x14ac:dyDescent="0.2">
      <c r="H186" s="80"/>
      <c r="I186" s="80"/>
    </row>
    <row r="187" spans="8:9" x14ac:dyDescent="0.2">
      <c r="H187" s="80"/>
      <c r="I187" s="80"/>
    </row>
    <row r="188" spans="8:9" x14ac:dyDescent="0.2">
      <c r="H188" s="80"/>
      <c r="I188" s="80"/>
    </row>
    <row r="189" spans="8:9" x14ac:dyDescent="0.2">
      <c r="H189" s="80"/>
      <c r="I189" s="80"/>
    </row>
    <row r="190" spans="8:9" x14ac:dyDescent="0.2">
      <c r="H190" s="80"/>
      <c r="I190" s="80"/>
    </row>
    <row r="191" spans="8:9" x14ac:dyDescent="0.2">
      <c r="H191" s="80"/>
      <c r="I191" s="80"/>
    </row>
    <row r="192" spans="8:9" x14ac:dyDescent="0.2">
      <c r="H192" s="80"/>
      <c r="I192" s="80"/>
    </row>
    <row r="193" spans="8:9" x14ac:dyDescent="0.2">
      <c r="H193" s="80"/>
      <c r="I193" s="80"/>
    </row>
    <row r="194" spans="8:9" x14ac:dyDescent="0.2">
      <c r="H194" s="80"/>
      <c r="I194" s="80"/>
    </row>
    <row r="195" spans="8:9" x14ac:dyDescent="0.2">
      <c r="H195" s="80"/>
      <c r="I195" s="80"/>
    </row>
    <row r="196" spans="8:9" x14ac:dyDescent="0.2">
      <c r="H196" s="80"/>
      <c r="I196" s="80"/>
    </row>
    <row r="197" spans="8:9" x14ac:dyDescent="0.2">
      <c r="H197" s="80"/>
      <c r="I197" s="80"/>
    </row>
    <row r="198" spans="8:9" x14ac:dyDescent="0.2">
      <c r="H198" s="80"/>
      <c r="I198" s="80"/>
    </row>
    <row r="199" spans="8:9" x14ac:dyDescent="0.2">
      <c r="H199" s="80"/>
      <c r="I199" s="80"/>
    </row>
    <row r="200" spans="8:9" x14ac:dyDescent="0.2">
      <c r="H200" s="80"/>
      <c r="I200" s="80"/>
    </row>
    <row r="201" spans="8:9" x14ac:dyDescent="0.2">
      <c r="H201" s="80"/>
      <c r="I201" s="80"/>
    </row>
    <row r="202" spans="8:9" x14ac:dyDescent="0.2">
      <c r="H202" s="80"/>
      <c r="I202" s="80"/>
    </row>
    <row r="203" spans="8:9" x14ac:dyDescent="0.2">
      <c r="H203" s="80"/>
      <c r="I203" s="80"/>
    </row>
    <row r="204" spans="8:9" x14ac:dyDescent="0.2">
      <c r="H204" s="80"/>
      <c r="I204" s="80"/>
    </row>
    <row r="205" spans="8:9" x14ac:dyDescent="0.2">
      <c r="H205" s="80"/>
      <c r="I205" s="80"/>
    </row>
    <row r="206" spans="8:9" x14ac:dyDescent="0.2">
      <c r="H206" s="80"/>
      <c r="I206" s="80"/>
    </row>
    <row r="207" spans="8:9" x14ac:dyDescent="0.2">
      <c r="H207" s="80"/>
      <c r="I207" s="80"/>
    </row>
    <row r="208" spans="8:9" x14ac:dyDescent="0.2">
      <c r="H208" s="80"/>
      <c r="I208" s="80"/>
    </row>
    <row r="209" spans="8:9" x14ac:dyDescent="0.2">
      <c r="H209" s="80"/>
      <c r="I209" s="80"/>
    </row>
    <row r="210" spans="8:9" x14ac:dyDescent="0.2">
      <c r="H210" s="80"/>
      <c r="I210" s="80"/>
    </row>
    <row r="211" spans="8:9" x14ac:dyDescent="0.2">
      <c r="H211" s="80"/>
      <c r="I211" s="80"/>
    </row>
    <row r="212" spans="8:9" x14ac:dyDescent="0.2">
      <c r="H212" s="80"/>
      <c r="I212" s="80"/>
    </row>
    <row r="213" spans="8:9" x14ac:dyDescent="0.2">
      <c r="H213" s="80"/>
      <c r="I213" s="80"/>
    </row>
    <row r="214" spans="8:9" x14ac:dyDescent="0.2">
      <c r="H214" s="80"/>
      <c r="I214" s="80"/>
    </row>
    <row r="215" spans="8:9" x14ac:dyDescent="0.2">
      <c r="H215" s="80"/>
      <c r="I215" s="80"/>
    </row>
    <row r="216" spans="8:9" x14ac:dyDescent="0.2">
      <c r="H216" s="80"/>
      <c r="I216" s="80"/>
    </row>
    <row r="217" spans="8:9" x14ac:dyDescent="0.2">
      <c r="H217" s="80"/>
      <c r="I217" s="80"/>
    </row>
    <row r="218" spans="8:9" x14ac:dyDescent="0.2">
      <c r="H218" s="80"/>
      <c r="I218" s="80"/>
    </row>
    <row r="219" spans="8:9" x14ac:dyDescent="0.2">
      <c r="H219" s="80"/>
      <c r="I219" s="80"/>
    </row>
    <row r="220" spans="8:9" x14ac:dyDescent="0.2">
      <c r="H220" s="80"/>
      <c r="I220" s="80"/>
    </row>
    <row r="221" spans="8:9" x14ac:dyDescent="0.2">
      <c r="H221" s="80"/>
      <c r="I221" s="80"/>
    </row>
    <row r="222" spans="8:9" x14ac:dyDescent="0.2">
      <c r="H222" s="80"/>
      <c r="I222" s="80"/>
    </row>
    <row r="223" spans="8:9" x14ac:dyDescent="0.2">
      <c r="H223" s="80"/>
      <c r="I223" s="80"/>
    </row>
    <row r="224" spans="8:9" x14ac:dyDescent="0.2">
      <c r="H224" s="80"/>
      <c r="I224" s="80"/>
    </row>
    <row r="225" spans="8:9" x14ac:dyDescent="0.2">
      <c r="H225" s="80"/>
      <c r="I225" s="80"/>
    </row>
    <row r="226" spans="8:9" x14ac:dyDescent="0.2">
      <c r="H226" s="80"/>
      <c r="I226" s="80"/>
    </row>
    <row r="227" spans="8:9" x14ac:dyDescent="0.2">
      <c r="H227" s="80"/>
      <c r="I227" s="80"/>
    </row>
    <row r="228" spans="8:9" x14ac:dyDescent="0.2">
      <c r="H228" s="80"/>
      <c r="I228" s="80"/>
    </row>
    <row r="229" spans="8:9" x14ac:dyDescent="0.2">
      <c r="H229" s="80"/>
      <c r="I229" s="80"/>
    </row>
    <row r="230" spans="8:9" x14ac:dyDescent="0.2">
      <c r="H230" s="80"/>
      <c r="I230" s="80"/>
    </row>
    <row r="231" spans="8:9" x14ac:dyDescent="0.2">
      <c r="H231" s="80"/>
      <c r="I231" s="80"/>
    </row>
    <row r="232" spans="8:9" x14ac:dyDescent="0.2">
      <c r="H232" s="80"/>
      <c r="I232" s="80"/>
    </row>
    <row r="233" spans="8:9" x14ac:dyDescent="0.2">
      <c r="H233" s="80"/>
      <c r="I233" s="80"/>
    </row>
    <row r="234" spans="8:9" x14ac:dyDescent="0.2">
      <c r="H234" s="80"/>
      <c r="I234" s="80"/>
    </row>
    <row r="235" spans="8:9" x14ac:dyDescent="0.2">
      <c r="H235" s="80"/>
      <c r="I235" s="80"/>
    </row>
    <row r="236" spans="8:9" x14ac:dyDescent="0.2">
      <c r="H236" s="80"/>
      <c r="I236" s="80"/>
    </row>
    <row r="237" spans="8:9" x14ac:dyDescent="0.2">
      <c r="H237" s="80"/>
      <c r="I237" s="80"/>
    </row>
    <row r="238" spans="8:9" x14ac:dyDescent="0.2">
      <c r="H238" s="80"/>
      <c r="I238" s="80"/>
    </row>
    <row r="239" spans="8:9" x14ac:dyDescent="0.2">
      <c r="H239" s="80"/>
      <c r="I239" s="80"/>
    </row>
    <row r="240" spans="8:9" x14ac:dyDescent="0.2">
      <c r="H240" s="80"/>
      <c r="I240" s="80"/>
    </row>
    <row r="241" spans="8:9" x14ac:dyDescent="0.2">
      <c r="H241" s="80"/>
      <c r="I241" s="80"/>
    </row>
    <row r="242" spans="8:9" x14ac:dyDescent="0.2">
      <c r="H242" s="80"/>
      <c r="I242" s="80"/>
    </row>
    <row r="243" spans="8:9" x14ac:dyDescent="0.2">
      <c r="H243" s="80"/>
      <c r="I243" s="80"/>
    </row>
    <row r="244" spans="8:9" x14ac:dyDescent="0.2">
      <c r="H244" s="80"/>
      <c r="I244" s="80"/>
    </row>
    <row r="245" spans="8:9" x14ac:dyDescent="0.2">
      <c r="H245" s="80"/>
      <c r="I245" s="80"/>
    </row>
    <row r="246" spans="8:9" x14ac:dyDescent="0.2">
      <c r="H246" s="80"/>
      <c r="I246" s="80"/>
    </row>
    <row r="247" spans="8:9" x14ac:dyDescent="0.2">
      <c r="H247" s="80"/>
      <c r="I247" s="80"/>
    </row>
    <row r="248" spans="8:9" x14ac:dyDescent="0.2">
      <c r="H248" s="80"/>
      <c r="I248" s="80"/>
    </row>
    <row r="249" spans="8:9" x14ac:dyDescent="0.2">
      <c r="H249" s="80"/>
      <c r="I249" s="80"/>
    </row>
    <row r="250" spans="8:9" x14ac:dyDescent="0.2">
      <c r="H250" s="80"/>
      <c r="I250" s="80"/>
    </row>
    <row r="251" spans="8:9" x14ac:dyDescent="0.2">
      <c r="H251" s="80"/>
      <c r="I251" s="80"/>
    </row>
    <row r="252" spans="8:9" x14ac:dyDescent="0.2">
      <c r="H252" s="80"/>
      <c r="I252" s="80"/>
    </row>
    <row r="253" spans="8:9" x14ac:dyDescent="0.2">
      <c r="H253" s="80"/>
      <c r="I253" s="80"/>
    </row>
    <row r="254" spans="8:9" x14ac:dyDescent="0.2">
      <c r="H254" s="80"/>
      <c r="I254" s="80"/>
    </row>
    <row r="255" spans="8:9" x14ac:dyDescent="0.2">
      <c r="H255" s="80"/>
      <c r="I255" s="80"/>
    </row>
    <row r="256" spans="8:9" x14ac:dyDescent="0.2">
      <c r="H256" s="80"/>
      <c r="I256" s="80"/>
    </row>
    <row r="257" spans="8:9" x14ac:dyDescent="0.2">
      <c r="H257" s="80"/>
      <c r="I257" s="80"/>
    </row>
    <row r="258" spans="8:9" x14ac:dyDescent="0.2">
      <c r="H258" s="80"/>
      <c r="I258" s="80"/>
    </row>
    <row r="259" spans="8:9" x14ac:dyDescent="0.2">
      <c r="H259" s="80"/>
      <c r="I259" s="80"/>
    </row>
    <row r="260" spans="8:9" x14ac:dyDescent="0.2">
      <c r="H260" s="80"/>
      <c r="I260" s="80"/>
    </row>
    <row r="261" spans="8:9" x14ac:dyDescent="0.2">
      <c r="H261" s="80"/>
      <c r="I261" s="80"/>
    </row>
    <row r="262" spans="8:9" x14ac:dyDescent="0.2">
      <c r="H262" s="80"/>
      <c r="I262" s="80"/>
    </row>
    <row r="263" spans="8:9" x14ac:dyDescent="0.2">
      <c r="H263" s="80"/>
      <c r="I263" s="80"/>
    </row>
    <row r="264" spans="8:9" x14ac:dyDescent="0.2">
      <c r="H264" s="80"/>
      <c r="I264" s="80"/>
    </row>
    <row r="265" spans="8:9" x14ac:dyDescent="0.2">
      <c r="H265" s="80"/>
      <c r="I265" s="80"/>
    </row>
    <row r="266" spans="8:9" x14ac:dyDescent="0.2">
      <c r="H266" s="80"/>
      <c r="I266" s="80"/>
    </row>
    <row r="267" spans="8:9" x14ac:dyDescent="0.2">
      <c r="H267" s="80"/>
      <c r="I267" s="80"/>
    </row>
    <row r="268" spans="8:9" x14ac:dyDescent="0.2">
      <c r="H268" s="80"/>
      <c r="I268" s="80"/>
    </row>
    <row r="269" spans="8:9" x14ac:dyDescent="0.2">
      <c r="H269" s="80"/>
      <c r="I269" s="80"/>
    </row>
    <row r="270" spans="8:9" x14ac:dyDescent="0.2">
      <c r="H270" s="80"/>
      <c r="I270" s="80"/>
    </row>
    <row r="271" spans="8:9" x14ac:dyDescent="0.2">
      <c r="H271" s="80"/>
      <c r="I271" s="80"/>
    </row>
    <row r="272" spans="8:9" x14ac:dyDescent="0.2">
      <c r="H272" s="80"/>
      <c r="I272" s="80"/>
    </row>
    <row r="273" spans="8:9" x14ac:dyDescent="0.2">
      <c r="H273" s="80"/>
      <c r="I273" s="80"/>
    </row>
    <row r="274" spans="8:9" x14ac:dyDescent="0.2">
      <c r="H274" s="80"/>
      <c r="I274" s="80"/>
    </row>
    <row r="275" spans="8:9" x14ac:dyDescent="0.2">
      <c r="H275" s="80"/>
      <c r="I275" s="80"/>
    </row>
    <row r="276" spans="8:9" x14ac:dyDescent="0.2">
      <c r="H276" s="80"/>
      <c r="I276" s="80"/>
    </row>
    <row r="277" spans="8:9" x14ac:dyDescent="0.2">
      <c r="H277" s="80"/>
      <c r="I277" s="80"/>
    </row>
    <row r="278" spans="8:9" x14ac:dyDescent="0.2">
      <c r="H278" s="80"/>
      <c r="I278" s="80"/>
    </row>
    <row r="279" spans="8:9" x14ac:dyDescent="0.2">
      <c r="H279" s="80"/>
      <c r="I279" s="80"/>
    </row>
    <row r="280" spans="8:9" x14ac:dyDescent="0.2">
      <c r="H280" s="80"/>
      <c r="I280" s="80"/>
    </row>
    <row r="281" spans="8:9" x14ac:dyDescent="0.2">
      <c r="H281" s="80"/>
      <c r="I281" s="80"/>
    </row>
    <row r="282" spans="8:9" x14ac:dyDescent="0.2">
      <c r="H282" s="80"/>
      <c r="I282" s="80"/>
    </row>
    <row r="283" spans="8:9" x14ac:dyDescent="0.2">
      <c r="H283" s="80"/>
      <c r="I283" s="80"/>
    </row>
    <row r="284" spans="8:9" x14ac:dyDescent="0.2">
      <c r="H284" s="80"/>
      <c r="I284" s="80"/>
    </row>
    <row r="285" spans="8:9" x14ac:dyDescent="0.2">
      <c r="H285" s="80"/>
      <c r="I285" s="80"/>
    </row>
    <row r="286" spans="8:9" x14ac:dyDescent="0.2">
      <c r="H286" s="80"/>
      <c r="I286" s="80"/>
    </row>
    <row r="287" spans="8:9" x14ac:dyDescent="0.2">
      <c r="H287" s="80"/>
      <c r="I287" s="80"/>
    </row>
    <row r="288" spans="8:9" x14ac:dyDescent="0.2">
      <c r="H288" s="80"/>
      <c r="I288" s="80"/>
    </row>
    <row r="289" spans="8:9" x14ac:dyDescent="0.2">
      <c r="H289" s="80"/>
      <c r="I289" s="80"/>
    </row>
    <row r="290" spans="8:9" x14ac:dyDescent="0.2">
      <c r="H290" s="80"/>
      <c r="I290" s="80"/>
    </row>
    <row r="291" spans="8:9" x14ac:dyDescent="0.2">
      <c r="H291" s="80"/>
      <c r="I291" s="80"/>
    </row>
    <row r="292" spans="8:9" x14ac:dyDescent="0.2">
      <c r="H292" s="80"/>
      <c r="I292" s="80"/>
    </row>
    <row r="293" spans="8:9" x14ac:dyDescent="0.2">
      <c r="H293" s="80"/>
      <c r="I293" s="80"/>
    </row>
    <row r="294" spans="8:9" x14ac:dyDescent="0.2">
      <c r="H294" s="80"/>
      <c r="I294" s="80"/>
    </row>
    <row r="295" spans="8:9" x14ac:dyDescent="0.2">
      <c r="H295" s="80"/>
      <c r="I295" s="80"/>
    </row>
    <row r="296" spans="8:9" x14ac:dyDescent="0.2">
      <c r="H296" s="80"/>
      <c r="I296" s="80"/>
    </row>
    <row r="297" spans="8:9" x14ac:dyDescent="0.2">
      <c r="H297" s="80"/>
      <c r="I297" s="80"/>
    </row>
    <row r="298" spans="8:9" x14ac:dyDescent="0.2">
      <c r="H298" s="80"/>
      <c r="I298" s="80"/>
    </row>
    <row r="299" spans="8:9" x14ac:dyDescent="0.2">
      <c r="H299" s="80"/>
      <c r="I299" s="80"/>
    </row>
    <row r="300" spans="8:9" x14ac:dyDescent="0.2">
      <c r="H300" s="80"/>
      <c r="I300" s="80"/>
    </row>
    <row r="301" spans="8:9" x14ac:dyDescent="0.2">
      <c r="H301" s="80"/>
      <c r="I301" s="80"/>
    </row>
    <row r="302" spans="8:9" x14ac:dyDescent="0.2">
      <c r="H302" s="80"/>
      <c r="I302" s="80"/>
    </row>
    <row r="303" spans="8:9" x14ac:dyDescent="0.2">
      <c r="H303" s="80"/>
      <c r="I303" s="80"/>
    </row>
    <row r="304" spans="8:9" x14ac:dyDescent="0.2">
      <c r="H304" s="80"/>
      <c r="I304" s="80"/>
    </row>
    <row r="305" spans="8:9" x14ac:dyDescent="0.2">
      <c r="H305" s="80"/>
      <c r="I305" s="80"/>
    </row>
    <row r="306" spans="8:9" x14ac:dyDescent="0.2">
      <c r="H306" s="80"/>
      <c r="I306" s="80"/>
    </row>
    <row r="307" spans="8:9" x14ac:dyDescent="0.2">
      <c r="H307" s="80"/>
      <c r="I307" s="80"/>
    </row>
    <row r="308" spans="8:9" x14ac:dyDescent="0.2">
      <c r="H308" s="80"/>
      <c r="I308" s="80"/>
    </row>
    <row r="309" spans="8:9" x14ac:dyDescent="0.2">
      <c r="H309" s="80"/>
      <c r="I309" s="80"/>
    </row>
    <row r="310" spans="8:9" x14ac:dyDescent="0.2">
      <c r="H310" s="80"/>
      <c r="I310" s="80"/>
    </row>
    <row r="311" spans="8:9" x14ac:dyDescent="0.2">
      <c r="H311" s="80"/>
      <c r="I311" s="80"/>
    </row>
    <row r="312" spans="8:9" x14ac:dyDescent="0.2">
      <c r="H312" s="80"/>
      <c r="I312" s="80"/>
    </row>
    <row r="313" spans="8:9" x14ac:dyDescent="0.2">
      <c r="H313" s="80"/>
      <c r="I313" s="80"/>
    </row>
    <row r="314" spans="8:9" x14ac:dyDescent="0.2">
      <c r="H314" s="80"/>
      <c r="I314" s="80"/>
    </row>
    <row r="315" spans="8:9" x14ac:dyDescent="0.2">
      <c r="H315" s="80"/>
      <c r="I315" s="80"/>
    </row>
    <row r="316" spans="8:9" x14ac:dyDescent="0.2">
      <c r="H316" s="80"/>
      <c r="I316" s="80"/>
    </row>
    <row r="317" spans="8:9" x14ac:dyDescent="0.2">
      <c r="H317" s="80"/>
      <c r="I317" s="80"/>
    </row>
    <row r="318" spans="8:9" x14ac:dyDescent="0.2">
      <c r="H318" s="80"/>
      <c r="I318" s="80"/>
    </row>
    <row r="319" spans="8:9" x14ac:dyDescent="0.2">
      <c r="H319" s="80"/>
      <c r="I319" s="80"/>
    </row>
    <row r="320" spans="8:9" x14ac:dyDescent="0.2">
      <c r="H320" s="80"/>
      <c r="I320" s="80"/>
    </row>
    <row r="321" spans="8:9" x14ac:dyDescent="0.2">
      <c r="H321" s="80"/>
      <c r="I321" s="80"/>
    </row>
    <row r="322" spans="8:9" x14ac:dyDescent="0.2">
      <c r="H322" s="80"/>
      <c r="I322" s="80"/>
    </row>
    <row r="323" spans="8:9" x14ac:dyDescent="0.2">
      <c r="H323" s="80"/>
      <c r="I323" s="80"/>
    </row>
    <row r="324" spans="8:9" x14ac:dyDescent="0.2">
      <c r="H324" s="80"/>
      <c r="I324" s="80"/>
    </row>
    <row r="325" spans="8:9" x14ac:dyDescent="0.2">
      <c r="H325" s="80"/>
      <c r="I325" s="80"/>
    </row>
    <row r="326" spans="8:9" x14ac:dyDescent="0.2">
      <c r="H326" s="80"/>
      <c r="I326" s="80"/>
    </row>
    <row r="327" spans="8:9" x14ac:dyDescent="0.2">
      <c r="H327" s="80"/>
      <c r="I327" s="80"/>
    </row>
    <row r="328" spans="8:9" x14ac:dyDescent="0.2">
      <c r="H328" s="80"/>
      <c r="I328" s="80"/>
    </row>
    <row r="329" spans="8:9" x14ac:dyDescent="0.2">
      <c r="H329" s="80"/>
      <c r="I329" s="80"/>
    </row>
    <row r="330" spans="8:9" x14ac:dyDescent="0.2">
      <c r="H330" s="80"/>
      <c r="I330" s="80"/>
    </row>
    <row r="331" spans="8:9" x14ac:dyDescent="0.2">
      <c r="H331" s="80"/>
      <c r="I331" s="80"/>
    </row>
    <row r="332" spans="8:9" x14ac:dyDescent="0.2">
      <c r="H332" s="80"/>
      <c r="I332" s="80"/>
    </row>
    <row r="333" spans="8:9" x14ac:dyDescent="0.2">
      <c r="H333" s="80"/>
      <c r="I333" s="80"/>
    </row>
    <row r="334" spans="8:9" x14ac:dyDescent="0.2">
      <c r="H334" s="80"/>
      <c r="I334" s="80"/>
    </row>
    <row r="335" spans="8:9" x14ac:dyDescent="0.2">
      <c r="H335" s="80"/>
      <c r="I335" s="80"/>
    </row>
    <row r="336" spans="8:9" x14ac:dyDescent="0.2">
      <c r="H336" s="80"/>
      <c r="I336" s="80"/>
    </row>
    <row r="337" spans="8:9" x14ac:dyDescent="0.2">
      <c r="H337" s="80"/>
      <c r="I337" s="80"/>
    </row>
    <row r="338" spans="8:9" x14ac:dyDescent="0.2">
      <c r="H338" s="80"/>
      <c r="I338" s="80"/>
    </row>
    <row r="339" spans="8:9" x14ac:dyDescent="0.2">
      <c r="H339" s="80"/>
      <c r="I339" s="80"/>
    </row>
    <row r="340" spans="8:9" x14ac:dyDescent="0.2">
      <c r="H340" s="80"/>
      <c r="I340" s="80"/>
    </row>
    <row r="341" spans="8:9" x14ac:dyDescent="0.2">
      <c r="H341" s="80"/>
      <c r="I341" s="80"/>
    </row>
    <row r="342" spans="8:9" x14ac:dyDescent="0.2">
      <c r="H342" s="80"/>
      <c r="I342" s="80"/>
    </row>
    <row r="343" spans="8:9" x14ac:dyDescent="0.2">
      <c r="H343" s="80"/>
      <c r="I343" s="80"/>
    </row>
    <row r="344" spans="8:9" x14ac:dyDescent="0.2">
      <c r="H344" s="80"/>
      <c r="I344" s="80"/>
    </row>
    <row r="345" spans="8:9" x14ac:dyDescent="0.2">
      <c r="H345" s="80"/>
      <c r="I345" s="80"/>
    </row>
    <row r="346" spans="8:9" x14ac:dyDescent="0.2">
      <c r="H346" s="80"/>
      <c r="I346" s="80"/>
    </row>
    <row r="347" spans="8:9" x14ac:dyDescent="0.2">
      <c r="H347" s="80"/>
      <c r="I347" s="80"/>
    </row>
    <row r="348" spans="8:9" x14ac:dyDescent="0.2">
      <c r="H348" s="80"/>
      <c r="I348" s="80"/>
    </row>
    <row r="349" spans="8:9" x14ac:dyDescent="0.2">
      <c r="H349" s="80"/>
      <c r="I349" s="80"/>
    </row>
    <row r="350" spans="8:9" x14ac:dyDescent="0.2">
      <c r="H350" s="80"/>
      <c r="I350" s="80"/>
    </row>
    <row r="351" spans="8:9" x14ac:dyDescent="0.2">
      <c r="H351" s="80"/>
      <c r="I351" s="80"/>
    </row>
    <row r="352" spans="8:9" x14ac:dyDescent="0.2">
      <c r="H352" s="80"/>
      <c r="I352" s="80"/>
    </row>
    <row r="353" spans="8:9" x14ac:dyDescent="0.2">
      <c r="H353" s="80"/>
      <c r="I353" s="80"/>
    </row>
    <row r="354" spans="8:9" x14ac:dyDescent="0.2">
      <c r="H354" s="80"/>
      <c r="I354" s="80"/>
    </row>
    <row r="355" spans="8:9" x14ac:dyDescent="0.2">
      <c r="H355" s="80"/>
      <c r="I355" s="80"/>
    </row>
    <row r="356" spans="8:9" x14ac:dyDescent="0.2">
      <c r="H356" s="80"/>
      <c r="I356" s="80"/>
    </row>
    <row r="357" spans="8:9" x14ac:dyDescent="0.2">
      <c r="H357" s="80"/>
      <c r="I357" s="80"/>
    </row>
    <row r="358" spans="8:9" x14ac:dyDescent="0.2">
      <c r="H358" s="80"/>
      <c r="I358" s="80"/>
    </row>
    <row r="359" spans="8:9" x14ac:dyDescent="0.2">
      <c r="H359" s="80"/>
      <c r="I359" s="80"/>
    </row>
    <row r="360" spans="8:9" x14ac:dyDescent="0.2">
      <c r="H360" s="80"/>
      <c r="I360" s="80"/>
    </row>
    <row r="361" spans="8:9" x14ac:dyDescent="0.2">
      <c r="H361" s="80"/>
      <c r="I361" s="80"/>
    </row>
    <row r="362" spans="8:9" x14ac:dyDescent="0.2">
      <c r="H362" s="80"/>
      <c r="I362" s="80"/>
    </row>
    <row r="363" spans="8:9" x14ac:dyDescent="0.2">
      <c r="H363" s="80"/>
      <c r="I363" s="80"/>
    </row>
    <row r="364" spans="8:9" x14ac:dyDescent="0.2">
      <c r="H364" s="80"/>
      <c r="I364" s="80"/>
    </row>
    <row r="365" spans="8:9" x14ac:dyDescent="0.2">
      <c r="H365" s="80"/>
      <c r="I365" s="80"/>
    </row>
    <row r="366" spans="8:9" x14ac:dyDescent="0.2">
      <c r="H366" s="80"/>
      <c r="I366" s="80"/>
    </row>
    <row r="367" spans="8:9" x14ac:dyDescent="0.2">
      <c r="H367" s="80"/>
      <c r="I367" s="80"/>
    </row>
    <row r="368" spans="8:9" x14ac:dyDescent="0.2">
      <c r="H368" s="80"/>
      <c r="I368" s="80"/>
    </row>
    <row r="369" spans="8:9" x14ac:dyDescent="0.2">
      <c r="H369" s="80"/>
      <c r="I369" s="80"/>
    </row>
    <row r="370" spans="8:9" x14ac:dyDescent="0.2">
      <c r="H370" s="80"/>
      <c r="I370" s="80"/>
    </row>
    <row r="371" spans="8:9" x14ac:dyDescent="0.2">
      <c r="H371" s="80"/>
      <c r="I371" s="80"/>
    </row>
    <row r="372" spans="8:9" x14ac:dyDescent="0.2">
      <c r="H372" s="80"/>
      <c r="I372" s="80"/>
    </row>
    <row r="373" spans="8:9" x14ac:dyDescent="0.2">
      <c r="H373" s="80"/>
      <c r="I373" s="80"/>
    </row>
    <row r="374" spans="8:9" x14ac:dyDescent="0.2">
      <c r="H374" s="80"/>
      <c r="I374" s="80"/>
    </row>
    <row r="375" spans="8:9" x14ac:dyDescent="0.2">
      <c r="H375" s="80"/>
      <c r="I375" s="80"/>
    </row>
    <row r="376" spans="8:9" x14ac:dyDescent="0.2">
      <c r="H376" s="80"/>
      <c r="I376" s="80"/>
    </row>
    <row r="377" spans="8:9" x14ac:dyDescent="0.2">
      <c r="H377" s="80"/>
      <c r="I377" s="80"/>
    </row>
    <row r="378" spans="8:9" x14ac:dyDescent="0.2">
      <c r="H378" s="80"/>
      <c r="I378" s="80"/>
    </row>
    <row r="379" spans="8:9" x14ac:dyDescent="0.2">
      <c r="H379" s="80"/>
      <c r="I379" s="80"/>
    </row>
    <row r="380" spans="8:9" x14ac:dyDescent="0.2">
      <c r="H380" s="80"/>
      <c r="I380" s="80"/>
    </row>
    <row r="381" spans="8:9" x14ac:dyDescent="0.2">
      <c r="H381" s="80"/>
      <c r="I381" s="80"/>
    </row>
    <row r="382" spans="8:9" x14ac:dyDescent="0.2">
      <c r="H382" s="80"/>
      <c r="I382" s="80"/>
    </row>
    <row r="383" spans="8:9" x14ac:dyDescent="0.2">
      <c r="H383" s="80"/>
      <c r="I383" s="80"/>
    </row>
    <row r="384" spans="8:9" x14ac:dyDescent="0.2">
      <c r="H384" s="80"/>
      <c r="I384" s="80"/>
    </row>
    <row r="385" spans="8:9" x14ac:dyDescent="0.2">
      <c r="H385" s="80"/>
      <c r="I385" s="80"/>
    </row>
    <row r="386" spans="8:9" x14ac:dyDescent="0.2">
      <c r="H386" s="80"/>
      <c r="I386" s="80"/>
    </row>
    <row r="387" spans="8:9" x14ac:dyDescent="0.2">
      <c r="H387" s="80"/>
      <c r="I387" s="80"/>
    </row>
    <row r="388" spans="8:9" x14ac:dyDescent="0.2">
      <c r="H388" s="80"/>
      <c r="I388" s="80"/>
    </row>
    <row r="389" spans="8:9" x14ac:dyDescent="0.2">
      <c r="H389" s="80"/>
      <c r="I389" s="80"/>
    </row>
    <row r="390" spans="8:9" x14ac:dyDescent="0.2">
      <c r="H390" s="80"/>
      <c r="I390" s="80"/>
    </row>
    <row r="391" spans="8:9" x14ac:dyDescent="0.2">
      <c r="H391" s="80"/>
      <c r="I391" s="80"/>
    </row>
    <row r="392" spans="8:9" x14ac:dyDescent="0.2">
      <c r="H392" s="80"/>
      <c r="I392" s="80"/>
    </row>
    <row r="393" spans="8:9" x14ac:dyDescent="0.2">
      <c r="H393" s="80"/>
      <c r="I393" s="80"/>
    </row>
    <row r="394" spans="8:9" x14ac:dyDescent="0.2">
      <c r="H394" s="80"/>
      <c r="I394" s="80"/>
    </row>
    <row r="395" spans="8:9" x14ac:dyDescent="0.2">
      <c r="H395" s="80"/>
      <c r="I395" s="80"/>
    </row>
    <row r="396" spans="8:9" x14ac:dyDescent="0.2">
      <c r="H396" s="80"/>
      <c r="I396" s="80"/>
    </row>
    <row r="397" spans="8:9" x14ac:dyDescent="0.2">
      <c r="H397" s="80"/>
      <c r="I397" s="80"/>
    </row>
    <row r="398" spans="8:9" x14ac:dyDescent="0.2">
      <c r="H398" s="80"/>
      <c r="I398" s="80"/>
    </row>
    <row r="399" spans="8:9" x14ac:dyDescent="0.2">
      <c r="H399" s="80"/>
      <c r="I399" s="80"/>
    </row>
    <row r="400" spans="8:9" x14ac:dyDescent="0.2">
      <c r="H400" s="80"/>
      <c r="I400" s="80"/>
    </row>
    <row r="401" spans="8:9" x14ac:dyDescent="0.2">
      <c r="H401" s="80"/>
      <c r="I401" s="80"/>
    </row>
    <row r="402" spans="8:9" x14ac:dyDescent="0.2">
      <c r="H402" s="80"/>
      <c r="I402" s="80"/>
    </row>
    <row r="403" spans="8:9" x14ac:dyDescent="0.2">
      <c r="H403" s="80"/>
      <c r="I403" s="80"/>
    </row>
    <row r="404" spans="8:9" x14ac:dyDescent="0.2">
      <c r="H404" s="80"/>
      <c r="I404" s="80"/>
    </row>
    <row r="405" spans="8:9" x14ac:dyDescent="0.2">
      <c r="H405" s="80"/>
      <c r="I405" s="80"/>
    </row>
    <row r="406" spans="8:9" x14ac:dyDescent="0.2">
      <c r="H406" s="80"/>
      <c r="I406" s="80"/>
    </row>
    <row r="407" spans="8:9" x14ac:dyDescent="0.2">
      <c r="H407" s="80"/>
      <c r="I407" s="80"/>
    </row>
    <row r="408" spans="8:9" x14ac:dyDescent="0.2">
      <c r="H408" s="80"/>
      <c r="I408" s="80"/>
    </row>
    <row r="409" spans="8:9" x14ac:dyDescent="0.2">
      <c r="H409" s="80"/>
      <c r="I409" s="80"/>
    </row>
    <row r="410" spans="8:9" x14ac:dyDescent="0.2">
      <c r="H410" s="80"/>
      <c r="I410" s="80"/>
    </row>
    <row r="411" spans="8:9" x14ac:dyDescent="0.2">
      <c r="H411" s="80"/>
      <c r="I411" s="80"/>
    </row>
    <row r="412" spans="8:9" x14ac:dyDescent="0.2">
      <c r="H412" s="80"/>
      <c r="I412" s="80"/>
    </row>
    <row r="413" spans="8:9" x14ac:dyDescent="0.2">
      <c r="H413" s="80"/>
      <c r="I413" s="80"/>
    </row>
    <row r="414" spans="8:9" x14ac:dyDescent="0.2">
      <c r="H414" s="80"/>
      <c r="I414" s="80"/>
    </row>
    <row r="415" spans="8:9" x14ac:dyDescent="0.2">
      <c r="H415" s="80"/>
      <c r="I415" s="80"/>
    </row>
    <row r="416" spans="8:9" x14ac:dyDescent="0.2">
      <c r="H416" s="80"/>
      <c r="I416" s="80"/>
    </row>
    <row r="417" spans="8:9" x14ac:dyDescent="0.2">
      <c r="H417" s="80"/>
      <c r="I417" s="80"/>
    </row>
    <row r="418" spans="8:9" x14ac:dyDescent="0.2">
      <c r="H418" s="80"/>
      <c r="I418" s="80"/>
    </row>
    <row r="419" spans="8:9" x14ac:dyDescent="0.2">
      <c r="H419" s="80"/>
      <c r="I419" s="80"/>
    </row>
    <row r="420" spans="8:9" x14ac:dyDescent="0.2">
      <c r="H420" s="80"/>
      <c r="I420" s="80"/>
    </row>
    <row r="421" spans="8:9" x14ac:dyDescent="0.2">
      <c r="H421" s="80"/>
      <c r="I421" s="80"/>
    </row>
    <row r="422" spans="8:9" x14ac:dyDescent="0.2">
      <c r="H422" s="80"/>
      <c r="I422" s="80"/>
    </row>
    <row r="423" spans="8:9" x14ac:dyDescent="0.2">
      <c r="H423" s="80"/>
      <c r="I423" s="80"/>
    </row>
    <row r="424" spans="8:9" x14ac:dyDescent="0.2">
      <c r="H424" s="80"/>
      <c r="I424" s="80"/>
    </row>
    <row r="425" spans="8:9" x14ac:dyDescent="0.2">
      <c r="H425" s="80"/>
      <c r="I425" s="80"/>
    </row>
    <row r="426" spans="8:9" x14ac:dyDescent="0.2">
      <c r="H426" s="80"/>
      <c r="I426" s="80"/>
    </row>
    <row r="427" spans="8:9" x14ac:dyDescent="0.2">
      <c r="H427" s="80"/>
      <c r="I427" s="80"/>
    </row>
    <row r="428" spans="8:9" x14ac:dyDescent="0.2">
      <c r="H428" s="80"/>
      <c r="I428" s="80"/>
    </row>
    <row r="429" spans="8:9" x14ac:dyDescent="0.2">
      <c r="H429" s="80"/>
      <c r="I429" s="80"/>
    </row>
    <row r="430" spans="8:9" x14ac:dyDescent="0.2">
      <c r="H430" s="80"/>
      <c r="I430" s="80"/>
    </row>
    <row r="431" spans="8:9" x14ac:dyDescent="0.2">
      <c r="H431" s="80"/>
      <c r="I431" s="80"/>
    </row>
    <row r="432" spans="8:9" x14ac:dyDescent="0.2">
      <c r="H432" s="80"/>
      <c r="I432" s="80"/>
    </row>
    <row r="433" spans="8:9" x14ac:dyDescent="0.2">
      <c r="H433" s="80"/>
      <c r="I433" s="80"/>
    </row>
    <row r="434" spans="8:9" x14ac:dyDescent="0.2">
      <c r="H434" s="80"/>
      <c r="I434" s="80"/>
    </row>
    <row r="435" spans="8:9" x14ac:dyDescent="0.2">
      <c r="H435" s="80"/>
      <c r="I435" s="80"/>
    </row>
    <row r="436" spans="8:9" x14ac:dyDescent="0.2">
      <c r="H436" s="80"/>
      <c r="I436" s="80"/>
    </row>
    <row r="437" spans="8:9" x14ac:dyDescent="0.2">
      <c r="H437" s="80"/>
      <c r="I437" s="80"/>
    </row>
    <row r="438" spans="8:9" x14ac:dyDescent="0.2">
      <c r="H438" s="80"/>
      <c r="I438" s="80"/>
    </row>
    <row r="439" spans="8:9" x14ac:dyDescent="0.2">
      <c r="H439" s="80"/>
      <c r="I439" s="80"/>
    </row>
    <row r="440" spans="8:9" x14ac:dyDescent="0.2">
      <c r="H440" s="80"/>
      <c r="I440" s="80"/>
    </row>
    <row r="441" spans="8:9" x14ac:dyDescent="0.2">
      <c r="H441" s="80"/>
      <c r="I441" s="80"/>
    </row>
    <row r="442" spans="8:9" x14ac:dyDescent="0.2">
      <c r="H442" s="80"/>
      <c r="I442" s="80"/>
    </row>
    <row r="443" spans="8:9" x14ac:dyDescent="0.2">
      <c r="H443" s="80"/>
      <c r="I443" s="80"/>
    </row>
    <row r="444" spans="8:9" x14ac:dyDescent="0.2">
      <c r="H444" s="80"/>
      <c r="I444" s="80"/>
    </row>
    <row r="445" spans="8:9" x14ac:dyDescent="0.2">
      <c r="H445" s="80"/>
      <c r="I445" s="80"/>
    </row>
    <row r="446" spans="8:9" x14ac:dyDescent="0.2">
      <c r="H446" s="80"/>
      <c r="I446" s="80"/>
    </row>
    <row r="447" spans="8:9" x14ac:dyDescent="0.2">
      <c r="H447" s="80"/>
      <c r="I447" s="80"/>
    </row>
    <row r="448" spans="8:9" x14ac:dyDescent="0.2">
      <c r="H448" s="80"/>
      <c r="I448" s="80"/>
    </row>
    <row r="449" spans="8:9" x14ac:dyDescent="0.2">
      <c r="H449" s="80"/>
      <c r="I449" s="80"/>
    </row>
    <row r="450" spans="8:9" x14ac:dyDescent="0.2">
      <c r="H450" s="80"/>
      <c r="I450" s="80"/>
    </row>
    <row r="451" spans="8:9" x14ac:dyDescent="0.2">
      <c r="H451" s="80"/>
      <c r="I451" s="80"/>
    </row>
    <row r="452" spans="8:9" x14ac:dyDescent="0.2">
      <c r="H452" s="80"/>
      <c r="I452" s="80"/>
    </row>
    <row r="453" spans="8:9" x14ac:dyDescent="0.2">
      <c r="H453" s="80"/>
      <c r="I453" s="80"/>
    </row>
    <row r="454" spans="8:9" x14ac:dyDescent="0.2">
      <c r="H454" s="80"/>
      <c r="I454" s="80"/>
    </row>
    <row r="455" spans="8:9" x14ac:dyDescent="0.2">
      <c r="H455" s="80"/>
      <c r="I455" s="80"/>
    </row>
    <row r="456" spans="8:9" x14ac:dyDescent="0.2">
      <c r="H456" s="80"/>
      <c r="I456" s="80"/>
    </row>
    <row r="457" spans="8:9" x14ac:dyDescent="0.2">
      <c r="H457" s="80"/>
      <c r="I457" s="80"/>
    </row>
    <row r="458" spans="8:9" x14ac:dyDescent="0.2">
      <c r="H458" s="80"/>
      <c r="I458" s="80"/>
    </row>
    <row r="459" spans="8:9" x14ac:dyDescent="0.2">
      <c r="H459" s="80"/>
      <c r="I459" s="80"/>
    </row>
    <row r="460" spans="8:9" x14ac:dyDescent="0.2">
      <c r="H460" s="80"/>
      <c r="I460" s="80"/>
    </row>
    <row r="461" spans="8:9" x14ac:dyDescent="0.2">
      <c r="H461" s="80"/>
      <c r="I461" s="80"/>
    </row>
    <row r="462" spans="8:9" x14ac:dyDescent="0.2">
      <c r="H462" s="80"/>
      <c r="I462" s="80"/>
    </row>
    <row r="463" spans="8:9" x14ac:dyDescent="0.2">
      <c r="H463" s="80"/>
      <c r="I463" s="80"/>
    </row>
    <row r="464" spans="8:9" x14ac:dyDescent="0.2">
      <c r="H464" s="80"/>
      <c r="I464" s="80"/>
    </row>
    <row r="465" spans="8:9" x14ac:dyDescent="0.2">
      <c r="H465" s="80"/>
      <c r="I465" s="80"/>
    </row>
    <row r="466" spans="8:9" x14ac:dyDescent="0.2">
      <c r="H466" s="80"/>
      <c r="I466" s="80"/>
    </row>
    <row r="467" spans="8:9" x14ac:dyDescent="0.2">
      <c r="H467" s="80"/>
      <c r="I467" s="80"/>
    </row>
    <row r="468" spans="8:9" x14ac:dyDescent="0.2">
      <c r="H468" s="80"/>
      <c r="I468" s="80"/>
    </row>
    <row r="469" spans="8:9" x14ac:dyDescent="0.2">
      <c r="H469" s="80"/>
      <c r="I469" s="80"/>
    </row>
    <row r="470" spans="8:9" x14ac:dyDescent="0.2">
      <c r="H470" s="80"/>
      <c r="I470" s="80"/>
    </row>
    <row r="471" spans="8:9" x14ac:dyDescent="0.2">
      <c r="H471" s="80"/>
      <c r="I471" s="80"/>
    </row>
    <row r="472" spans="8:9" x14ac:dyDescent="0.2">
      <c r="H472" s="80"/>
      <c r="I472" s="80"/>
    </row>
    <row r="473" spans="8:9" x14ac:dyDescent="0.2">
      <c r="H473" s="80"/>
      <c r="I473" s="80"/>
    </row>
    <row r="474" spans="8:9" x14ac:dyDescent="0.2">
      <c r="H474" s="80"/>
      <c r="I474" s="80"/>
    </row>
    <row r="475" spans="8:9" x14ac:dyDescent="0.2">
      <c r="H475" s="80"/>
      <c r="I475" s="80"/>
    </row>
    <row r="476" spans="8:9" x14ac:dyDescent="0.2">
      <c r="H476" s="80"/>
      <c r="I476" s="80"/>
    </row>
    <row r="477" spans="8:9" x14ac:dyDescent="0.2">
      <c r="H477" s="80"/>
      <c r="I477" s="80"/>
    </row>
    <row r="478" spans="8:9" x14ac:dyDescent="0.2">
      <c r="H478" s="80"/>
      <c r="I478" s="80"/>
    </row>
    <row r="479" spans="8:9" x14ac:dyDescent="0.2">
      <c r="H479" s="80"/>
      <c r="I479" s="80"/>
    </row>
    <row r="480" spans="8:9" x14ac:dyDescent="0.2">
      <c r="H480" s="80"/>
      <c r="I480" s="80"/>
    </row>
    <row r="481" spans="8:9" x14ac:dyDescent="0.2">
      <c r="H481" s="80"/>
      <c r="I481" s="80"/>
    </row>
    <row r="482" spans="8:9" x14ac:dyDescent="0.2">
      <c r="H482" s="80"/>
      <c r="I482" s="80"/>
    </row>
    <row r="483" spans="8:9" x14ac:dyDescent="0.2">
      <c r="H483" s="80"/>
      <c r="I483" s="80"/>
    </row>
    <row r="484" spans="8:9" x14ac:dyDescent="0.2">
      <c r="H484" s="80"/>
      <c r="I484" s="80"/>
    </row>
    <row r="485" spans="8:9" x14ac:dyDescent="0.2">
      <c r="H485" s="80"/>
      <c r="I485" s="80"/>
    </row>
    <row r="486" spans="8:9" x14ac:dyDescent="0.2">
      <c r="H486" s="80"/>
      <c r="I486" s="80"/>
    </row>
    <row r="487" spans="8:9" x14ac:dyDescent="0.2">
      <c r="H487" s="80"/>
      <c r="I487" s="80"/>
    </row>
    <row r="488" spans="8:9" x14ac:dyDescent="0.2">
      <c r="H488" s="80"/>
      <c r="I488" s="80"/>
    </row>
    <row r="489" spans="8:9" x14ac:dyDescent="0.2">
      <c r="H489" s="80"/>
      <c r="I489" s="80"/>
    </row>
    <row r="490" spans="8:9" x14ac:dyDescent="0.2">
      <c r="H490" s="80"/>
      <c r="I490" s="80"/>
    </row>
    <row r="491" spans="8:9" x14ac:dyDescent="0.2">
      <c r="H491" s="80"/>
      <c r="I491" s="80"/>
    </row>
    <row r="492" spans="8:9" x14ac:dyDescent="0.2">
      <c r="H492" s="80"/>
      <c r="I492" s="80"/>
    </row>
    <row r="493" spans="8:9" x14ac:dyDescent="0.2">
      <c r="H493" s="80"/>
      <c r="I493" s="80"/>
    </row>
    <row r="494" spans="8:9" x14ac:dyDescent="0.2">
      <c r="H494" s="80"/>
      <c r="I494" s="80"/>
    </row>
    <row r="495" spans="8:9" x14ac:dyDescent="0.2">
      <c r="H495" s="80"/>
      <c r="I495" s="80"/>
    </row>
    <row r="496" spans="8:9" x14ac:dyDescent="0.2">
      <c r="H496" s="80"/>
      <c r="I496" s="80"/>
    </row>
    <row r="497" spans="8:9" x14ac:dyDescent="0.2">
      <c r="H497" s="80"/>
      <c r="I497" s="80"/>
    </row>
    <row r="498" spans="8:9" x14ac:dyDescent="0.2">
      <c r="H498" s="80"/>
      <c r="I498" s="80"/>
    </row>
    <row r="499" spans="8:9" x14ac:dyDescent="0.2">
      <c r="H499" s="80"/>
      <c r="I499" s="80"/>
    </row>
    <row r="500" spans="8:9" x14ac:dyDescent="0.2">
      <c r="H500" s="80"/>
      <c r="I500" s="80"/>
    </row>
    <row r="501" spans="8:9" x14ac:dyDescent="0.2">
      <c r="H501" s="80"/>
      <c r="I501" s="80"/>
    </row>
    <row r="502" spans="8:9" x14ac:dyDescent="0.2">
      <c r="H502" s="80"/>
      <c r="I502" s="80"/>
    </row>
    <row r="503" spans="8:9" x14ac:dyDescent="0.2">
      <c r="H503" s="80"/>
      <c r="I503" s="80"/>
    </row>
    <row r="504" spans="8:9" x14ac:dyDescent="0.2">
      <c r="H504" s="80"/>
      <c r="I504" s="80"/>
    </row>
    <row r="505" spans="8:9" x14ac:dyDescent="0.2">
      <c r="H505" s="80"/>
      <c r="I505" s="80"/>
    </row>
    <row r="506" spans="8:9" x14ac:dyDescent="0.2">
      <c r="H506" s="80"/>
      <c r="I506" s="80"/>
    </row>
    <row r="507" spans="8:9" x14ac:dyDescent="0.2">
      <c r="H507" s="80"/>
      <c r="I507" s="80"/>
    </row>
    <row r="508" spans="8:9" x14ac:dyDescent="0.2">
      <c r="H508" s="80"/>
      <c r="I508" s="80"/>
    </row>
    <row r="509" spans="8:9" x14ac:dyDescent="0.2">
      <c r="H509" s="80"/>
      <c r="I509" s="80"/>
    </row>
    <row r="510" spans="8:9" x14ac:dyDescent="0.2">
      <c r="H510" s="80"/>
      <c r="I510" s="80"/>
    </row>
    <row r="511" spans="8:9" x14ac:dyDescent="0.2">
      <c r="H511" s="80"/>
      <c r="I511" s="80"/>
    </row>
    <row r="512" spans="8:9" x14ac:dyDescent="0.2">
      <c r="H512" s="80"/>
      <c r="I512" s="80"/>
    </row>
    <row r="513" spans="8:9" x14ac:dyDescent="0.2">
      <c r="H513" s="80"/>
      <c r="I513" s="80"/>
    </row>
    <row r="514" spans="8:9" x14ac:dyDescent="0.2">
      <c r="H514" s="80"/>
      <c r="I514" s="80"/>
    </row>
    <row r="515" spans="8:9" x14ac:dyDescent="0.2">
      <c r="H515" s="80"/>
      <c r="I515" s="80"/>
    </row>
    <row r="516" spans="8:9" x14ac:dyDescent="0.2">
      <c r="H516" s="80"/>
      <c r="I516" s="80"/>
    </row>
    <row r="517" spans="8:9" x14ac:dyDescent="0.2">
      <c r="H517" s="80"/>
      <c r="I517" s="80"/>
    </row>
    <row r="518" spans="8:9" x14ac:dyDescent="0.2">
      <c r="H518" s="80"/>
      <c r="I518" s="80"/>
    </row>
    <row r="519" spans="8:9" x14ac:dyDescent="0.2">
      <c r="H519" s="80"/>
      <c r="I519" s="80"/>
    </row>
    <row r="520" spans="8:9" x14ac:dyDescent="0.2">
      <c r="H520" s="80"/>
      <c r="I520" s="80"/>
    </row>
    <row r="521" spans="8:9" x14ac:dyDescent="0.2">
      <c r="H521" s="80"/>
      <c r="I521" s="80"/>
    </row>
    <row r="522" spans="8:9" x14ac:dyDescent="0.2">
      <c r="H522" s="80"/>
      <c r="I522" s="80"/>
    </row>
    <row r="523" spans="8:9" x14ac:dyDescent="0.2">
      <c r="H523" s="80"/>
      <c r="I523" s="80"/>
    </row>
    <row r="524" spans="8:9" x14ac:dyDescent="0.2">
      <c r="H524" s="80"/>
      <c r="I524" s="80"/>
    </row>
    <row r="525" spans="8:9" x14ac:dyDescent="0.2">
      <c r="H525" s="80"/>
      <c r="I525" s="80"/>
    </row>
    <row r="526" spans="8:9" x14ac:dyDescent="0.2">
      <c r="H526" s="80"/>
      <c r="I526" s="80"/>
    </row>
    <row r="527" spans="8:9" x14ac:dyDescent="0.2">
      <c r="H527" s="80"/>
      <c r="I527" s="80"/>
    </row>
    <row r="528" spans="8:9" x14ac:dyDescent="0.2">
      <c r="H528" s="80"/>
      <c r="I528" s="80"/>
    </row>
    <row r="529" spans="8:9" x14ac:dyDescent="0.2">
      <c r="H529" s="80"/>
      <c r="I529" s="80"/>
    </row>
    <row r="530" spans="8:9" x14ac:dyDescent="0.2">
      <c r="H530" s="80"/>
      <c r="I530" s="80"/>
    </row>
    <row r="531" spans="8:9" x14ac:dyDescent="0.2">
      <c r="H531" s="80"/>
      <c r="I531" s="80"/>
    </row>
    <row r="532" spans="8:9" x14ac:dyDescent="0.2">
      <c r="H532" s="80"/>
      <c r="I532" s="80"/>
    </row>
    <row r="533" spans="8:9" x14ac:dyDescent="0.2">
      <c r="H533" s="80"/>
      <c r="I533" s="80"/>
    </row>
    <row r="534" spans="8:9" x14ac:dyDescent="0.2">
      <c r="H534" s="80"/>
      <c r="I534" s="80"/>
    </row>
    <row r="535" spans="8:9" x14ac:dyDescent="0.2">
      <c r="H535" s="80"/>
      <c r="I535" s="80"/>
    </row>
    <row r="536" spans="8:9" x14ac:dyDescent="0.2">
      <c r="H536" s="80"/>
      <c r="I536" s="80"/>
    </row>
    <row r="537" spans="8:9" x14ac:dyDescent="0.2">
      <c r="H537" s="80"/>
      <c r="I537" s="80"/>
    </row>
    <row r="538" spans="8:9" x14ac:dyDescent="0.2">
      <c r="H538" s="80"/>
      <c r="I538" s="80"/>
    </row>
    <row r="539" spans="8:9" x14ac:dyDescent="0.2">
      <c r="H539" s="80"/>
      <c r="I539" s="80"/>
    </row>
    <row r="540" spans="8:9" x14ac:dyDescent="0.2">
      <c r="H540" s="80"/>
      <c r="I540" s="80"/>
    </row>
    <row r="541" spans="8:9" x14ac:dyDescent="0.2">
      <c r="H541" s="80"/>
      <c r="I541" s="80"/>
    </row>
    <row r="542" spans="8:9" x14ac:dyDescent="0.2">
      <c r="H542" s="80"/>
      <c r="I542" s="80"/>
    </row>
    <row r="543" spans="8:9" x14ac:dyDescent="0.2">
      <c r="H543" s="80"/>
      <c r="I543" s="80"/>
    </row>
    <row r="544" spans="8:9" x14ac:dyDescent="0.2">
      <c r="H544" s="80"/>
      <c r="I544" s="80"/>
    </row>
    <row r="545" spans="8:9" x14ac:dyDescent="0.2">
      <c r="H545" s="80"/>
      <c r="I545" s="80"/>
    </row>
    <row r="546" spans="8:9" x14ac:dyDescent="0.2">
      <c r="H546" s="80"/>
      <c r="I546" s="80"/>
    </row>
    <row r="547" spans="8:9" x14ac:dyDescent="0.2">
      <c r="H547" s="80"/>
      <c r="I547" s="80"/>
    </row>
    <row r="548" spans="8:9" x14ac:dyDescent="0.2">
      <c r="H548" s="80"/>
      <c r="I548" s="80"/>
    </row>
    <row r="549" spans="8:9" x14ac:dyDescent="0.2">
      <c r="H549" s="80"/>
      <c r="I549" s="80"/>
    </row>
    <row r="550" spans="8:9" x14ac:dyDescent="0.2">
      <c r="H550" s="80"/>
      <c r="I550" s="80"/>
    </row>
    <row r="551" spans="8:9" x14ac:dyDescent="0.2">
      <c r="H551" s="80"/>
      <c r="I551" s="80"/>
    </row>
    <row r="552" spans="8:9" x14ac:dyDescent="0.2">
      <c r="H552" s="80"/>
      <c r="I552" s="80"/>
    </row>
    <row r="553" spans="8:9" x14ac:dyDescent="0.2">
      <c r="H553" s="80"/>
      <c r="I553" s="80"/>
    </row>
    <row r="554" spans="8:9" x14ac:dyDescent="0.2">
      <c r="H554" s="80"/>
      <c r="I554" s="80"/>
    </row>
    <row r="555" spans="8:9" x14ac:dyDescent="0.2">
      <c r="H555" s="80"/>
      <c r="I555" s="80"/>
    </row>
    <row r="556" spans="8:9" x14ac:dyDescent="0.2">
      <c r="H556" s="80"/>
      <c r="I556" s="80"/>
    </row>
    <row r="557" spans="8:9" x14ac:dyDescent="0.2">
      <c r="H557" s="80"/>
      <c r="I557" s="80"/>
    </row>
    <row r="558" spans="8:9" x14ac:dyDescent="0.2">
      <c r="H558" s="80"/>
      <c r="I558" s="80"/>
    </row>
    <row r="559" spans="8:9" x14ac:dyDescent="0.2">
      <c r="H559" s="80"/>
      <c r="I559" s="80"/>
    </row>
    <row r="560" spans="8:9" x14ac:dyDescent="0.2">
      <c r="H560" s="80"/>
      <c r="I560" s="80"/>
    </row>
    <row r="561" spans="8:9" x14ac:dyDescent="0.2">
      <c r="H561" s="80"/>
      <c r="I561" s="80"/>
    </row>
    <row r="562" spans="8:9" x14ac:dyDescent="0.2">
      <c r="H562" s="80"/>
      <c r="I562" s="80"/>
    </row>
    <row r="563" spans="8:9" x14ac:dyDescent="0.2">
      <c r="H563" s="80"/>
      <c r="I563" s="80"/>
    </row>
    <row r="564" spans="8:9" x14ac:dyDescent="0.2">
      <c r="H564" s="80"/>
      <c r="I564" s="80"/>
    </row>
    <row r="565" spans="8:9" x14ac:dyDescent="0.2">
      <c r="H565" s="80"/>
      <c r="I565" s="80"/>
    </row>
    <row r="566" spans="8:9" x14ac:dyDescent="0.2">
      <c r="H566" s="80"/>
      <c r="I566" s="80"/>
    </row>
    <row r="567" spans="8:9" x14ac:dyDescent="0.2">
      <c r="H567" s="80"/>
      <c r="I567" s="80"/>
    </row>
    <row r="568" spans="8:9" x14ac:dyDescent="0.2">
      <c r="H568" s="80"/>
      <c r="I568" s="80"/>
    </row>
    <row r="569" spans="8:9" x14ac:dyDescent="0.2">
      <c r="H569" s="80"/>
      <c r="I569" s="80"/>
    </row>
    <row r="570" spans="8:9" x14ac:dyDescent="0.2">
      <c r="H570" s="80"/>
      <c r="I570" s="80"/>
    </row>
    <row r="571" spans="8:9" x14ac:dyDescent="0.2">
      <c r="H571" s="80"/>
      <c r="I571" s="80"/>
    </row>
    <row r="572" spans="8:9" x14ac:dyDescent="0.2">
      <c r="H572" s="80"/>
      <c r="I572" s="80"/>
    </row>
    <row r="573" spans="8:9" x14ac:dyDescent="0.2">
      <c r="H573" s="80"/>
      <c r="I573" s="80"/>
    </row>
    <row r="574" spans="8:9" x14ac:dyDescent="0.2">
      <c r="H574" s="80"/>
      <c r="I574" s="80"/>
    </row>
    <row r="575" spans="8:9" x14ac:dyDescent="0.2">
      <c r="H575" s="80"/>
      <c r="I575" s="80"/>
    </row>
    <row r="576" spans="8:9" x14ac:dyDescent="0.2">
      <c r="H576" s="80"/>
      <c r="I576" s="80"/>
    </row>
    <row r="577" spans="8:9" x14ac:dyDescent="0.2">
      <c r="H577" s="80"/>
      <c r="I577" s="80"/>
    </row>
    <row r="578" spans="8:9" x14ac:dyDescent="0.2">
      <c r="H578" s="80"/>
      <c r="I578" s="80"/>
    </row>
    <row r="579" spans="8:9" x14ac:dyDescent="0.2">
      <c r="H579" s="80"/>
      <c r="I579" s="80"/>
    </row>
    <row r="580" spans="8:9" x14ac:dyDescent="0.2">
      <c r="H580" s="80"/>
      <c r="I580" s="80"/>
    </row>
    <row r="581" spans="8:9" x14ac:dyDescent="0.2">
      <c r="H581" s="80"/>
      <c r="I581" s="80"/>
    </row>
    <row r="582" spans="8:9" x14ac:dyDescent="0.2">
      <c r="H582" s="80"/>
      <c r="I582" s="80"/>
    </row>
    <row r="583" spans="8:9" x14ac:dyDescent="0.2">
      <c r="H583" s="80"/>
      <c r="I583" s="80"/>
    </row>
    <row r="584" spans="8:9" x14ac:dyDescent="0.2">
      <c r="H584" s="80"/>
      <c r="I584" s="80"/>
    </row>
    <row r="585" spans="8:9" x14ac:dyDescent="0.2">
      <c r="H585" s="80"/>
      <c r="I585" s="80"/>
    </row>
    <row r="586" spans="8:9" x14ac:dyDescent="0.2">
      <c r="H586" s="80"/>
      <c r="I586" s="80"/>
    </row>
    <row r="587" spans="8:9" x14ac:dyDescent="0.2">
      <c r="H587" s="80"/>
      <c r="I587" s="80"/>
    </row>
    <row r="588" spans="8:9" x14ac:dyDescent="0.2">
      <c r="H588" s="80"/>
      <c r="I588" s="80"/>
    </row>
    <row r="589" spans="8:9" x14ac:dyDescent="0.2">
      <c r="H589" s="80"/>
      <c r="I589" s="80"/>
    </row>
    <row r="590" spans="8:9" x14ac:dyDescent="0.2">
      <c r="H590" s="80"/>
      <c r="I590" s="80"/>
    </row>
    <row r="591" spans="8:9" x14ac:dyDescent="0.2">
      <c r="H591" s="80"/>
      <c r="I591" s="80"/>
    </row>
    <row r="592" spans="8:9" x14ac:dyDescent="0.2">
      <c r="H592" s="80"/>
      <c r="I592" s="80"/>
    </row>
    <row r="593" spans="8:9" x14ac:dyDescent="0.2">
      <c r="H593" s="80"/>
      <c r="I593" s="80"/>
    </row>
    <row r="594" spans="8:9" x14ac:dyDescent="0.2">
      <c r="H594" s="80"/>
      <c r="I594" s="80"/>
    </row>
    <row r="595" spans="8:9" x14ac:dyDescent="0.2">
      <c r="H595" s="80"/>
      <c r="I595" s="80"/>
    </row>
    <row r="596" spans="8:9" x14ac:dyDescent="0.2">
      <c r="H596" s="80"/>
      <c r="I596" s="80"/>
    </row>
    <row r="597" spans="8:9" x14ac:dyDescent="0.2">
      <c r="H597" s="80"/>
      <c r="I597" s="80"/>
    </row>
    <row r="598" spans="8:9" x14ac:dyDescent="0.2">
      <c r="H598" s="80"/>
      <c r="I598" s="80"/>
    </row>
    <row r="599" spans="8:9" x14ac:dyDescent="0.2">
      <c r="H599" s="80"/>
      <c r="I599" s="80"/>
    </row>
    <row r="600" spans="8:9" x14ac:dyDescent="0.2">
      <c r="H600" s="80"/>
      <c r="I600" s="80"/>
    </row>
    <row r="601" spans="8:9" x14ac:dyDescent="0.2">
      <c r="H601" s="80"/>
      <c r="I601" s="80"/>
    </row>
    <row r="602" spans="8:9" x14ac:dyDescent="0.2">
      <c r="H602" s="80"/>
      <c r="I602" s="80"/>
    </row>
    <row r="603" spans="8:9" x14ac:dyDescent="0.2">
      <c r="H603" s="80"/>
      <c r="I603" s="80"/>
    </row>
    <row r="604" spans="8:9" x14ac:dyDescent="0.2">
      <c r="H604" s="80"/>
      <c r="I604" s="80"/>
    </row>
    <row r="605" spans="8:9" x14ac:dyDescent="0.2">
      <c r="H605" s="80"/>
      <c r="I605" s="80"/>
    </row>
    <row r="606" spans="8:9" x14ac:dyDescent="0.2">
      <c r="H606" s="80"/>
      <c r="I606" s="80"/>
    </row>
    <row r="607" spans="8:9" x14ac:dyDescent="0.2">
      <c r="H607" s="80"/>
      <c r="I607" s="80"/>
    </row>
    <row r="608" spans="8:9" x14ac:dyDescent="0.2">
      <c r="H608" s="80"/>
      <c r="I608" s="80"/>
    </row>
    <row r="609" spans="8:9" x14ac:dyDescent="0.2">
      <c r="H609" s="80"/>
      <c r="I609" s="80"/>
    </row>
    <row r="610" spans="8:9" x14ac:dyDescent="0.2">
      <c r="H610" s="80"/>
      <c r="I610" s="80"/>
    </row>
    <row r="611" spans="8:9" x14ac:dyDescent="0.2">
      <c r="H611" s="80"/>
      <c r="I611" s="80"/>
    </row>
    <row r="612" spans="8:9" x14ac:dyDescent="0.2">
      <c r="H612" s="80"/>
      <c r="I612" s="80"/>
    </row>
    <row r="613" spans="8:9" x14ac:dyDescent="0.2">
      <c r="H613" s="80"/>
      <c r="I613" s="80"/>
    </row>
    <row r="614" spans="8:9" x14ac:dyDescent="0.2">
      <c r="H614" s="80"/>
      <c r="I614" s="80"/>
    </row>
    <row r="615" spans="8:9" x14ac:dyDescent="0.2">
      <c r="H615" s="80"/>
      <c r="I615" s="80"/>
    </row>
    <row r="616" spans="8:9" x14ac:dyDescent="0.2">
      <c r="H616" s="80"/>
      <c r="I616" s="80"/>
    </row>
    <row r="617" spans="8:9" x14ac:dyDescent="0.2">
      <c r="H617" s="80"/>
      <c r="I617" s="80"/>
    </row>
    <row r="618" spans="8:9" x14ac:dyDescent="0.2">
      <c r="H618" s="80"/>
      <c r="I618" s="80"/>
    </row>
    <row r="619" spans="8:9" x14ac:dyDescent="0.2">
      <c r="H619" s="80"/>
      <c r="I619" s="80"/>
    </row>
    <row r="620" spans="8:9" x14ac:dyDescent="0.2">
      <c r="H620" s="80"/>
      <c r="I620" s="80"/>
    </row>
    <row r="621" spans="8:9" x14ac:dyDescent="0.2">
      <c r="H621" s="80"/>
      <c r="I621" s="80"/>
    </row>
    <row r="622" spans="8:9" x14ac:dyDescent="0.2">
      <c r="H622" s="80"/>
      <c r="I622" s="80"/>
    </row>
    <row r="623" spans="8:9" x14ac:dyDescent="0.2">
      <c r="H623" s="80"/>
      <c r="I623" s="80"/>
    </row>
    <row r="624" spans="8:9" x14ac:dyDescent="0.2">
      <c r="H624" s="80"/>
      <c r="I624" s="80"/>
    </row>
    <row r="625" spans="8:9" x14ac:dyDescent="0.2">
      <c r="H625" s="80"/>
      <c r="I625" s="80"/>
    </row>
    <row r="626" spans="8:9" x14ac:dyDescent="0.2">
      <c r="H626" s="80"/>
      <c r="I626" s="80"/>
    </row>
    <row r="627" spans="8:9" x14ac:dyDescent="0.2">
      <c r="H627" s="80"/>
      <c r="I627" s="80"/>
    </row>
    <row r="628" spans="8:9" x14ac:dyDescent="0.2">
      <c r="H628" s="80"/>
      <c r="I628" s="80"/>
    </row>
    <row r="629" spans="8:9" x14ac:dyDescent="0.2">
      <c r="H629" s="80"/>
      <c r="I629" s="80"/>
    </row>
    <row r="630" spans="8:9" x14ac:dyDescent="0.2">
      <c r="H630" s="80"/>
      <c r="I630" s="80"/>
    </row>
    <row r="631" spans="8:9" x14ac:dyDescent="0.2">
      <c r="H631" s="80"/>
      <c r="I631" s="80"/>
    </row>
    <row r="632" spans="8:9" x14ac:dyDescent="0.2">
      <c r="H632" s="80"/>
      <c r="I632" s="80"/>
    </row>
    <row r="633" spans="8:9" x14ac:dyDescent="0.2">
      <c r="H633" s="80"/>
      <c r="I633" s="80"/>
    </row>
    <row r="634" spans="8:9" x14ac:dyDescent="0.2">
      <c r="H634" s="80"/>
      <c r="I634" s="80"/>
    </row>
    <row r="635" spans="8:9" x14ac:dyDescent="0.2">
      <c r="H635" s="80"/>
      <c r="I635" s="80"/>
    </row>
    <row r="636" spans="8:9" x14ac:dyDescent="0.2">
      <c r="H636" s="80"/>
      <c r="I636" s="80"/>
    </row>
    <row r="637" spans="8:9" x14ac:dyDescent="0.2">
      <c r="H637" s="80"/>
      <c r="I637" s="80"/>
    </row>
    <row r="638" spans="8:9" x14ac:dyDescent="0.2">
      <c r="H638" s="80"/>
      <c r="I638" s="80"/>
    </row>
    <row r="639" spans="8:9" x14ac:dyDescent="0.2">
      <c r="H639" s="80"/>
      <c r="I639" s="80"/>
    </row>
    <row r="640" spans="8:9" x14ac:dyDescent="0.2">
      <c r="H640" s="80"/>
      <c r="I640" s="80"/>
    </row>
    <row r="641" spans="8:9" x14ac:dyDescent="0.2">
      <c r="H641" s="80"/>
      <c r="I641" s="80"/>
    </row>
    <row r="642" spans="8:9" x14ac:dyDescent="0.2">
      <c r="H642" s="80"/>
      <c r="I642" s="80"/>
    </row>
    <row r="643" spans="8:9" x14ac:dyDescent="0.2">
      <c r="H643" s="80"/>
      <c r="I643" s="80"/>
    </row>
    <row r="644" spans="8:9" x14ac:dyDescent="0.2">
      <c r="H644" s="80"/>
      <c r="I644" s="80"/>
    </row>
    <row r="645" spans="8:9" x14ac:dyDescent="0.2">
      <c r="H645" s="80"/>
      <c r="I645" s="80"/>
    </row>
    <row r="646" spans="8:9" x14ac:dyDescent="0.2">
      <c r="H646" s="80"/>
      <c r="I646" s="80"/>
    </row>
    <row r="647" spans="8:9" x14ac:dyDescent="0.2">
      <c r="H647" s="80"/>
      <c r="I647" s="80"/>
    </row>
    <row r="648" spans="8:9" x14ac:dyDescent="0.2">
      <c r="H648" s="80"/>
      <c r="I648" s="80"/>
    </row>
    <row r="649" spans="8:9" x14ac:dyDescent="0.2">
      <c r="H649" s="80"/>
      <c r="I649" s="80"/>
    </row>
    <row r="650" spans="8:9" x14ac:dyDescent="0.2">
      <c r="H650" s="80"/>
      <c r="I650" s="80"/>
    </row>
    <row r="651" spans="8:9" x14ac:dyDescent="0.2">
      <c r="H651" s="80"/>
      <c r="I651" s="80"/>
    </row>
    <row r="652" spans="8:9" x14ac:dyDescent="0.2">
      <c r="H652" s="80"/>
      <c r="I652" s="80"/>
    </row>
    <row r="653" spans="8:9" x14ac:dyDescent="0.2">
      <c r="H653" s="80"/>
      <c r="I653" s="80"/>
    </row>
    <row r="654" spans="8:9" x14ac:dyDescent="0.2">
      <c r="H654" s="80"/>
      <c r="I654" s="80"/>
    </row>
    <row r="655" spans="8:9" x14ac:dyDescent="0.2">
      <c r="H655" s="80"/>
      <c r="I655" s="80"/>
    </row>
    <row r="656" spans="8:9" x14ac:dyDescent="0.2">
      <c r="H656" s="80"/>
      <c r="I656" s="80"/>
    </row>
    <row r="657" spans="8:9" x14ac:dyDescent="0.2">
      <c r="H657" s="80"/>
      <c r="I657" s="80"/>
    </row>
    <row r="658" spans="8:9" x14ac:dyDescent="0.2">
      <c r="H658" s="80"/>
      <c r="I658" s="80"/>
    </row>
    <row r="659" spans="8:9" x14ac:dyDescent="0.2">
      <c r="H659" s="80"/>
      <c r="I659" s="80"/>
    </row>
    <row r="660" spans="8:9" x14ac:dyDescent="0.2">
      <c r="H660" s="80"/>
      <c r="I660" s="80"/>
    </row>
    <row r="661" spans="8:9" x14ac:dyDescent="0.2">
      <c r="H661" s="80"/>
      <c r="I661" s="80"/>
    </row>
    <row r="662" spans="8:9" x14ac:dyDescent="0.2">
      <c r="H662" s="80"/>
      <c r="I662" s="80"/>
    </row>
    <row r="663" spans="8:9" x14ac:dyDescent="0.2">
      <c r="H663" s="80"/>
      <c r="I663" s="80"/>
    </row>
    <row r="664" spans="8:9" x14ac:dyDescent="0.2">
      <c r="H664" s="80"/>
      <c r="I664" s="80"/>
    </row>
    <row r="665" spans="8:9" x14ac:dyDescent="0.2">
      <c r="H665" s="80"/>
      <c r="I665" s="80"/>
    </row>
    <row r="666" spans="8:9" x14ac:dyDescent="0.2">
      <c r="H666" s="80"/>
      <c r="I666" s="80"/>
    </row>
    <row r="667" spans="8:9" x14ac:dyDescent="0.2">
      <c r="H667" s="80"/>
      <c r="I667" s="80"/>
    </row>
    <row r="668" spans="8:9" x14ac:dyDescent="0.2">
      <c r="H668" s="80"/>
      <c r="I668" s="80"/>
    </row>
    <row r="669" spans="8:9" x14ac:dyDescent="0.2">
      <c r="H669" s="80"/>
      <c r="I669" s="80"/>
    </row>
    <row r="670" spans="8:9" x14ac:dyDescent="0.2">
      <c r="H670" s="80"/>
      <c r="I670" s="80"/>
    </row>
    <row r="671" spans="8:9" x14ac:dyDescent="0.2">
      <c r="H671" s="80"/>
      <c r="I671" s="80"/>
    </row>
    <row r="672" spans="8:9" x14ac:dyDescent="0.2">
      <c r="H672" s="80"/>
      <c r="I672" s="80"/>
    </row>
    <row r="673" spans="8:9" x14ac:dyDescent="0.2">
      <c r="H673" s="80"/>
      <c r="I673" s="80"/>
    </row>
    <row r="674" spans="8:9" x14ac:dyDescent="0.2">
      <c r="H674" s="80"/>
      <c r="I674" s="80"/>
    </row>
    <row r="675" spans="8:9" x14ac:dyDescent="0.2">
      <c r="H675" s="80"/>
      <c r="I675" s="80"/>
    </row>
    <row r="676" spans="8:9" x14ac:dyDescent="0.2">
      <c r="H676" s="80"/>
      <c r="I676" s="80"/>
    </row>
    <row r="677" spans="8:9" x14ac:dyDescent="0.2">
      <c r="H677" s="80"/>
      <c r="I677" s="80"/>
    </row>
    <row r="678" spans="8:9" x14ac:dyDescent="0.2">
      <c r="H678" s="80"/>
      <c r="I678" s="80"/>
    </row>
    <row r="679" spans="8:9" x14ac:dyDescent="0.2">
      <c r="H679" s="80"/>
      <c r="I679" s="80"/>
    </row>
    <row r="680" spans="8:9" x14ac:dyDescent="0.2">
      <c r="H680" s="80"/>
      <c r="I680" s="80"/>
    </row>
    <row r="681" spans="8:9" x14ac:dyDescent="0.2">
      <c r="H681" s="80"/>
      <c r="I681" s="80"/>
    </row>
    <row r="682" spans="8:9" x14ac:dyDescent="0.2">
      <c r="H682" s="80"/>
      <c r="I682" s="80"/>
    </row>
    <row r="683" spans="8:9" x14ac:dyDescent="0.2">
      <c r="H683" s="80"/>
      <c r="I683" s="80"/>
    </row>
    <row r="684" spans="8:9" x14ac:dyDescent="0.2">
      <c r="H684" s="80"/>
      <c r="I684" s="80"/>
    </row>
    <row r="685" spans="8:9" x14ac:dyDescent="0.2">
      <c r="H685" s="80"/>
      <c r="I685" s="80"/>
    </row>
    <row r="686" spans="8:9" x14ac:dyDescent="0.2">
      <c r="H686" s="80"/>
      <c r="I686" s="80"/>
    </row>
    <row r="687" spans="8:9" x14ac:dyDescent="0.2">
      <c r="H687" s="80"/>
      <c r="I687" s="80"/>
    </row>
    <row r="688" spans="8:9" x14ac:dyDescent="0.2">
      <c r="H688" s="80"/>
      <c r="I688" s="80"/>
    </row>
    <row r="689" spans="8:9" x14ac:dyDescent="0.2">
      <c r="H689" s="80"/>
      <c r="I689" s="80"/>
    </row>
    <row r="690" spans="8:9" x14ac:dyDescent="0.2">
      <c r="H690" s="80"/>
      <c r="I690" s="80"/>
    </row>
    <row r="691" spans="8:9" x14ac:dyDescent="0.2">
      <c r="H691" s="80"/>
      <c r="I691" s="80"/>
    </row>
    <row r="692" spans="8:9" x14ac:dyDescent="0.2">
      <c r="H692" s="80"/>
      <c r="I692" s="80"/>
    </row>
    <row r="693" spans="8:9" x14ac:dyDescent="0.2">
      <c r="H693" s="80"/>
      <c r="I693" s="80"/>
    </row>
    <row r="694" spans="8:9" x14ac:dyDescent="0.2">
      <c r="H694" s="80"/>
      <c r="I694" s="80"/>
    </row>
    <row r="695" spans="8:9" x14ac:dyDescent="0.2">
      <c r="H695" s="80"/>
      <c r="I695" s="80"/>
    </row>
    <row r="696" spans="8:9" x14ac:dyDescent="0.2">
      <c r="H696" s="80"/>
      <c r="I696" s="80"/>
    </row>
    <row r="697" spans="8:9" x14ac:dyDescent="0.2">
      <c r="H697" s="80"/>
      <c r="I697" s="80"/>
    </row>
    <row r="698" spans="8:9" x14ac:dyDescent="0.2">
      <c r="H698" s="80"/>
      <c r="I698" s="80"/>
    </row>
    <row r="699" spans="8:9" x14ac:dyDescent="0.2">
      <c r="H699" s="80"/>
      <c r="I699" s="80"/>
    </row>
    <row r="700" spans="8:9" x14ac:dyDescent="0.2">
      <c r="H700" s="80"/>
      <c r="I700" s="80"/>
    </row>
    <row r="701" spans="8:9" x14ac:dyDescent="0.2">
      <c r="H701" s="80"/>
      <c r="I701" s="80"/>
    </row>
    <row r="702" spans="8:9" x14ac:dyDescent="0.2">
      <c r="H702" s="80"/>
      <c r="I702" s="80"/>
    </row>
    <row r="703" spans="8:9" x14ac:dyDescent="0.2">
      <c r="H703" s="80"/>
      <c r="I703" s="80"/>
    </row>
    <row r="704" spans="8:9" x14ac:dyDescent="0.2">
      <c r="H704" s="80"/>
      <c r="I704" s="80"/>
    </row>
    <row r="705" spans="8:9" x14ac:dyDescent="0.2">
      <c r="H705" s="80"/>
      <c r="I705" s="80"/>
    </row>
    <row r="706" spans="8:9" x14ac:dyDescent="0.2">
      <c r="H706" s="80"/>
      <c r="I706" s="80"/>
    </row>
    <row r="707" spans="8:9" x14ac:dyDescent="0.2">
      <c r="H707" s="80"/>
      <c r="I707" s="80"/>
    </row>
    <row r="708" spans="8:9" x14ac:dyDescent="0.2">
      <c r="H708" s="80"/>
      <c r="I708" s="80"/>
    </row>
    <row r="709" spans="8:9" x14ac:dyDescent="0.2">
      <c r="H709" s="80"/>
      <c r="I709" s="80"/>
    </row>
    <row r="710" spans="8:9" x14ac:dyDescent="0.2">
      <c r="H710" s="80"/>
      <c r="I710" s="80"/>
    </row>
    <row r="711" spans="8:9" x14ac:dyDescent="0.2">
      <c r="H711" s="80"/>
      <c r="I711" s="80"/>
    </row>
    <row r="712" spans="8:9" x14ac:dyDescent="0.2">
      <c r="H712" s="80"/>
      <c r="I712" s="80"/>
    </row>
    <row r="713" spans="8:9" x14ac:dyDescent="0.2">
      <c r="H713" s="80"/>
      <c r="I713" s="80"/>
    </row>
    <row r="714" spans="8:9" x14ac:dyDescent="0.2">
      <c r="H714" s="80"/>
      <c r="I714" s="80"/>
    </row>
    <row r="715" spans="8:9" x14ac:dyDescent="0.2">
      <c r="H715" s="80"/>
      <c r="I715" s="80"/>
    </row>
    <row r="716" spans="8:9" x14ac:dyDescent="0.2">
      <c r="H716" s="80"/>
      <c r="I716" s="80"/>
    </row>
    <row r="717" spans="8:9" x14ac:dyDescent="0.2">
      <c r="H717" s="80"/>
      <c r="I717" s="80"/>
    </row>
    <row r="718" spans="8:9" x14ac:dyDescent="0.2">
      <c r="H718" s="80"/>
      <c r="I718" s="80"/>
    </row>
    <row r="719" spans="8:9" x14ac:dyDescent="0.2">
      <c r="H719" s="80"/>
      <c r="I719" s="80"/>
    </row>
    <row r="720" spans="8:9" x14ac:dyDescent="0.2">
      <c r="H720" s="80"/>
      <c r="I720" s="80"/>
    </row>
    <row r="721" spans="8:9" x14ac:dyDescent="0.2">
      <c r="H721" s="80"/>
      <c r="I721" s="80"/>
    </row>
    <row r="722" spans="8:9" x14ac:dyDescent="0.2">
      <c r="H722" s="80"/>
      <c r="I722" s="80"/>
    </row>
    <row r="723" spans="8:9" x14ac:dyDescent="0.2">
      <c r="H723" s="80"/>
      <c r="I723" s="80"/>
    </row>
    <row r="724" spans="8:9" x14ac:dyDescent="0.2">
      <c r="H724" s="80"/>
      <c r="I724" s="80"/>
    </row>
    <row r="725" spans="8:9" x14ac:dyDescent="0.2">
      <c r="H725" s="80"/>
      <c r="I725" s="80"/>
    </row>
    <row r="726" spans="8:9" x14ac:dyDescent="0.2">
      <c r="H726" s="80"/>
      <c r="I726" s="80"/>
    </row>
    <row r="727" spans="8:9" x14ac:dyDescent="0.2">
      <c r="H727" s="80"/>
      <c r="I727" s="80"/>
    </row>
    <row r="728" spans="8:9" x14ac:dyDescent="0.2">
      <c r="H728" s="80"/>
      <c r="I728" s="80"/>
    </row>
    <row r="729" spans="8:9" x14ac:dyDescent="0.2">
      <c r="H729" s="80"/>
      <c r="I729" s="80"/>
    </row>
    <row r="730" spans="8:9" x14ac:dyDescent="0.2">
      <c r="H730" s="80"/>
      <c r="I730" s="80"/>
    </row>
    <row r="731" spans="8:9" x14ac:dyDescent="0.2">
      <c r="H731" s="80"/>
      <c r="I731" s="80"/>
    </row>
    <row r="732" spans="8:9" x14ac:dyDescent="0.2">
      <c r="H732" s="80"/>
      <c r="I732" s="80"/>
    </row>
    <row r="733" spans="8:9" x14ac:dyDescent="0.2">
      <c r="H733" s="80"/>
      <c r="I733" s="80"/>
    </row>
    <row r="734" spans="8:9" x14ac:dyDescent="0.2">
      <c r="H734" s="80"/>
      <c r="I734" s="80"/>
    </row>
    <row r="735" spans="8:9" x14ac:dyDescent="0.2">
      <c r="H735" s="80"/>
      <c r="I735" s="80"/>
    </row>
    <row r="736" spans="8:9" x14ac:dyDescent="0.2">
      <c r="H736" s="80"/>
      <c r="I736" s="80"/>
    </row>
    <row r="737" spans="8:9" x14ac:dyDescent="0.2">
      <c r="H737" s="80"/>
      <c r="I737" s="80"/>
    </row>
    <row r="738" spans="8:9" x14ac:dyDescent="0.2">
      <c r="H738" s="80"/>
      <c r="I738" s="80"/>
    </row>
    <row r="739" spans="8:9" x14ac:dyDescent="0.2">
      <c r="H739" s="80"/>
      <c r="I739" s="80"/>
    </row>
    <row r="740" spans="8:9" x14ac:dyDescent="0.2">
      <c r="H740" s="80"/>
      <c r="I740" s="80"/>
    </row>
    <row r="741" spans="8:9" x14ac:dyDescent="0.2">
      <c r="H741" s="80"/>
      <c r="I741" s="80"/>
    </row>
    <row r="742" spans="8:9" x14ac:dyDescent="0.2">
      <c r="H742" s="80"/>
      <c r="I742" s="80"/>
    </row>
    <row r="743" spans="8:9" x14ac:dyDescent="0.2">
      <c r="H743" s="80"/>
      <c r="I743" s="80"/>
    </row>
    <row r="744" spans="8:9" x14ac:dyDescent="0.2">
      <c r="H744" s="80"/>
      <c r="I744" s="80"/>
    </row>
    <row r="745" spans="8:9" x14ac:dyDescent="0.2">
      <c r="H745" s="80"/>
      <c r="I745" s="80"/>
    </row>
    <row r="746" spans="8:9" x14ac:dyDescent="0.2">
      <c r="H746" s="80"/>
      <c r="I746" s="80"/>
    </row>
    <row r="747" spans="8:9" x14ac:dyDescent="0.2">
      <c r="H747" s="80"/>
      <c r="I747" s="80"/>
    </row>
    <row r="748" spans="8:9" x14ac:dyDescent="0.2">
      <c r="H748" s="80"/>
      <c r="I748" s="80"/>
    </row>
    <row r="749" spans="8:9" x14ac:dyDescent="0.2">
      <c r="H749" s="80"/>
      <c r="I749" s="80"/>
    </row>
    <row r="750" spans="8:9" x14ac:dyDescent="0.2">
      <c r="H750" s="80"/>
      <c r="I750" s="80"/>
    </row>
    <row r="751" spans="8:9" x14ac:dyDescent="0.2">
      <c r="H751" s="80"/>
      <c r="I751" s="80"/>
    </row>
    <row r="752" spans="8:9" x14ac:dyDescent="0.2">
      <c r="H752" s="80"/>
      <c r="I752" s="80"/>
    </row>
    <row r="753" spans="8:9" x14ac:dyDescent="0.2">
      <c r="H753" s="80"/>
      <c r="I753" s="80"/>
    </row>
    <row r="754" spans="8:9" x14ac:dyDescent="0.2">
      <c r="H754" s="80"/>
      <c r="I754" s="80"/>
    </row>
    <row r="755" spans="8:9" x14ac:dyDescent="0.2">
      <c r="H755" s="80"/>
      <c r="I755" s="80"/>
    </row>
    <row r="756" spans="8:9" x14ac:dyDescent="0.2">
      <c r="H756" s="80"/>
      <c r="I756" s="80"/>
    </row>
    <row r="757" spans="8:9" x14ac:dyDescent="0.2">
      <c r="H757" s="80"/>
      <c r="I757" s="80"/>
    </row>
    <row r="758" spans="8:9" x14ac:dyDescent="0.2">
      <c r="H758" s="80"/>
      <c r="I758" s="80"/>
    </row>
    <row r="759" spans="8:9" x14ac:dyDescent="0.2">
      <c r="H759" s="80"/>
      <c r="I759" s="80"/>
    </row>
    <row r="760" spans="8:9" x14ac:dyDescent="0.2">
      <c r="H760" s="80"/>
      <c r="I760" s="80"/>
    </row>
    <row r="761" spans="8:9" x14ac:dyDescent="0.2">
      <c r="H761" s="80"/>
      <c r="I761" s="80"/>
    </row>
    <row r="762" spans="8:9" x14ac:dyDescent="0.2">
      <c r="H762" s="80"/>
      <c r="I762" s="80"/>
    </row>
    <row r="763" spans="8:9" x14ac:dyDescent="0.2">
      <c r="H763" s="80"/>
      <c r="I763" s="80"/>
    </row>
    <row r="764" spans="8:9" x14ac:dyDescent="0.2">
      <c r="H764" s="80"/>
      <c r="I764" s="80"/>
    </row>
    <row r="765" spans="8:9" x14ac:dyDescent="0.2">
      <c r="H765" s="80"/>
      <c r="I765" s="80"/>
    </row>
    <row r="766" spans="8:9" x14ac:dyDescent="0.2">
      <c r="H766" s="80"/>
      <c r="I766" s="80"/>
    </row>
    <row r="767" spans="8:9" x14ac:dyDescent="0.2">
      <c r="H767" s="80"/>
      <c r="I767" s="80"/>
    </row>
    <row r="768" spans="8:9" x14ac:dyDescent="0.2">
      <c r="H768" s="80"/>
      <c r="I768" s="80"/>
    </row>
    <row r="769" spans="8:9" x14ac:dyDescent="0.2">
      <c r="H769" s="80"/>
      <c r="I769" s="80"/>
    </row>
    <row r="770" spans="8:9" x14ac:dyDescent="0.2">
      <c r="H770" s="80"/>
      <c r="I770" s="80"/>
    </row>
    <row r="771" spans="8:9" x14ac:dyDescent="0.2">
      <c r="H771" s="80"/>
      <c r="I771" s="80"/>
    </row>
    <row r="772" spans="8:9" x14ac:dyDescent="0.2">
      <c r="H772" s="80"/>
      <c r="I772" s="80"/>
    </row>
    <row r="773" spans="8:9" x14ac:dyDescent="0.2">
      <c r="H773" s="80"/>
      <c r="I773" s="80"/>
    </row>
    <row r="774" spans="8:9" x14ac:dyDescent="0.2">
      <c r="H774" s="80"/>
      <c r="I774" s="80"/>
    </row>
    <row r="775" spans="8:9" x14ac:dyDescent="0.2">
      <c r="H775" s="80"/>
      <c r="I775" s="80"/>
    </row>
    <row r="776" spans="8:9" x14ac:dyDescent="0.2">
      <c r="H776" s="80"/>
      <c r="I776" s="80"/>
    </row>
    <row r="777" spans="8:9" x14ac:dyDescent="0.2">
      <c r="H777" s="80"/>
      <c r="I777" s="80"/>
    </row>
    <row r="778" spans="8:9" x14ac:dyDescent="0.2">
      <c r="H778" s="80"/>
      <c r="I778" s="80"/>
    </row>
    <row r="779" spans="8:9" x14ac:dyDescent="0.2">
      <c r="H779" s="80"/>
      <c r="I779" s="80"/>
    </row>
    <row r="780" spans="8:9" x14ac:dyDescent="0.2">
      <c r="H780" s="80"/>
      <c r="I780" s="80"/>
    </row>
    <row r="781" spans="8:9" x14ac:dyDescent="0.2">
      <c r="H781" s="80"/>
      <c r="I781" s="80"/>
    </row>
    <row r="782" spans="8:9" x14ac:dyDescent="0.2">
      <c r="H782" s="80"/>
      <c r="I782" s="80"/>
    </row>
    <row r="783" spans="8:9" x14ac:dyDescent="0.2">
      <c r="H783" s="80"/>
      <c r="I783" s="80"/>
    </row>
    <row r="784" spans="8:9" x14ac:dyDescent="0.2">
      <c r="H784" s="80"/>
      <c r="I784" s="80"/>
    </row>
    <row r="785" spans="8:9" x14ac:dyDescent="0.2">
      <c r="H785" s="80"/>
      <c r="I785" s="80"/>
    </row>
    <row r="786" spans="8:9" x14ac:dyDescent="0.2">
      <c r="H786" s="80"/>
      <c r="I786" s="80"/>
    </row>
    <row r="787" spans="8:9" x14ac:dyDescent="0.2">
      <c r="H787" s="80"/>
      <c r="I787" s="80"/>
    </row>
    <row r="788" spans="8:9" x14ac:dyDescent="0.2">
      <c r="H788" s="80"/>
      <c r="I788" s="80"/>
    </row>
    <row r="789" spans="8:9" x14ac:dyDescent="0.2">
      <c r="H789" s="80"/>
      <c r="I789" s="80"/>
    </row>
    <row r="790" spans="8:9" x14ac:dyDescent="0.2">
      <c r="H790" s="80"/>
      <c r="I790" s="80"/>
    </row>
    <row r="791" spans="8:9" x14ac:dyDescent="0.2">
      <c r="H791" s="80"/>
      <c r="I791" s="80"/>
    </row>
    <row r="792" spans="8:9" x14ac:dyDescent="0.2">
      <c r="H792" s="80"/>
      <c r="I792" s="80"/>
    </row>
    <row r="793" spans="8:9" x14ac:dyDescent="0.2">
      <c r="H793" s="80"/>
      <c r="I793" s="80"/>
    </row>
    <row r="794" spans="8:9" x14ac:dyDescent="0.2">
      <c r="H794" s="80"/>
      <c r="I794" s="80"/>
    </row>
    <row r="795" spans="8:9" x14ac:dyDescent="0.2">
      <c r="H795" s="80"/>
      <c r="I795" s="80"/>
    </row>
    <row r="796" spans="8:9" x14ac:dyDescent="0.2">
      <c r="H796" s="80"/>
      <c r="I796" s="80"/>
    </row>
    <row r="797" spans="8:9" x14ac:dyDescent="0.2">
      <c r="H797" s="80"/>
      <c r="I797" s="80"/>
    </row>
    <row r="798" spans="8:9" x14ac:dyDescent="0.2">
      <c r="H798" s="80"/>
      <c r="I798" s="80"/>
    </row>
    <row r="799" spans="8:9" x14ac:dyDescent="0.2">
      <c r="H799" s="80"/>
      <c r="I799" s="80"/>
    </row>
    <row r="800" spans="8:9" x14ac:dyDescent="0.2">
      <c r="H800" s="80"/>
      <c r="I800" s="80"/>
    </row>
    <row r="801" spans="8:9" x14ac:dyDescent="0.2">
      <c r="H801" s="80"/>
      <c r="I801" s="80"/>
    </row>
    <row r="802" spans="8:9" x14ac:dyDescent="0.2">
      <c r="H802" s="80"/>
      <c r="I802" s="80"/>
    </row>
    <row r="803" spans="8:9" x14ac:dyDescent="0.2">
      <c r="H803" s="80"/>
      <c r="I803" s="80"/>
    </row>
    <row r="804" spans="8:9" x14ac:dyDescent="0.2">
      <c r="H804" s="80"/>
      <c r="I804" s="80"/>
    </row>
    <row r="805" spans="8:9" x14ac:dyDescent="0.2">
      <c r="H805" s="80"/>
      <c r="I805" s="80"/>
    </row>
    <row r="806" spans="8:9" x14ac:dyDescent="0.2">
      <c r="H806" s="80"/>
      <c r="I806" s="80"/>
    </row>
    <row r="807" spans="8:9" x14ac:dyDescent="0.2">
      <c r="H807" s="80"/>
      <c r="I807" s="80"/>
    </row>
    <row r="808" spans="8:9" x14ac:dyDescent="0.2">
      <c r="H808" s="80"/>
      <c r="I808" s="80"/>
    </row>
    <row r="809" spans="8:9" x14ac:dyDescent="0.2">
      <c r="H809" s="80"/>
      <c r="I809" s="80"/>
    </row>
    <row r="810" spans="8:9" x14ac:dyDescent="0.2">
      <c r="H810" s="80"/>
      <c r="I810" s="80"/>
    </row>
    <row r="811" spans="8:9" x14ac:dyDescent="0.2">
      <c r="H811" s="80"/>
      <c r="I811" s="80"/>
    </row>
    <row r="812" spans="8:9" x14ac:dyDescent="0.2">
      <c r="H812" s="80"/>
      <c r="I812" s="80"/>
    </row>
    <row r="813" spans="8:9" x14ac:dyDescent="0.2">
      <c r="H813" s="80"/>
      <c r="I813" s="80"/>
    </row>
    <row r="814" spans="8:9" x14ac:dyDescent="0.2">
      <c r="H814" s="80"/>
      <c r="I814" s="80"/>
    </row>
    <row r="815" spans="8:9" x14ac:dyDescent="0.2">
      <c r="H815" s="80"/>
      <c r="I815" s="80"/>
    </row>
    <row r="816" spans="8:9" x14ac:dyDescent="0.2">
      <c r="H816" s="80"/>
      <c r="I816" s="80"/>
    </row>
    <row r="817" spans="8:9" x14ac:dyDescent="0.2">
      <c r="H817" s="80"/>
      <c r="I817" s="80"/>
    </row>
    <row r="818" spans="8:9" x14ac:dyDescent="0.2">
      <c r="H818" s="80"/>
      <c r="I818" s="80"/>
    </row>
    <row r="819" spans="8:9" x14ac:dyDescent="0.2">
      <c r="H819" s="80"/>
      <c r="I819" s="80"/>
    </row>
    <row r="820" spans="8:9" x14ac:dyDescent="0.2">
      <c r="H820" s="80"/>
      <c r="I820" s="80"/>
    </row>
    <row r="821" spans="8:9" x14ac:dyDescent="0.2">
      <c r="H821" s="80"/>
      <c r="I821" s="80"/>
    </row>
    <row r="822" spans="8:9" x14ac:dyDescent="0.2">
      <c r="H822" s="80"/>
      <c r="I822" s="80"/>
    </row>
    <row r="823" spans="8:9" x14ac:dyDescent="0.2">
      <c r="H823" s="80"/>
      <c r="I823" s="80"/>
    </row>
    <row r="824" spans="8:9" x14ac:dyDescent="0.2">
      <c r="H824" s="80"/>
      <c r="I824" s="80"/>
    </row>
    <row r="825" spans="8:9" x14ac:dyDescent="0.2">
      <c r="H825" s="80"/>
      <c r="I825" s="80"/>
    </row>
    <row r="826" spans="8:9" x14ac:dyDescent="0.2">
      <c r="H826" s="80"/>
      <c r="I826" s="80"/>
    </row>
    <row r="827" spans="8:9" x14ac:dyDescent="0.2">
      <c r="H827" s="80"/>
      <c r="I827" s="80"/>
    </row>
    <row r="828" spans="8:9" x14ac:dyDescent="0.2">
      <c r="H828" s="80"/>
      <c r="I828" s="80"/>
    </row>
    <row r="829" spans="8:9" x14ac:dyDescent="0.2">
      <c r="H829" s="80"/>
      <c r="I829" s="80"/>
    </row>
    <row r="830" spans="8:9" x14ac:dyDescent="0.2">
      <c r="H830" s="80"/>
      <c r="I830" s="80"/>
    </row>
    <row r="831" spans="8:9" x14ac:dyDescent="0.2">
      <c r="H831" s="80"/>
      <c r="I831" s="80"/>
    </row>
    <row r="832" spans="8:9" x14ac:dyDescent="0.2">
      <c r="H832" s="80"/>
      <c r="I832" s="80"/>
    </row>
    <row r="833" spans="8:9" x14ac:dyDescent="0.2">
      <c r="H833" s="80"/>
      <c r="I833" s="80"/>
    </row>
    <row r="834" spans="8:9" x14ac:dyDescent="0.2">
      <c r="H834" s="80"/>
      <c r="I834" s="80"/>
    </row>
    <row r="835" spans="8:9" x14ac:dyDescent="0.2">
      <c r="H835" s="80"/>
      <c r="I835" s="80"/>
    </row>
    <row r="836" spans="8:9" x14ac:dyDescent="0.2">
      <c r="H836" s="80"/>
      <c r="I836" s="80"/>
    </row>
    <row r="837" spans="8:9" x14ac:dyDescent="0.2">
      <c r="H837" s="80"/>
      <c r="I837" s="80"/>
    </row>
    <row r="838" spans="8:9" x14ac:dyDescent="0.2">
      <c r="H838" s="80"/>
      <c r="I838" s="80"/>
    </row>
    <row r="839" spans="8:9" x14ac:dyDescent="0.2">
      <c r="H839" s="80"/>
      <c r="I839" s="80"/>
    </row>
    <row r="840" spans="8:9" x14ac:dyDescent="0.2">
      <c r="H840" s="80"/>
      <c r="I840" s="80"/>
    </row>
    <row r="841" spans="8:9" x14ac:dyDescent="0.2">
      <c r="H841" s="80"/>
      <c r="I841" s="80"/>
    </row>
    <row r="842" spans="8:9" x14ac:dyDescent="0.2">
      <c r="H842" s="80"/>
      <c r="I842" s="80"/>
    </row>
    <row r="843" spans="8:9" x14ac:dyDescent="0.2">
      <c r="H843" s="80"/>
      <c r="I843" s="80"/>
    </row>
    <row r="844" spans="8:9" x14ac:dyDescent="0.2">
      <c r="H844" s="80"/>
      <c r="I844" s="80"/>
    </row>
    <row r="845" spans="8:9" x14ac:dyDescent="0.2">
      <c r="H845" s="80"/>
      <c r="I845" s="80"/>
    </row>
    <row r="846" spans="8:9" x14ac:dyDescent="0.2">
      <c r="H846" s="80"/>
      <c r="I846" s="80"/>
    </row>
    <row r="847" spans="8:9" x14ac:dyDescent="0.2">
      <c r="H847" s="80"/>
      <c r="I847" s="80"/>
    </row>
    <row r="848" spans="8:9" x14ac:dyDescent="0.2">
      <c r="H848" s="80"/>
      <c r="I848" s="80"/>
    </row>
    <row r="849" spans="8:9" x14ac:dyDescent="0.2">
      <c r="H849" s="80"/>
      <c r="I849" s="80"/>
    </row>
    <row r="850" spans="8:9" x14ac:dyDescent="0.2">
      <c r="H850" s="80"/>
      <c r="I850" s="80"/>
    </row>
    <row r="851" spans="8:9" x14ac:dyDescent="0.2">
      <c r="H851" s="80"/>
      <c r="I851" s="80"/>
    </row>
    <row r="852" spans="8:9" x14ac:dyDescent="0.2">
      <c r="H852" s="80"/>
      <c r="I852" s="80"/>
    </row>
    <row r="853" spans="8:9" x14ac:dyDescent="0.2">
      <c r="H853" s="80"/>
      <c r="I853" s="80"/>
    </row>
    <row r="854" spans="8:9" x14ac:dyDescent="0.2">
      <c r="H854" s="80"/>
      <c r="I854" s="80"/>
    </row>
    <row r="855" spans="8:9" x14ac:dyDescent="0.2">
      <c r="H855" s="80"/>
      <c r="I855" s="80"/>
    </row>
    <row r="856" spans="8:9" x14ac:dyDescent="0.2">
      <c r="H856" s="80"/>
      <c r="I856" s="80"/>
    </row>
    <row r="857" spans="8:9" x14ac:dyDescent="0.2">
      <c r="H857" s="80"/>
      <c r="I857" s="80"/>
    </row>
    <row r="858" spans="8:9" x14ac:dyDescent="0.2">
      <c r="H858" s="80"/>
      <c r="I858" s="80"/>
    </row>
    <row r="859" spans="8:9" x14ac:dyDescent="0.2">
      <c r="H859" s="80"/>
      <c r="I859" s="80"/>
    </row>
    <row r="860" spans="8:9" x14ac:dyDescent="0.2">
      <c r="H860" s="80"/>
      <c r="I860" s="80"/>
    </row>
    <row r="861" spans="8:9" x14ac:dyDescent="0.2">
      <c r="H861" s="80"/>
      <c r="I861" s="80"/>
    </row>
    <row r="862" spans="8:9" x14ac:dyDescent="0.2">
      <c r="H862" s="80"/>
      <c r="I862" s="80"/>
    </row>
    <row r="863" spans="8:9" x14ac:dyDescent="0.2">
      <c r="H863" s="80"/>
      <c r="I863" s="80"/>
    </row>
    <row r="864" spans="8:9" x14ac:dyDescent="0.2">
      <c r="H864" s="80"/>
      <c r="I864" s="80"/>
    </row>
    <row r="865" spans="8:9" x14ac:dyDescent="0.2">
      <c r="H865" s="80"/>
      <c r="I865" s="80"/>
    </row>
    <row r="866" spans="8:9" x14ac:dyDescent="0.2">
      <c r="H866" s="80"/>
      <c r="I866" s="80"/>
    </row>
    <row r="867" spans="8:9" x14ac:dyDescent="0.2">
      <c r="H867" s="80"/>
      <c r="I867" s="80"/>
    </row>
    <row r="868" spans="8:9" x14ac:dyDescent="0.2">
      <c r="H868" s="80"/>
      <c r="I868" s="80"/>
    </row>
    <row r="869" spans="8:9" x14ac:dyDescent="0.2">
      <c r="H869" s="80"/>
      <c r="I869" s="80"/>
    </row>
    <row r="870" spans="8:9" x14ac:dyDescent="0.2">
      <c r="H870" s="80"/>
      <c r="I870" s="80"/>
    </row>
    <row r="871" spans="8:9" x14ac:dyDescent="0.2">
      <c r="H871" s="80"/>
      <c r="I871" s="80"/>
    </row>
    <row r="872" spans="8:9" x14ac:dyDescent="0.2">
      <c r="H872" s="80"/>
      <c r="I872" s="80"/>
    </row>
    <row r="873" spans="8:9" x14ac:dyDescent="0.2">
      <c r="H873" s="80"/>
      <c r="I873" s="80"/>
    </row>
    <row r="874" spans="8:9" x14ac:dyDescent="0.2">
      <c r="H874" s="80"/>
      <c r="I874" s="80"/>
    </row>
    <row r="875" spans="8:9" x14ac:dyDescent="0.2">
      <c r="H875" s="80"/>
      <c r="I875" s="80"/>
    </row>
    <row r="876" spans="8:9" x14ac:dyDescent="0.2">
      <c r="H876" s="80"/>
      <c r="I876" s="80"/>
    </row>
    <row r="877" spans="8:9" x14ac:dyDescent="0.2">
      <c r="H877" s="80"/>
      <c r="I877" s="80"/>
    </row>
    <row r="878" spans="8:9" x14ac:dyDescent="0.2">
      <c r="H878" s="80"/>
      <c r="I878" s="80"/>
    </row>
    <row r="879" spans="8:9" x14ac:dyDescent="0.2">
      <c r="H879" s="80"/>
      <c r="I879" s="80"/>
    </row>
    <row r="880" spans="8:9" x14ac:dyDescent="0.2">
      <c r="H880" s="80"/>
      <c r="I880" s="80"/>
    </row>
    <row r="881" spans="8:9" x14ac:dyDescent="0.2">
      <c r="H881" s="80"/>
      <c r="I881" s="80"/>
    </row>
    <row r="882" spans="8:9" x14ac:dyDescent="0.2">
      <c r="H882" s="80"/>
      <c r="I882" s="80"/>
    </row>
    <row r="883" spans="8:9" x14ac:dyDescent="0.2">
      <c r="H883" s="80"/>
      <c r="I883" s="80"/>
    </row>
    <row r="884" spans="8:9" x14ac:dyDescent="0.2">
      <c r="H884" s="80"/>
      <c r="I884" s="80"/>
    </row>
    <row r="885" spans="8:9" x14ac:dyDescent="0.2">
      <c r="H885" s="80"/>
      <c r="I885" s="80"/>
    </row>
    <row r="886" spans="8:9" x14ac:dyDescent="0.2">
      <c r="H886" s="80"/>
      <c r="I886" s="80"/>
    </row>
    <row r="887" spans="8:9" x14ac:dyDescent="0.2">
      <c r="H887" s="80"/>
      <c r="I887" s="80"/>
    </row>
    <row r="888" spans="8:9" x14ac:dyDescent="0.2">
      <c r="H888" s="80"/>
      <c r="I888" s="80"/>
    </row>
    <row r="889" spans="8:9" x14ac:dyDescent="0.2">
      <c r="H889" s="80"/>
      <c r="I889" s="80"/>
    </row>
    <row r="890" spans="8:9" x14ac:dyDescent="0.2">
      <c r="H890" s="80"/>
      <c r="I890" s="80"/>
    </row>
    <row r="891" spans="8:9" x14ac:dyDescent="0.2">
      <c r="H891" s="80"/>
      <c r="I891" s="80"/>
    </row>
    <row r="892" spans="8:9" x14ac:dyDescent="0.2">
      <c r="H892" s="80"/>
      <c r="I892" s="80"/>
    </row>
    <row r="893" spans="8:9" x14ac:dyDescent="0.2">
      <c r="H893" s="80"/>
      <c r="I893" s="80"/>
    </row>
    <row r="894" spans="8:9" x14ac:dyDescent="0.2">
      <c r="H894" s="80"/>
      <c r="I894" s="80"/>
    </row>
    <row r="895" spans="8:9" x14ac:dyDescent="0.2">
      <c r="H895" s="80"/>
      <c r="I895" s="80"/>
    </row>
    <row r="896" spans="8:9" x14ac:dyDescent="0.2">
      <c r="H896" s="80"/>
      <c r="I896" s="80"/>
    </row>
    <row r="897" spans="8:9" x14ac:dyDescent="0.2">
      <c r="H897" s="80"/>
      <c r="I897" s="80"/>
    </row>
    <row r="898" spans="8:9" x14ac:dyDescent="0.2">
      <c r="H898" s="80"/>
      <c r="I898" s="80"/>
    </row>
    <row r="899" spans="8:9" x14ac:dyDescent="0.2">
      <c r="H899" s="80"/>
      <c r="I899" s="80"/>
    </row>
    <row r="900" spans="8:9" x14ac:dyDescent="0.2">
      <c r="H900" s="80"/>
      <c r="I900" s="80"/>
    </row>
    <row r="901" spans="8:9" x14ac:dyDescent="0.2">
      <c r="H901" s="80"/>
      <c r="I901" s="80"/>
    </row>
    <row r="902" spans="8:9" x14ac:dyDescent="0.2">
      <c r="H902" s="80"/>
      <c r="I902" s="80"/>
    </row>
    <row r="903" spans="8:9" x14ac:dyDescent="0.2">
      <c r="H903" s="80"/>
      <c r="I903" s="80"/>
    </row>
    <row r="904" spans="8:9" x14ac:dyDescent="0.2">
      <c r="H904" s="80"/>
      <c r="I904" s="80"/>
    </row>
    <row r="905" spans="8:9" x14ac:dyDescent="0.2">
      <c r="H905" s="80"/>
      <c r="I905" s="80"/>
    </row>
    <row r="906" spans="8:9" x14ac:dyDescent="0.2">
      <c r="H906" s="80"/>
      <c r="I906" s="80"/>
    </row>
    <row r="907" spans="8:9" x14ac:dyDescent="0.2">
      <c r="H907" s="80"/>
      <c r="I907" s="80"/>
    </row>
    <row r="908" spans="8:9" x14ac:dyDescent="0.2">
      <c r="H908" s="80"/>
      <c r="I908" s="80"/>
    </row>
    <row r="909" spans="8:9" x14ac:dyDescent="0.2">
      <c r="H909" s="80"/>
      <c r="I909" s="80"/>
    </row>
    <row r="910" spans="8:9" x14ac:dyDescent="0.2">
      <c r="H910" s="80"/>
      <c r="I910" s="80"/>
    </row>
    <row r="911" spans="8:9" x14ac:dyDescent="0.2">
      <c r="H911" s="80"/>
      <c r="I911" s="80"/>
    </row>
    <row r="912" spans="8:9" x14ac:dyDescent="0.2">
      <c r="H912" s="80"/>
      <c r="I912" s="80"/>
    </row>
    <row r="913" spans="8:9" x14ac:dyDescent="0.2">
      <c r="H913" s="80"/>
      <c r="I913" s="80"/>
    </row>
    <row r="914" spans="8:9" x14ac:dyDescent="0.2">
      <c r="H914" s="80"/>
      <c r="I914" s="80"/>
    </row>
    <row r="915" spans="8:9" x14ac:dyDescent="0.2">
      <c r="H915" s="80"/>
      <c r="I915" s="80"/>
    </row>
    <row r="916" spans="8:9" x14ac:dyDescent="0.2">
      <c r="H916" s="80"/>
      <c r="I916" s="80"/>
    </row>
    <row r="917" spans="8:9" x14ac:dyDescent="0.2">
      <c r="H917" s="80"/>
      <c r="I917" s="80"/>
    </row>
    <row r="918" spans="8:9" x14ac:dyDescent="0.2">
      <c r="H918" s="80"/>
      <c r="I918" s="80"/>
    </row>
    <row r="919" spans="8:9" x14ac:dyDescent="0.2">
      <c r="H919" s="80"/>
      <c r="I919" s="80"/>
    </row>
    <row r="920" spans="8:9" x14ac:dyDescent="0.2">
      <c r="H920" s="80"/>
      <c r="I920" s="80"/>
    </row>
    <row r="921" spans="8:9" x14ac:dyDescent="0.2">
      <c r="H921" s="80"/>
      <c r="I921" s="80"/>
    </row>
    <row r="922" spans="8:9" x14ac:dyDescent="0.2">
      <c r="H922" s="80"/>
      <c r="I922" s="80"/>
    </row>
    <row r="923" spans="8:9" x14ac:dyDescent="0.2">
      <c r="H923" s="80"/>
      <c r="I923" s="80"/>
    </row>
    <row r="924" spans="8:9" x14ac:dyDescent="0.2">
      <c r="H924" s="80"/>
      <c r="I924" s="80"/>
    </row>
    <row r="925" spans="8:9" x14ac:dyDescent="0.2">
      <c r="H925" s="80"/>
      <c r="I925" s="80"/>
    </row>
    <row r="926" spans="8:9" x14ac:dyDescent="0.2">
      <c r="H926" s="80"/>
      <c r="I926" s="80"/>
    </row>
    <row r="927" spans="8:9" x14ac:dyDescent="0.2">
      <c r="H927" s="80"/>
      <c r="I927" s="80"/>
    </row>
    <row r="928" spans="8:9" x14ac:dyDescent="0.2">
      <c r="H928" s="80"/>
      <c r="I928" s="80"/>
    </row>
    <row r="929" spans="8:9" x14ac:dyDescent="0.2">
      <c r="H929" s="80"/>
      <c r="I929" s="80"/>
    </row>
    <row r="930" spans="8:9" x14ac:dyDescent="0.2">
      <c r="H930" s="80"/>
      <c r="I930" s="80"/>
    </row>
    <row r="931" spans="8:9" x14ac:dyDescent="0.2">
      <c r="H931" s="80"/>
      <c r="I931" s="80"/>
    </row>
    <row r="932" spans="8:9" x14ac:dyDescent="0.2">
      <c r="H932" s="80"/>
      <c r="I932" s="80"/>
    </row>
    <row r="933" spans="8:9" x14ac:dyDescent="0.2">
      <c r="H933" s="80"/>
      <c r="I933" s="80"/>
    </row>
    <row r="934" spans="8:9" x14ac:dyDescent="0.2">
      <c r="H934" s="80"/>
      <c r="I934" s="80"/>
    </row>
    <row r="935" spans="8:9" x14ac:dyDescent="0.2">
      <c r="H935" s="80"/>
      <c r="I935" s="80"/>
    </row>
    <row r="936" spans="8:9" x14ac:dyDescent="0.2">
      <c r="H936" s="80"/>
      <c r="I936" s="80"/>
    </row>
    <row r="937" spans="8:9" x14ac:dyDescent="0.2">
      <c r="H937" s="80"/>
      <c r="I937" s="80"/>
    </row>
    <row r="938" spans="8:9" x14ac:dyDescent="0.2">
      <c r="H938" s="80"/>
      <c r="I938" s="80"/>
    </row>
    <row r="939" spans="8:9" x14ac:dyDescent="0.2">
      <c r="H939" s="80"/>
      <c r="I939" s="80"/>
    </row>
    <row r="940" spans="8:9" x14ac:dyDescent="0.2">
      <c r="H940" s="80"/>
      <c r="I940" s="80"/>
    </row>
    <row r="941" spans="8:9" x14ac:dyDescent="0.2">
      <c r="H941" s="80"/>
      <c r="I941" s="80"/>
    </row>
    <row r="942" spans="8:9" x14ac:dyDescent="0.2">
      <c r="H942" s="80"/>
      <c r="I942" s="80"/>
    </row>
    <row r="943" spans="8:9" x14ac:dyDescent="0.2">
      <c r="H943" s="80"/>
      <c r="I943" s="80"/>
    </row>
    <row r="944" spans="8:9" x14ac:dyDescent="0.2">
      <c r="H944" s="80"/>
      <c r="I944" s="80"/>
    </row>
    <row r="945" spans="8:9" x14ac:dyDescent="0.2">
      <c r="H945" s="80"/>
      <c r="I945" s="80"/>
    </row>
    <row r="946" spans="8:9" x14ac:dyDescent="0.2">
      <c r="H946" s="80"/>
      <c r="I946" s="80"/>
    </row>
    <row r="947" spans="8:9" x14ac:dyDescent="0.2">
      <c r="H947" s="80"/>
      <c r="I947" s="80"/>
    </row>
    <row r="948" spans="8:9" x14ac:dyDescent="0.2">
      <c r="H948" s="80"/>
      <c r="I948" s="80"/>
    </row>
    <row r="949" spans="8:9" x14ac:dyDescent="0.2">
      <c r="H949" s="80"/>
      <c r="I949" s="80"/>
    </row>
    <row r="950" spans="8:9" x14ac:dyDescent="0.2">
      <c r="H950" s="80"/>
      <c r="I950" s="80"/>
    </row>
    <row r="951" spans="8:9" x14ac:dyDescent="0.2">
      <c r="H951" s="80"/>
      <c r="I951" s="80"/>
    </row>
    <row r="952" spans="8:9" x14ac:dyDescent="0.2">
      <c r="H952" s="80"/>
      <c r="I952" s="80"/>
    </row>
    <row r="953" spans="8:9" x14ac:dyDescent="0.2">
      <c r="H953" s="80"/>
      <c r="I953" s="80"/>
    </row>
    <row r="954" spans="8:9" x14ac:dyDescent="0.2">
      <c r="H954" s="80"/>
      <c r="I954" s="80"/>
    </row>
    <row r="955" spans="8:9" x14ac:dyDescent="0.2">
      <c r="H955" s="80"/>
      <c r="I955" s="80"/>
    </row>
    <row r="956" spans="8:9" x14ac:dyDescent="0.2">
      <c r="H956" s="80"/>
      <c r="I956" s="80"/>
    </row>
    <row r="957" spans="8:9" x14ac:dyDescent="0.2">
      <c r="H957" s="80"/>
      <c r="I957" s="80"/>
    </row>
    <row r="958" spans="8:9" x14ac:dyDescent="0.2">
      <c r="H958" s="80"/>
      <c r="I958" s="80"/>
    </row>
    <row r="959" spans="8:9" x14ac:dyDescent="0.2">
      <c r="H959" s="80"/>
      <c r="I959" s="80"/>
    </row>
    <row r="960" spans="8:9" x14ac:dyDescent="0.2">
      <c r="H960" s="80"/>
      <c r="I960" s="80"/>
    </row>
    <row r="961" spans="8:9" x14ac:dyDescent="0.2">
      <c r="H961" s="80"/>
      <c r="I961" s="80"/>
    </row>
    <row r="962" spans="8:9" x14ac:dyDescent="0.2">
      <c r="H962" s="80"/>
      <c r="I962" s="80"/>
    </row>
    <row r="963" spans="8:9" x14ac:dyDescent="0.2">
      <c r="H963" s="80"/>
      <c r="I963" s="80"/>
    </row>
    <row r="964" spans="8:9" x14ac:dyDescent="0.2">
      <c r="H964" s="80"/>
      <c r="I964" s="80"/>
    </row>
    <row r="965" spans="8:9" x14ac:dyDescent="0.2">
      <c r="H965" s="80"/>
      <c r="I965" s="80"/>
    </row>
    <row r="966" spans="8:9" x14ac:dyDescent="0.2">
      <c r="H966" s="80"/>
      <c r="I966" s="80"/>
    </row>
    <row r="967" spans="8:9" x14ac:dyDescent="0.2">
      <c r="H967" s="80"/>
      <c r="I967" s="80"/>
    </row>
    <row r="968" spans="8:9" x14ac:dyDescent="0.2">
      <c r="H968" s="80"/>
      <c r="I968" s="80"/>
    </row>
    <row r="969" spans="8:9" x14ac:dyDescent="0.2">
      <c r="H969" s="80"/>
      <c r="I969" s="80"/>
    </row>
    <row r="970" spans="8:9" x14ac:dyDescent="0.2">
      <c r="H970" s="80"/>
      <c r="I970" s="80"/>
    </row>
    <row r="971" spans="8:9" x14ac:dyDescent="0.2">
      <c r="H971" s="80"/>
      <c r="I971" s="80"/>
    </row>
    <row r="972" spans="8:9" x14ac:dyDescent="0.2">
      <c r="H972" s="80"/>
      <c r="I972" s="80"/>
    </row>
    <row r="973" spans="8:9" x14ac:dyDescent="0.2">
      <c r="H973" s="80"/>
      <c r="I973" s="80"/>
    </row>
    <row r="974" spans="8:9" x14ac:dyDescent="0.2">
      <c r="H974" s="80"/>
      <c r="I974" s="80"/>
    </row>
    <row r="975" spans="8:9" x14ac:dyDescent="0.2">
      <c r="H975" s="80"/>
      <c r="I975" s="80"/>
    </row>
    <row r="976" spans="8:9" x14ac:dyDescent="0.2">
      <c r="H976" s="80"/>
      <c r="I976" s="80"/>
    </row>
    <row r="977" spans="8:9" x14ac:dyDescent="0.2">
      <c r="H977" s="80"/>
      <c r="I977" s="80"/>
    </row>
    <row r="978" spans="8:9" x14ac:dyDescent="0.2">
      <c r="H978" s="80"/>
      <c r="I978" s="80"/>
    </row>
    <row r="979" spans="8:9" x14ac:dyDescent="0.2">
      <c r="H979" s="80"/>
      <c r="I979" s="80"/>
    </row>
    <row r="980" spans="8:9" x14ac:dyDescent="0.2">
      <c r="H980" s="80"/>
      <c r="I980" s="80"/>
    </row>
    <row r="981" spans="8:9" x14ac:dyDescent="0.2">
      <c r="H981" s="80"/>
      <c r="I981" s="80"/>
    </row>
    <row r="982" spans="8:9" x14ac:dyDescent="0.2">
      <c r="H982" s="80"/>
      <c r="I982" s="80"/>
    </row>
    <row r="983" spans="8:9" x14ac:dyDescent="0.2">
      <c r="H983" s="80"/>
      <c r="I983" s="80"/>
    </row>
    <row r="984" spans="8:9" x14ac:dyDescent="0.2">
      <c r="H984" s="80"/>
      <c r="I984" s="80"/>
    </row>
    <row r="985" spans="8:9" x14ac:dyDescent="0.2">
      <c r="H985" s="80"/>
      <c r="I985" s="80"/>
    </row>
    <row r="986" spans="8:9" x14ac:dyDescent="0.2">
      <c r="H986" s="80"/>
      <c r="I986" s="80"/>
    </row>
    <row r="987" spans="8:9" x14ac:dyDescent="0.2">
      <c r="H987" s="80"/>
      <c r="I987" s="80"/>
    </row>
    <row r="988" spans="8:9" x14ac:dyDescent="0.2">
      <c r="H988" s="80"/>
      <c r="I988" s="80"/>
    </row>
    <row r="989" spans="8:9" x14ac:dyDescent="0.2">
      <c r="H989" s="80"/>
      <c r="I989" s="80"/>
    </row>
    <row r="990" spans="8:9" x14ac:dyDescent="0.2">
      <c r="H990" s="80"/>
      <c r="I990" s="80"/>
    </row>
    <row r="991" spans="8:9" x14ac:dyDescent="0.2">
      <c r="H991" s="80"/>
      <c r="I991" s="80"/>
    </row>
    <row r="992" spans="8:9" x14ac:dyDescent="0.2">
      <c r="H992" s="80"/>
      <c r="I992" s="80"/>
    </row>
    <row r="993" spans="8:9" x14ac:dyDescent="0.2">
      <c r="H993" s="80"/>
      <c r="I993" s="80"/>
    </row>
    <row r="994" spans="8:9" x14ac:dyDescent="0.2">
      <c r="H994" s="80"/>
      <c r="I994" s="80"/>
    </row>
    <row r="995" spans="8:9" x14ac:dyDescent="0.2">
      <c r="H995" s="80"/>
      <c r="I995" s="80"/>
    </row>
    <row r="996" spans="8:9" x14ac:dyDescent="0.2">
      <c r="H996" s="80"/>
      <c r="I996" s="80"/>
    </row>
    <row r="997" spans="8:9" x14ac:dyDescent="0.2">
      <c r="H997" s="80"/>
      <c r="I997" s="80"/>
    </row>
    <row r="998" spans="8:9" x14ac:dyDescent="0.2">
      <c r="H998" s="80"/>
      <c r="I998" s="80"/>
    </row>
    <row r="999" spans="8:9" x14ac:dyDescent="0.2">
      <c r="H999" s="80"/>
      <c r="I999" s="80"/>
    </row>
    <row r="1000" spans="8:9" x14ac:dyDescent="0.2">
      <c r="H1000" s="80"/>
      <c r="I1000" s="80"/>
    </row>
    <row r="1001" spans="8:9" x14ac:dyDescent="0.2">
      <c r="H1001" s="80"/>
      <c r="I1001" s="80"/>
    </row>
    <row r="1002" spans="8:9" x14ac:dyDescent="0.2">
      <c r="H1002" s="80"/>
      <c r="I1002" s="80"/>
    </row>
    <row r="1003" spans="8:9" x14ac:dyDescent="0.2">
      <c r="H1003" s="80"/>
      <c r="I1003" s="80"/>
    </row>
    <row r="1004" spans="8:9" x14ac:dyDescent="0.2">
      <c r="H1004" s="80"/>
      <c r="I1004" s="80"/>
    </row>
    <row r="1005" spans="8:9" x14ac:dyDescent="0.2">
      <c r="H1005" s="80"/>
      <c r="I1005" s="80"/>
    </row>
    <row r="1006" spans="8:9" x14ac:dyDescent="0.2">
      <c r="H1006" s="80"/>
      <c r="I1006" s="80"/>
    </row>
    <row r="1007" spans="8:9" x14ac:dyDescent="0.2">
      <c r="H1007" s="80"/>
      <c r="I1007" s="80"/>
    </row>
    <row r="1008" spans="8:9" x14ac:dyDescent="0.2">
      <c r="H1008" s="80"/>
      <c r="I1008" s="80"/>
    </row>
    <row r="1009" spans="8:9" x14ac:dyDescent="0.2">
      <c r="H1009" s="80"/>
      <c r="I1009" s="80"/>
    </row>
    <row r="1010" spans="8:9" x14ac:dyDescent="0.2">
      <c r="H1010" s="80"/>
      <c r="I1010" s="80"/>
    </row>
    <row r="1011" spans="8:9" x14ac:dyDescent="0.2">
      <c r="H1011" s="80"/>
      <c r="I1011" s="80"/>
    </row>
    <row r="1012" spans="8:9" x14ac:dyDescent="0.2">
      <c r="H1012" s="80"/>
      <c r="I1012" s="80"/>
    </row>
    <row r="1013" spans="8:9" x14ac:dyDescent="0.2">
      <c r="H1013" s="80"/>
      <c r="I1013" s="80"/>
    </row>
    <row r="1014" spans="8:9" x14ac:dyDescent="0.2">
      <c r="H1014" s="80"/>
      <c r="I1014" s="80"/>
    </row>
    <row r="1015" spans="8:9" x14ac:dyDescent="0.2">
      <c r="H1015" s="80"/>
      <c r="I1015" s="80"/>
    </row>
    <row r="1016" spans="8:9" x14ac:dyDescent="0.2">
      <c r="H1016" s="80"/>
      <c r="I1016" s="80"/>
    </row>
    <row r="1017" spans="8:9" x14ac:dyDescent="0.2">
      <c r="H1017" s="80"/>
      <c r="I1017" s="80"/>
    </row>
    <row r="1018" spans="8:9" x14ac:dyDescent="0.2">
      <c r="H1018" s="80"/>
      <c r="I1018" s="80"/>
    </row>
    <row r="1019" spans="8:9" x14ac:dyDescent="0.2">
      <c r="H1019" s="80"/>
      <c r="I1019" s="80"/>
    </row>
    <row r="1020" spans="8:9" x14ac:dyDescent="0.2">
      <c r="H1020" s="80"/>
      <c r="I1020" s="80"/>
    </row>
    <row r="1021" spans="8:9" x14ac:dyDescent="0.2">
      <c r="H1021" s="80"/>
      <c r="I1021" s="80"/>
    </row>
    <row r="1022" spans="8:9" x14ac:dyDescent="0.2">
      <c r="H1022" s="80"/>
      <c r="I1022" s="80"/>
    </row>
    <row r="1023" spans="8:9" x14ac:dyDescent="0.2">
      <c r="H1023" s="80"/>
      <c r="I1023" s="80"/>
    </row>
    <row r="1024" spans="8:9" x14ac:dyDescent="0.2">
      <c r="H1024" s="80"/>
      <c r="I1024" s="80"/>
    </row>
    <row r="1025" spans="8:9" x14ac:dyDescent="0.2">
      <c r="H1025" s="80"/>
      <c r="I1025" s="80"/>
    </row>
    <row r="1026" spans="8:9" x14ac:dyDescent="0.2">
      <c r="H1026" s="80"/>
      <c r="I1026" s="80"/>
    </row>
    <row r="1027" spans="8:9" x14ac:dyDescent="0.2">
      <c r="H1027" s="80"/>
      <c r="I1027" s="80"/>
    </row>
    <row r="1028" spans="8:9" x14ac:dyDescent="0.2">
      <c r="H1028" s="80"/>
      <c r="I1028" s="80"/>
    </row>
    <row r="1029" spans="8:9" x14ac:dyDescent="0.2">
      <c r="H1029" s="80"/>
      <c r="I1029" s="80"/>
    </row>
    <row r="1030" spans="8:9" x14ac:dyDescent="0.2">
      <c r="H1030" s="80"/>
      <c r="I1030" s="80"/>
    </row>
    <row r="1031" spans="8:9" x14ac:dyDescent="0.2">
      <c r="H1031" s="80"/>
      <c r="I1031" s="80"/>
    </row>
    <row r="1032" spans="8:9" x14ac:dyDescent="0.2">
      <c r="H1032" s="80"/>
      <c r="I1032" s="80"/>
    </row>
    <row r="1033" spans="8:9" x14ac:dyDescent="0.2">
      <c r="H1033" s="80"/>
      <c r="I1033" s="80"/>
    </row>
    <row r="1034" spans="8:9" x14ac:dyDescent="0.2">
      <c r="H1034" s="80"/>
      <c r="I1034" s="80"/>
    </row>
    <row r="1035" spans="8:9" x14ac:dyDescent="0.2">
      <c r="H1035" s="80"/>
      <c r="I1035" s="80"/>
    </row>
    <row r="1036" spans="8:9" x14ac:dyDescent="0.2">
      <c r="H1036" s="80"/>
      <c r="I1036" s="80"/>
    </row>
    <row r="1037" spans="8:9" x14ac:dyDescent="0.2">
      <c r="H1037" s="80"/>
      <c r="I1037" s="80"/>
    </row>
    <row r="1038" spans="8:9" x14ac:dyDescent="0.2">
      <c r="H1038" s="80"/>
      <c r="I1038" s="80"/>
    </row>
    <row r="1039" spans="8:9" x14ac:dyDescent="0.2">
      <c r="H1039" s="80"/>
      <c r="I1039" s="80"/>
    </row>
    <row r="1040" spans="8:9" x14ac:dyDescent="0.2">
      <c r="H1040" s="80"/>
      <c r="I1040" s="80"/>
    </row>
    <row r="1041" spans="8:9" x14ac:dyDescent="0.2">
      <c r="H1041" s="80"/>
      <c r="I1041" s="80"/>
    </row>
    <row r="1042" spans="8:9" x14ac:dyDescent="0.2">
      <c r="H1042" s="80"/>
      <c r="I1042" s="80"/>
    </row>
    <row r="1043" spans="8:9" x14ac:dyDescent="0.2">
      <c r="H1043" s="80"/>
      <c r="I1043" s="80"/>
    </row>
    <row r="1044" spans="8:9" x14ac:dyDescent="0.2">
      <c r="H1044" s="80"/>
      <c r="I1044" s="80"/>
    </row>
    <row r="1045" spans="8:9" x14ac:dyDescent="0.2">
      <c r="H1045" s="80"/>
      <c r="I1045" s="80"/>
    </row>
    <row r="1046" spans="8:9" x14ac:dyDescent="0.2">
      <c r="H1046" s="80"/>
      <c r="I1046" s="80"/>
    </row>
    <row r="1047" spans="8:9" x14ac:dyDescent="0.2">
      <c r="H1047" s="80"/>
      <c r="I1047" s="80"/>
    </row>
    <row r="1048" spans="8:9" x14ac:dyDescent="0.2">
      <c r="H1048" s="80"/>
      <c r="I1048" s="80"/>
    </row>
    <row r="1049" spans="8:9" x14ac:dyDescent="0.2">
      <c r="H1049" s="80"/>
      <c r="I1049" s="80"/>
    </row>
    <row r="1050" spans="8:9" x14ac:dyDescent="0.2">
      <c r="H1050" s="80"/>
      <c r="I1050" s="80"/>
    </row>
    <row r="1051" spans="8:9" x14ac:dyDescent="0.2">
      <c r="H1051" s="80"/>
      <c r="I1051" s="80"/>
    </row>
    <row r="1052" spans="8:9" x14ac:dyDescent="0.2">
      <c r="H1052" s="80"/>
      <c r="I1052" s="80"/>
    </row>
    <row r="1053" spans="8:9" x14ac:dyDescent="0.2">
      <c r="H1053" s="80"/>
      <c r="I1053" s="80"/>
    </row>
    <row r="1054" spans="8:9" x14ac:dyDescent="0.2">
      <c r="H1054" s="80"/>
      <c r="I1054" s="80"/>
    </row>
    <row r="1055" spans="8:9" x14ac:dyDescent="0.2">
      <c r="H1055" s="80"/>
      <c r="I1055" s="80"/>
    </row>
    <row r="1056" spans="8:9" x14ac:dyDescent="0.2">
      <c r="H1056" s="80"/>
      <c r="I1056" s="80"/>
    </row>
    <row r="1057" spans="8:9" x14ac:dyDescent="0.2">
      <c r="H1057" s="80"/>
      <c r="I1057" s="80"/>
    </row>
    <row r="1058" spans="8:9" x14ac:dyDescent="0.2">
      <c r="H1058" s="80"/>
      <c r="I1058" s="80"/>
    </row>
    <row r="1059" spans="8:9" x14ac:dyDescent="0.2">
      <c r="H1059" s="80"/>
      <c r="I1059" s="80"/>
    </row>
    <row r="1060" spans="8:9" x14ac:dyDescent="0.2">
      <c r="H1060" s="80"/>
      <c r="I1060" s="80"/>
    </row>
    <row r="1061" spans="8:9" x14ac:dyDescent="0.2">
      <c r="H1061" s="80"/>
      <c r="I1061" s="80"/>
    </row>
    <row r="1062" spans="8:9" x14ac:dyDescent="0.2">
      <c r="H1062" s="80"/>
      <c r="I1062" s="80"/>
    </row>
    <row r="1063" spans="8:9" x14ac:dyDescent="0.2">
      <c r="H1063" s="80"/>
      <c r="I1063" s="80"/>
    </row>
    <row r="1064" spans="8:9" x14ac:dyDescent="0.2">
      <c r="H1064" s="80"/>
      <c r="I1064" s="80"/>
    </row>
    <row r="1065" spans="8:9" x14ac:dyDescent="0.2">
      <c r="H1065" s="80"/>
      <c r="I1065" s="80"/>
    </row>
    <row r="1066" spans="8:9" x14ac:dyDescent="0.2">
      <c r="H1066" s="80"/>
      <c r="I1066" s="80"/>
    </row>
    <row r="1067" spans="8:9" x14ac:dyDescent="0.2">
      <c r="H1067" s="80"/>
      <c r="I1067" s="80"/>
    </row>
    <row r="1068" spans="8:9" x14ac:dyDescent="0.2">
      <c r="H1068" s="80"/>
      <c r="I1068" s="80"/>
    </row>
    <row r="1069" spans="8:9" x14ac:dyDescent="0.2">
      <c r="H1069" s="80"/>
      <c r="I1069" s="80"/>
    </row>
    <row r="1070" spans="8:9" x14ac:dyDescent="0.2">
      <c r="H1070" s="80"/>
      <c r="I1070" s="80"/>
    </row>
    <row r="1071" spans="8:9" x14ac:dyDescent="0.2">
      <c r="H1071" s="80"/>
      <c r="I1071" s="80"/>
    </row>
    <row r="1072" spans="8:9" x14ac:dyDescent="0.2">
      <c r="H1072" s="80"/>
      <c r="I1072" s="80"/>
    </row>
    <row r="1073" spans="8:9" x14ac:dyDescent="0.2">
      <c r="H1073" s="80"/>
      <c r="I1073" s="80"/>
    </row>
    <row r="1074" spans="8:9" x14ac:dyDescent="0.2">
      <c r="H1074" s="80"/>
      <c r="I1074" s="80"/>
    </row>
    <row r="1075" spans="8:9" x14ac:dyDescent="0.2">
      <c r="H1075" s="80"/>
      <c r="I1075" s="80"/>
    </row>
    <row r="1076" spans="8:9" x14ac:dyDescent="0.2">
      <c r="H1076" s="80"/>
      <c r="I1076" s="80"/>
    </row>
    <row r="1077" spans="8:9" x14ac:dyDescent="0.2">
      <c r="H1077" s="80"/>
      <c r="I1077" s="80"/>
    </row>
    <row r="1078" spans="8:9" x14ac:dyDescent="0.2">
      <c r="H1078" s="80"/>
      <c r="I1078" s="80"/>
    </row>
    <row r="1079" spans="8:9" x14ac:dyDescent="0.2">
      <c r="H1079" s="80"/>
      <c r="I1079" s="80"/>
    </row>
    <row r="1080" spans="8:9" x14ac:dyDescent="0.2">
      <c r="H1080" s="80"/>
      <c r="I1080" s="80"/>
    </row>
    <row r="1081" spans="8:9" x14ac:dyDescent="0.2">
      <c r="H1081" s="80"/>
      <c r="I1081" s="80"/>
    </row>
    <row r="1082" spans="8:9" x14ac:dyDescent="0.2">
      <c r="H1082" s="80"/>
      <c r="I1082" s="80"/>
    </row>
    <row r="1083" spans="8:9" x14ac:dyDescent="0.2">
      <c r="H1083" s="80"/>
      <c r="I1083" s="80"/>
    </row>
    <row r="1084" spans="8:9" x14ac:dyDescent="0.2">
      <c r="H1084" s="80"/>
      <c r="I1084" s="80"/>
    </row>
    <row r="1085" spans="8:9" x14ac:dyDescent="0.2">
      <c r="H1085" s="80"/>
      <c r="I1085" s="80"/>
    </row>
    <row r="1086" spans="8:9" x14ac:dyDescent="0.2">
      <c r="H1086" s="80"/>
      <c r="I1086" s="80"/>
    </row>
    <row r="1087" spans="8:9" x14ac:dyDescent="0.2">
      <c r="H1087" s="80"/>
      <c r="I1087" s="80"/>
    </row>
    <row r="1088" spans="8:9" x14ac:dyDescent="0.2">
      <c r="H1088" s="80"/>
      <c r="I1088" s="80"/>
    </row>
    <row r="1089" spans="8:9" x14ac:dyDescent="0.2">
      <c r="H1089" s="80"/>
      <c r="I1089" s="80"/>
    </row>
    <row r="1090" spans="8:9" x14ac:dyDescent="0.2">
      <c r="H1090" s="80"/>
      <c r="I1090" s="80"/>
    </row>
    <row r="1091" spans="8:9" x14ac:dyDescent="0.2">
      <c r="H1091" s="80"/>
      <c r="I1091" s="80"/>
    </row>
    <row r="1092" spans="8:9" x14ac:dyDescent="0.2">
      <c r="H1092" s="80"/>
      <c r="I1092" s="80"/>
    </row>
    <row r="1093" spans="8:9" x14ac:dyDescent="0.2">
      <c r="H1093" s="80"/>
      <c r="I1093" s="80"/>
    </row>
    <row r="1094" spans="8:9" x14ac:dyDescent="0.2">
      <c r="H1094" s="80"/>
      <c r="I1094" s="80"/>
    </row>
    <row r="1095" spans="8:9" x14ac:dyDescent="0.2">
      <c r="H1095" s="80"/>
      <c r="I1095" s="80"/>
    </row>
    <row r="1096" spans="8:9" x14ac:dyDescent="0.2">
      <c r="H1096" s="80"/>
      <c r="I1096" s="80"/>
    </row>
    <row r="1097" spans="8:9" x14ac:dyDescent="0.2">
      <c r="H1097" s="80"/>
      <c r="I1097" s="80"/>
    </row>
    <row r="1098" spans="8:9" x14ac:dyDescent="0.2">
      <c r="H1098" s="80"/>
      <c r="I1098" s="80"/>
    </row>
    <row r="1099" spans="8:9" x14ac:dyDescent="0.2">
      <c r="H1099" s="80"/>
      <c r="I1099" s="80"/>
    </row>
    <row r="1100" spans="8:9" x14ac:dyDescent="0.2">
      <c r="H1100" s="80"/>
      <c r="I1100" s="80"/>
    </row>
    <row r="1101" spans="8:9" x14ac:dyDescent="0.2">
      <c r="H1101" s="80"/>
      <c r="I1101" s="80"/>
    </row>
    <row r="1102" spans="8:9" x14ac:dyDescent="0.2">
      <c r="H1102" s="80"/>
      <c r="I1102" s="80"/>
    </row>
    <row r="1103" spans="8:9" x14ac:dyDescent="0.2">
      <c r="H1103" s="80"/>
      <c r="I1103" s="80"/>
    </row>
    <row r="1104" spans="8:9" x14ac:dyDescent="0.2">
      <c r="H1104" s="80"/>
      <c r="I1104" s="80"/>
    </row>
    <row r="1105" spans="8:9" x14ac:dyDescent="0.2">
      <c r="H1105" s="80"/>
      <c r="I1105" s="80"/>
    </row>
    <row r="1106" spans="8:9" x14ac:dyDescent="0.2">
      <c r="H1106" s="80"/>
      <c r="I1106" s="80"/>
    </row>
    <row r="1107" spans="8:9" x14ac:dyDescent="0.2">
      <c r="H1107" s="80"/>
      <c r="I1107" s="80"/>
    </row>
    <row r="1108" spans="8:9" x14ac:dyDescent="0.2">
      <c r="H1108" s="80"/>
      <c r="I1108" s="80"/>
    </row>
    <row r="1109" spans="8:9" x14ac:dyDescent="0.2">
      <c r="H1109" s="80"/>
      <c r="I1109" s="80"/>
    </row>
    <row r="1110" spans="8:9" x14ac:dyDescent="0.2">
      <c r="H1110" s="80"/>
      <c r="I1110" s="80"/>
    </row>
    <row r="1111" spans="8:9" x14ac:dyDescent="0.2">
      <c r="H1111" s="80"/>
      <c r="I1111" s="80"/>
    </row>
    <row r="1112" spans="8:9" x14ac:dyDescent="0.2">
      <c r="H1112" s="80"/>
      <c r="I1112" s="80"/>
    </row>
    <row r="1113" spans="8:9" x14ac:dyDescent="0.2">
      <c r="H1113" s="80"/>
      <c r="I1113" s="80"/>
    </row>
    <row r="1114" spans="8:9" x14ac:dyDescent="0.2">
      <c r="H1114" s="80"/>
      <c r="I1114" s="80"/>
    </row>
    <row r="1115" spans="8:9" x14ac:dyDescent="0.2">
      <c r="H1115" s="80"/>
      <c r="I1115" s="80"/>
    </row>
    <row r="1116" spans="8:9" x14ac:dyDescent="0.2">
      <c r="H1116" s="80"/>
      <c r="I1116" s="80"/>
    </row>
    <row r="1117" spans="8:9" x14ac:dyDescent="0.2">
      <c r="H1117" s="80"/>
      <c r="I1117" s="80"/>
    </row>
    <row r="1118" spans="8:9" x14ac:dyDescent="0.2">
      <c r="H1118" s="80"/>
      <c r="I1118" s="80"/>
    </row>
    <row r="1119" spans="8:9" x14ac:dyDescent="0.2">
      <c r="H1119" s="80"/>
      <c r="I1119" s="80"/>
    </row>
    <row r="1120" spans="8:9" x14ac:dyDescent="0.2">
      <c r="H1120" s="80"/>
      <c r="I1120" s="80"/>
    </row>
    <row r="1121" spans="8:9" x14ac:dyDescent="0.2">
      <c r="H1121" s="80"/>
      <c r="I1121" s="80"/>
    </row>
    <row r="1122" spans="8:9" x14ac:dyDescent="0.2">
      <c r="H1122" s="80"/>
      <c r="I1122" s="80"/>
    </row>
    <row r="1123" spans="8:9" x14ac:dyDescent="0.2">
      <c r="H1123" s="80"/>
      <c r="I1123" s="80"/>
    </row>
    <row r="1124" spans="8:9" x14ac:dyDescent="0.2">
      <c r="H1124" s="80"/>
      <c r="I1124" s="80"/>
    </row>
    <row r="1125" spans="8:9" x14ac:dyDescent="0.2">
      <c r="H1125" s="80"/>
      <c r="I1125" s="80"/>
    </row>
    <row r="1126" spans="8:9" x14ac:dyDescent="0.2">
      <c r="H1126" s="80"/>
      <c r="I1126" s="80"/>
    </row>
    <row r="1127" spans="8:9" x14ac:dyDescent="0.2">
      <c r="H1127" s="80"/>
      <c r="I1127" s="80"/>
    </row>
    <row r="1128" spans="8:9" x14ac:dyDescent="0.2">
      <c r="H1128" s="80"/>
      <c r="I1128" s="80"/>
    </row>
    <row r="1129" spans="8:9" x14ac:dyDescent="0.2">
      <c r="H1129" s="80"/>
      <c r="I1129" s="80"/>
    </row>
    <row r="1130" spans="8:9" x14ac:dyDescent="0.2">
      <c r="H1130" s="80"/>
      <c r="I1130" s="80"/>
    </row>
    <row r="1131" spans="8:9" x14ac:dyDescent="0.2">
      <c r="H1131" s="80"/>
      <c r="I1131" s="80"/>
    </row>
    <row r="1132" spans="8:9" x14ac:dyDescent="0.2">
      <c r="H1132" s="80"/>
      <c r="I1132" s="80"/>
    </row>
    <row r="1133" spans="8:9" x14ac:dyDescent="0.2">
      <c r="H1133" s="80"/>
      <c r="I1133" s="80"/>
    </row>
    <row r="1134" spans="8:9" x14ac:dyDescent="0.2">
      <c r="H1134" s="80"/>
      <c r="I1134" s="80"/>
    </row>
    <row r="1135" spans="8:9" x14ac:dyDescent="0.2">
      <c r="H1135" s="80"/>
      <c r="I1135" s="80"/>
    </row>
    <row r="1136" spans="8:9" x14ac:dyDescent="0.2">
      <c r="H1136" s="80"/>
      <c r="I1136" s="80"/>
    </row>
    <row r="1137" spans="8:9" x14ac:dyDescent="0.2">
      <c r="H1137" s="80"/>
      <c r="I1137" s="80"/>
    </row>
    <row r="1138" spans="8:9" x14ac:dyDescent="0.2">
      <c r="H1138" s="80"/>
      <c r="I1138" s="80"/>
    </row>
    <row r="1139" spans="8:9" x14ac:dyDescent="0.2">
      <c r="H1139" s="80"/>
      <c r="I1139" s="80"/>
    </row>
    <row r="1140" spans="8:9" x14ac:dyDescent="0.2">
      <c r="H1140" s="80"/>
      <c r="I1140" s="80"/>
    </row>
    <row r="1141" spans="8:9" x14ac:dyDescent="0.2">
      <c r="H1141" s="80"/>
      <c r="I1141" s="80"/>
    </row>
    <row r="1142" spans="8:9" x14ac:dyDescent="0.2">
      <c r="H1142" s="80"/>
      <c r="I1142" s="80"/>
    </row>
    <row r="1143" spans="8:9" x14ac:dyDescent="0.2">
      <c r="H1143" s="80"/>
      <c r="I1143" s="80"/>
    </row>
    <row r="1144" spans="8:9" x14ac:dyDescent="0.2">
      <c r="H1144" s="80"/>
      <c r="I1144" s="80"/>
    </row>
    <row r="1145" spans="8:9" x14ac:dyDescent="0.2">
      <c r="H1145" s="80"/>
      <c r="I1145" s="80"/>
    </row>
    <row r="1146" spans="8:9" x14ac:dyDescent="0.2">
      <c r="H1146" s="80"/>
      <c r="I1146" s="80"/>
    </row>
    <row r="1147" spans="8:9" x14ac:dyDescent="0.2">
      <c r="H1147" s="80"/>
      <c r="I1147" s="80"/>
    </row>
    <row r="1148" spans="8:9" x14ac:dyDescent="0.2">
      <c r="H1148" s="80"/>
      <c r="I1148" s="80"/>
    </row>
    <row r="1149" spans="8:9" x14ac:dyDescent="0.2">
      <c r="H1149" s="80"/>
      <c r="I1149" s="80"/>
    </row>
    <row r="1150" spans="8:9" x14ac:dyDescent="0.2">
      <c r="H1150" s="80"/>
      <c r="I1150" s="80"/>
    </row>
    <row r="1151" spans="8:9" x14ac:dyDescent="0.2">
      <c r="H1151" s="80"/>
      <c r="I1151" s="80"/>
    </row>
    <row r="1152" spans="8:9" x14ac:dyDescent="0.2">
      <c r="H1152" s="80"/>
      <c r="I1152" s="80"/>
    </row>
    <row r="1153" spans="8:9" x14ac:dyDescent="0.2">
      <c r="H1153" s="80"/>
      <c r="I1153" s="80"/>
    </row>
    <row r="1154" spans="8:9" x14ac:dyDescent="0.2">
      <c r="H1154" s="80"/>
      <c r="I1154" s="80"/>
    </row>
    <row r="1155" spans="8:9" x14ac:dyDescent="0.2">
      <c r="H1155" s="80"/>
      <c r="I1155" s="80"/>
    </row>
    <row r="1156" spans="8:9" x14ac:dyDescent="0.2">
      <c r="H1156" s="80"/>
      <c r="I1156" s="80"/>
    </row>
    <row r="1157" spans="8:9" x14ac:dyDescent="0.2">
      <c r="H1157" s="80"/>
      <c r="I1157" s="80"/>
    </row>
    <row r="1158" spans="8:9" x14ac:dyDescent="0.2">
      <c r="H1158" s="80"/>
      <c r="I1158" s="80"/>
    </row>
    <row r="1159" spans="8:9" x14ac:dyDescent="0.2">
      <c r="H1159" s="80"/>
      <c r="I1159" s="80"/>
    </row>
    <row r="1160" spans="8:9" x14ac:dyDescent="0.2">
      <c r="H1160" s="80"/>
      <c r="I1160" s="80"/>
    </row>
    <row r="1161" spans="8:9" x14ac:dyDescent="0.2">
      <c r="H1161" s="80"/>
      <c r="I1161" s="80"/>
    </row>
    <row r="1162" spans="8:9" x14ac:dyDescent="0.2">
      <c r="H1162" s="80"/>
      <c r="I1162" s="80"/>
    </row>
    <row r="1163" spans="8:9" x14ac:dyDescent="0.2">
      <c r="H1163" s="80"/>
      <c r="I1163" s="80"/>
    </row>
    <row r="1164" spans="8:9" x14ac:dyDescent="0.2">
      <c r="H1164" s="80"/>
      <c r="I1164" s="80"/>
    </row>
    <row r="1165" spans="8:9" x14ac:dyDescent="0.2">
      <c r="H1165" s="80"/>
      <c r="I1165" s="80"/>
    </row>
    <row r="1166" spans="8:9" x14ac:dyDescent="0.2">
      <c r="H1166" s="80"/>
      <c r="I1166" s="80"/>
    </row>
    <row r="1167" spans="8:9" x14ac:dyDescent="0.2">
      <c r="H1167" s="80"/>
      <c r="I1167" s="80"/>
    </row>
    <row r="1168" spans="8:9" x14ac:dyDescent="0.2">
      <c r="H1168" s="80"/>
      <c r="I1168" s="80"/>
    </row>
    <row r="1169" spans="8:9" x14ac:dyDescent="0.2">
      <c r="H1169" s="80"/>
      <c r="I1169" s="80"/>
    </row>
    <row r="1170" spans="8:9" x14ac:dyDescent="0.2">
      <c r="H1170" s="80"/>
      <c r="I1170" s="80"/>
    </row>
    <row r="1171" spans="8:9" x14ac:dyDescent="0.2">
      <c r="H1171" s="80"/>
      <c r="I1171" s="80"/>
    </row>
    <row r="1172" spans="8:9" x14ac:dyDescent="0.2">
      <c r="H1172" s="80"/>
      <c r="I1172" s="80"/>
    </row>
    <row r="1173" spans="8:9" x14ac:dyDescent="0.2">
      <c r="H1173" s="80"/>
      <c r="I1173" s="80"/>
    </row>
    <row r="1174" spans="8:9" x14ac:dyDescent="0.2">
      <c r="H1174" s="80"/>
      <c r="I1174" s="80"/>
    </row>
    <row r="1175" spans="8:9" x14ac:dyDescent="0.2">
      <c r="H1175" s="80"/>
      <c r="I1175" s="80"/>
    </row>
    <row r="1176" spans="8:9" x14ac:dyDescent="0.2">
      <c r="H1176" s="80"/>
      <c r="I1176" s="80"/>
    </row>
    <row r="1177" spans="8:9" x14ac:dyDescent="0.2">
      <c r="H1177" s="80"/>
      <c r="I1177" s="80"/>
    </row>
    <row r="1178" spans="8:9" x14ac:dyDescent="0.2">
      <c r="H1178" s="80"/>
      <c r="I1178" s="80"/>
    </row>
    <row r="1179" spans="8:9" x14ac:dyDescent="0.2">
      <c r="H1179" s="80"/>
      <c r="I1179" s="80"/>
    </row>
    <row r="1180" spans="8:9" x14ac:dyDescent="0.2">
      <c r="H1180" s="80"/>
      <c r="I1180" s="80"/>
    </row>
    <row r="1181" spans="8:9" x14ac:dyDescent="0.2">
      <c r="H1181" s="80"/>
      <c r="I1181" s="80"/>
    </row>
    <row r="1182" spans="8:9" x14ac:dyDescent="0.2">
      <c r="H1182" s="80"/>
      <c r="I1182" s="80"/>
    </row>
    <row r="1183" spans="8:9" x14ac:dyDescent="0.2">
      <c r="H1183" s="80"/>
      <c r="I1183" s="80"/>
    </row>
    <row r="1184" spans="8:9" x14ac:dyDescent="0.2">
      <c r="H1184" s="80"/>
      <c r="I1184" s="80"/>
    </row>
    <row r="1185" spans="8:9" x14ac:dyDescent="0.2">
      <c r="H1185" s="80"/>
      <c r="I1185" s="80"/>
    </row>
    <row r="1186" spans="8:9" x14ac:dyDescent="0.2">
      <c r="H1186" s="80"/>
      <c r="I1186" s="80"/>
    </row>
    <row r="1187" spans="8:9" x14ac:dyDescent="0.2">
      <c r="H1187" s="80"/>
      <c r="I1187" s="80"/>
    </row>
    <row r="1188" spans="8:9" x14ac:dyDescent="0.2">
      <c r="H1188" s="80"/>
      <c r="I1188" s="80"/>
    </row>
    <row r="1189" spans="8:9" x14ac:dyDescent="0.2">
      <c r="H1189" s="80"/>
      <c r="I1189" s="80"/>
    </row>
    <row r="1190" spans="8:9" x14ac:dyDescent="0.2">
      <c r="H1190" s="80"/>
      <c r="I1190" s="80"/>
    </row>
    <row r="1191" spans="8:9" x14ac:dyDescent="0.2">
      <c r="H1191" s="80"/>
      <c r="I1191" s="80"/>
    </row>
    <row r="1192" spans="8:9" x14ac:dyDescent="0.2">
      <c r="H1192" s="80"/>
      <c r="I1192" s="80"/>
    </row>
    <row r="1193" spans="8:9" x14ac:dyDescent="0.2">
      <c r="H1193" s="80"/>
      <c r="I1193" s="80"/>
    </row>
    <row r="1194" spans="8:9" x14ac:dyDescent="0.2">
      <c r="H1194" s="80"/>
      <c r="I1194" s="80"/>
    </row>
    <row r="1195" spans="8:9" x14ac:dyDescent="0.2">
      <c r="H1195" s="80"/>
      <c r="I1195" s="80"/>
    </row>
    <row r="1196" spans="8:9" x14ac:dyDescent="0.2">
      <c r="H1196" s="80"/>
      <c r="I1196" s="80"/>
    </row>
    <row r="1197" spans="8:9" x14ac:dyDescent="0.2">
      <c r="H1197" s="80"/>
      <c r="I1197" s="80"/>
    </row>
    <row r="1198" spans="8:9" x14ac:dyDescent="0.2">
      <c r="H1198" s="80"/>
      <c r="I1198" s="80"/>
    </row>
    <row r="1199" spans="8:9" x14ac:dyDescent="0.2">
      <c r="H1199" s="80"/>
      <c r="I1199" s="80"/>
    </row>
    <row r="1200" spans="8:9" x14ac:dyDescent="0.2">
      <c r="H1200" s="80"/>
      <c r="I1200" s="80"/>
    </row>
    <row r="1201" spans="8:9" x14ac:dyDescent="0.2">
      <c r="H1201" s="80"/>
      <c r="I1201" s="80"/>
    </row>
    <row r="1202" spans="8:9" x14ac:dyDescent="0.2">
      <c r="H1202" s="80"/>
      <c r="I1202" s="80"/>
    </row>
    <row r="1203" spans="8:9" x14ac:dyDescent="0.2">
      <c r="H1203" s="80"/>
      <c r="I1203" s="80"/>
    </row>
    <row r="1204" spans="8:9" x14ac:dyDescent="0.2">
      <c r="H1204" s="80"/>
      <c r="I1204" s="80"/>
    </row>
    <row r="1205" spans="8:9" x14ac:dyDescent="0.2">
      <c r="H1205" s="80"/>
      <c r="I1205" s="80"/>
    </row>
    <row r="1206" spans="8:9" x14ac:dyDescent="0.2">
      <c r="H1206" s="80"/>
      <c r="I1206" s="80"/>
    </row>
    <row r="1207" spans="8:9" x14ac:dyDescent="0.2">
      <c r="H1207" s="80"/>
      <c r="I1207" s="80"/>
    </row>
    <row r="1208" spans="8:9" x14ac:dyDescent="0.2">
      <c r="H1208" s="80"/>
      <c r="I1208" s="80"/>
    </row>
    <row r="1209" spans="8:9" x14ac:dyDescent="0.2">
      <c r="H1209" s="80"/>
      <c r="I1209" s="80"/>
    </row>
    <row r="1210" spans="8:9" x14ac:dyDescent="0.2">
      <c r="H1210" s="80"/>
      <c r="I1210" s="80"/>
    </row>
    <row r="1211" spans="8:9" x14ac:dyDescent="0.2">
      <c r="H1211" s="80"/>
      <c r="I1211" s="80"/>
    </row>
    <row r="1212" spans="8:9" x14ac:dyDescent="0.2">
      <c r="H1212" s="80"/>
      <c r="I1212" s="80"/>
    </row>
    <row r="1213" spans="8:9" x14ac:dyDescent="0.2">
      <c r="H1213" s="80"/>
      <c r="I1213" s="80"/>
    </row>
    <row r="1214" spans="8:9" x14ac:dyDescent="0.2">
      <c r="H1214" s="80"/>
      <c r="I1214" s="80"/>
    </row>
    <row r="1215" spans="8:9" x14ac:dyDescent="0.2">
      <c r="H1215" s="80"/>
      <c r="I1215" s="80"/>
    </row>
    <row r="1216" spans="8:9" x14ac:dyDescent="0.2">
      <c r="H1216" s="80"/>
      <c r="I1216" s="80"/>
    </row>
    <row r="1217" spans="8:9" x14ac:dyDescent="0.2">
      <c r="H1217" s="80"/>
      <c r="I1217" s="80"/>
    </row>
    <row r="1218" spans="8:9" x14ac:dyDescent="0.2">
      <c r="H1218" s="80"/>
      <c r="I1218" s="80"/>
    </row>
    <row r="1219" spans="8:9" x14ac:dyDescent="0.2">
      <c r="H1219" s="80"/>
      <c r="I1219" s="80"/>
    </row>
    <row r="1220" spans="8:9" x14ac:dyDescent="0.2">
      <c r="H1220" s="80"/>
      <c r="I1220" s="80"/>
    </row>
    <row r="1221" spans="8:9" x14ac:dyDescent="0.2">
      <c r="H1221" s="80"/>
      <c r="I1221" s="80"/>
    </row>
    <row r="1222" spans="8:9" x14ac:dyDescent="0.2">
      <c r="H1222" s="80"/>
      <c r="I1222" s="80"/>
    </row>
    <row r="1223" spans="8:9" x14ac:dyDescent="0.2">
      <c r="H1223" s="80"/>
      <c r="I1223" s="80"/>
    </row>
    <row r="1224" spans="8:9" x14ac:dyDescent="0.2">
      <c r="H1224" s="80"/>
      <c r="I1224" s="80"/>
    </row>
    <row r="1225" spans="8:9" x14ac:dyDescent="0.2">
      <c r="H1225" s="80"/>
      <c r="I1225" s="80"/>
    </row>
    <row r="1226" spans="8:9" x14ac:dyDescent="0.2">
      <c r="H1226" s="80"/>
      <c r="I1226" s="80"/>
    </row>
    <row r="1227" spans="8:9" x14ac:dyDescent="0.2">
      <c r="H1227" s="80"/>
      <c r="I1227" s="80"/>
    </row>
    <row r="1228" spans="8:9" x14ac:dyDescent="0.2">
      <c r="H1228" s="80"/>
      <c r="I1228" s="80"/>
    </row>
    <row r="1229" spans="8:9" x14ac:dyDescent="0.2">
      <c r="H1229" s="80"/>
      <c r="I1229" s="80"/>
    </row>
    <row r="1230" spans="8:9" x14ac:dyDescent="0.2">
      <c r="H1230" s="80"/>
      <c r="I1230" s="80"/>
    </row>
    <row r="1231" spans="8:9" x14ac:dyDescent="0.2">
      <c r="H1231" s="80"/>
      <c r="I1231" s="80"/>
    </row>
    <row r="1232" spans="8:9" x14ac:dyDescent="0.2">
      <c r="H1232" s="80"/>
      <c r="I1232" s="80"/>
    </row>
    <row r="1233" spans="8:9" x14ac:dyDescent="0.2">
      <c r="H1233" s="80"/>
      <c r="I1233" s="80"/>
    </row>
    <row r="1234" spans="8:9" x14ac:dyDescent="0.2">
      <c r="H1234" s="80"/>
      <c r="I1234" s="80"/>
    </row>
    <row r="1235" spans="8:9" x14ac:dyDescent="0.2">
      <c r="H1235" s="80"/>
      <c r="I1235" s="80"/>
    </row>
    <row r="1236" spans="8:9" x14ac:dyDescent="0.2">
      <c r="H1236" s="80"/>
      <c r="I1236" s="80"/>
    </row>
    <row r="1237" spans="8:9" x14ac:dyDescent="0.2">
      <c r="H1237" s="80"/>
      <c r="I1237" s="80"/>
    </row>
    <row r="1238" spans="8:9" x14ac:dyDescent="0.2">
      <c r="H1238" s="80"/>
      <c r="I1238" s="80"/>
    </row>
    <row r="1239" spans="8:9" x14ac:dyDescent="0.2">
      <c r="H1239" s="80"/>
      <c r="I1239" s="80"/>
    </row>
    <row r="1240" spans="8:9" x14ac:dyDescent="0.2">
      <c r="H1240" s="80"/>
      <c r="I1240" s="80"/>
    </row>
    <row r="1241" spans="8:9" x14ac:dyDescent="0.2">
      <c r="H1241" s="80"/>
      <c r="I1241" s="80"/>
    </row>
    <row r="1242" spans="8:9" x14ac:dyDescent="0.2">
      <c r="H1242" s="80"/>
      <c r="I1242" s="80"/>
    </row>
    <row r="1243" spans="8:9" x14ac:dyDescent="0.2">
      <c r="H1243" s="80"/>
      <c r="I1243" s="80"/>
    </row>
    <row r="1244" spans="8:9" x14ac:dyDescent="0.2">
      <c r="H1244" s="80"/>
      <c r="I1244" s="80"/>
    </row>
    <row r="1245" spans="8:9" x14ac:dyDescent="0.2">
      <c r="H1245" s="80"/>
      <c r="I1245" s="80"/>
    </row>
    <row r="1246" spans="8:9" x14ac:dyDescent="0.2">
      <c r="H1246" s="80"/>
      <c r="I1246" s="80"/>
    </row>
    <row r="1247" spans="8:9" x14ac:dyDescent="0.2">
      <c r="H1247" s="80"/>
      <c r="I1247" s="80"/>
    </row>
    <row r="1248" spans="8:9" x14ac:dyDescent="0.2">
      <c r="H1248" s="80"/>
      <c r="I1248" s="80"/>
    </row>
    <row r="1249" spans="8:9" x14ac:dyDescent="0.2">
      <c r="H1249" s="80"/>
      <c r="I1249" s="80"/>
    </row>
    <row r="1250" spans="8:9" x14ac:dyDescent="0.2">
      <c r="H1250" s="80"/>
      <c r="I1250" s="80"/>
    </row>
    <row r="1251" spans="8:9" x14ac:dyDescent="0.2">
      <c r="H1251" s="80"/>
      <c r="I1251" s="80"/>
    </row>
    <row r="1252" spans="8:9" x14ac:dyDescent="0.2">
      <c r="H1252" s="80"/>
      <c r="I1252" s="80"/>
    </row>
    <row r="1253" spans="8:9" x14ac:dyDescent="0.2">
      <c r="H1253" s="80"/>
      <c r="I1253" s="80"/>
    </row>
    <row r="1254" spans="8:9" x14ac:dyDescent="0.2">
      <c r="H1254" s="80"/>
      <c r="I1254" s="80"/>
    </row>
    <row r="1255" spans="8:9" x14ac:dyDescent="0.2">
      <c r="H1255" s="80"/>
      <c r="I1255" s="80"/>
    </row>
    <row r="1256" spans="8:9" x14ac:dyDescent="0.2">
      <c r="H1256" s="80"/>
      <c r="I1256" s="80"/>
    </row>
    <row r="1257" spans="8:9" x14ac:dyDescent="0.2">
      <c r="H1257" s="80"/>
      <c r="I1257" s="80"/>
    </row>
    <row r="1258" spans="8:9" x14ac:dyDescent="0.2">
      <c r="H1258" s="80"/>
      <c r="I1258" s="80"/>
    </row>
    <row r="1259" spans="8:9" x14ac:dyDescent="0.2">
      <c r="H1259" s="80"/>
      <c r="I1259" s="80"/>
    </row>
    <row r="1260" spans="8:9" x14ac:dyDescent="0.2">
      <c r="H1260" s="80"/>
      <c r="I1260" s="80"/>
    </row>
    <row r="1261" spans="8:9" x14ac:dyDescent="0.2">
      <c r="H1261" s="80"/>
      <c r="I1261" s="80"/>
    </row>
    <row r="1262" spans="8:9" x14ac:dyDescent="0.2">
      <c r="H1262" s="80"/>
      <c r="I1262" s="80"/>
    </row>
    <row r="1263" spans="8:9" x14ac:dyDescent="0.2">
      <c r="H1263" s="80"/>
      <c r="I1263" s="80"/>
    </row>
    <row r="1264" spans="8:9" x14ac:dyDescent="0.2">
      <c r="H1264" s="80"/>
      <c r="I1264" s="80"/>
    </row>
    <row r="1265" spans="8:9" x14ac:dyDescent="0.2">
      <c r="H1265" s="80"/>
      <c r="I1265" s="80"/>
    </row>
    <row r="1266" spans="8:9" x14ac:dyDescent="0.2">
      <c r="H1266" s="80"/>
      <c r="I1266" s="80"/>
    </row>
    <row r="1267" spans="8:9" x14ac:dyDescent="0.2">
      <c r="H1267" s="80"/>
      <c r="I1267" s="80"/>
    </row>
    <row r="1268" spans="8:9" x14ac:dyDescent="0.2">
      <c r="H1268" s="80"/>
      <c r="I1268" s="80"/>
    </row>
    <row r="1269" spans="8:9" x14ac:dyDescent="0.2">
      <c r="H1269" s="80"/>
      <c r="I1269" s="80"/>
    </row>
    <row r="1270" spans="8:9" x14ac:dyDescent="0.2">
      <c r="H1270" s="80"/>
      <c r="I1270" s="80"/>
    </row>
    <row r="1271" spans="8:9" x14ac:dyDescent="0.2">
      <c r="H1271" s="80"/>
      <c r="I1271" s="80"/>
    </row>
    <row r="1272" spans="8:9" x14ac:dyDescent="0.2">
      <c r="H1272" s="80"/>
      <c r="I1272" s="80"/>
    </row>
    <row r="1273" spans="8:9" x14ac:dyDescent="0.2">
      <c r="H1273" s="80"/>
      <c r="I1273" s="80"/>
    </row>
    <row r="1274" spans="8:9" x14ac:dyDescent="0.2">
      <c r="H1274" s="80"/>
      <c r="I1274" s="80"/>
    </row>
    <row r="1275" spans="8:9" x14ac:dyDescent="0.2">
      <c r="H1275" s="80"/>
      <c r="I1275" s="80"/>
    </row>
    <row r="1276" spans="8:9" x14ac:dyDescent="0.2">
      <c r="H1276" s="80"/>
      <c r="I1276" s="80"/>
    </row>
    <row r="1277" spans="8:9" x14ac:dyDescent="0.2">
      <c r="H1277" s="80"/>
      <c r="I1277" s="80"/>
    </row>
    <row r="1278" spans="8:9" x14ac:dyDescent="0.2">
      <c r="H1278" s="80"/>
      <c r="I1278" s="80"/>
    </row>
    <row r="1279" spans="8:9" x14ac:dyDescent="0.2">
      <c r="H1279" s="80"/>
      <c r="I1279" s="80"/>
    </row>
    <row r="1280" spans="8:9" x14ac:dyDescent="0.2">
      <c r="H1280" s="80"/>
      <c r="I1280" s="80"/>
    </row>
    <row r="1281" spans="8:9" x14ac:dyDescent="0.2">
      <c r="H1281" s="80"/>
      <c r="I1281" s="80"/>
    </row>
    <row r="1282" spans="8:9" x14ac:dyDescent="0.2">
      <c r="H1282" s="80"/>
      <c r="I1282" s="80"/>
    </row>
    <row r="1283" spans="8:9" x14ac:dyDescent="0.2">
      <c r="H1283" s="80"/>
      <c r="I1283" s="80"/>
    </row>
    <row r="1284" spans="8:9" x14ac:dyDescent="0.2">
      <c r="H1284" s="80"/>
      <c r="I1284" s="80"/>
    </row>
    <row r="1285" spans="8:9" x14ac:dyDescent="0.2">
      <c r="H1285" s="80"/>
      <c r="I1285" s="80"/>
    </row>
    <row r="1286" spans="8:9" x14ac:dyDescent="0.2">
      <c r="H1286" s="80"/>
      <c r="I1286" s="80"/>
    </row>
    <row r="1287" spans="8:9" x14ac:dyDescent="0.2">
      <c r="H1287" s="80"/>
      <c r="I1287" s="80"/>
    </row>
    <row r="1288" spans="8:9" x14ac:dyDescent="0.2">
      <c r="H1288" s="80"/>
      <c r="I1288" s="80"/>
    </row>
    <row r="1289" spans="8:9" x14ac:dyDescent="0.2">
      <c r="H1289" s="80"/>
      <c r="I1289" s="80"/>
    </row>
    <row r="1290" spans="8:9" x14ac:dyDescent="0.2">
      <c r="H1290" s="80"/>
      <c r="I1290" s="80"/>
    </row>
    <row r="1291" spans="8:9" x14ac:dyDescent="0.2">
      <c r="H1291" s="80"/>
      <c r="I1291" s="80"/>
    </row>
    <row r="1292" spans="8:9" x14ac:dyDescent="0.2">
      <c r="H1292" s="80"/>
      <c r="I1292" s="80"/>
    </row>
    <row r="1293" spans="8:9" x14ac:dyDescent="0.2">
      <c r="H1293" s="80"/>
      <c r="I1293" s="80"/>
    </row>
    <row r="1294" spans="8:9" x14ac:dyDescent="0.2">
      <c r="H1294" s="80"/>
      <c r="I1294" s="80"/>
    </row>
    <row r="1295" spans="8:9" x14ac:dyDescent="0.2">
      <c r="H1295" s="80"/>
      <c r="I1295" s="80"/>
    </row>
    <row r="1296" spans="8:9" x14ac:dyDescent="0.2">
      <c r="H1296" s="80"/>
      <c r="I1296" s="80"/>
    </row>
    <row r="1297" spans="8:9" x14ac:dyDescent="0.2">
      <c r="H1297" s="80"/>
      <c r="I1297" s="80"/>
    </row>
    <row r="1298" spans="8:9" x14ac:dyDescent="0.2">
      <c r="H1298" s="80"/>
      <c r="I1298" s="80"/>
    </row>
    <row r="1299" spans="8:9" x14ac:dyDescent="0.2">
      <c r="H1299" s="80"/>
      <c r="I1299" s="80"/>
    </row>
    <row r="1300" spans="8:9" x14ac:dyDescent="0.2">
      <c r="H1300" s="80"/>
      <c r="I1300" s="80"/>
    </row>
    <row r="1301" spans="8:9" x14ac:dyDescent="0.2">
      <c r="H1301" s="80"/>
      <c r="I1301" s="80"/>
    </row>
    <row r="1302" spans="8:9" x14ac:dyDescent="0.2">
      <c r="H1302" s="80"/>
      <c r="I1302" s="80"/>
    </row>
    <row r="1303" spans="8:9" x14ac:dyDescent="0.2">
      <c r="H1303" s="80"/>
      <c r="I1303" s="80"/>
    </row>
    <row r="1304" spans="8:9" x14ac:dyDescent="0.2">
      <c r="H1304" s="80"/>
      <c r="I1304" s="80"/>
    </row>
    <row r="1305" spans="8:9" x14ac:dyDescent="0.2">
      <c r="H1305" s="80"/>
      <c r="I1305" s="80"/>
    </row>
    <row r="1306" spans="8:9" x14ac:dyDescent="0.2">
      <c r="H1306" s="80"/>
      <c r="I1306" s="80"/>
    </row>
    <row r="1307" spans="8:9" x14ac:dyDescent="0.2">
      <c r="H1307" s="80"/>
      <c r="I1307" s="80"/>
    </row>
    <row r="1308" spans="8:9" x14ac:dyDescent="0.2">
      <c r="H1308" s="80"/>
      <c r="I1308" s="80"/>
    </row>
    <row r="1309" spans="8:9" x14ac:dyDescent="0.2">
      <c r="H1309" s="80"/>
      <c r="I1309" s="80"/>
    </row>
    <row r="1310" spans="8:9" x14ac:dyDescent="0.2">
      <c r="H1310" s="80"/>
      <c r="I1310" s="80"/>
    </row>
    <row r="1311" spans="8:9" x14ac:dyDescent="0.2">
      <c r="H1311" s="80"/>
      <c r="I1311" s="80"/>
    </row>
    <row r="1312" spans="8:9" x14ac:dyDescent="0.2">
      <c r="H1312" s="80"/>
      <c r="I1312" s="80"/>
    </row>
    <row r="1313" spans="8:9" x14ac:dyDescent="0.2">
      <c r="H1313" s="80"/>
      <c r="I1313" s="80"/>
    </row>
    <row r="1314" spans="8:9" x14ac:dyDescent="0.2">
      <c r="H1314" s="80"/>
      <c r="I1314" s="80"/>
    </row>
    <row r="1315" spans="8:9" x14ac:dyDescent="0.2">
      <c r="H1315" s="80"/>
      <c r="I1315" s="80"/>
    </row>
    <row r="1316" spans="8:9" x14ac:dyDescent="0.2">
      <c r="H1316" s="80"/>
      <c r="I1316" s="80"/>
    </row>
    <row r="1317" spans="8:9" x14ac:dyDescent="0.2">
      <c r="H1317" s="80"/>
      <c r="I1317" s="80"/>
    </row>
    <row r="1318" spans="8:9" x14ac:dyDescent="0.2">
      <c r="H1318" s="80"/>
      <c r="I1318" s="80"/>
    </row>
    <row r="1319" spans="8:9" x14ac:dyDescent="0.2">
      <c r="H1319" s="80"/>
      <c r="I1319" s="80"/>
    </row>
    <row r="1320" spans="8:9" x14ac:dyDescent="0.2">
      <c r="H1320" s="80"/>
      <c r="I1320" s="80"/>
    </row>
    <row r="1321" spans="8:9" x14ac:dyDescent="0.2">
      <c r="H1321" s="80"/>
      <c r="I1321" s="80"/>
    </row>
    <row r="1322" spans="8:9" x14ac:dyDescent="0.2">
      <c r="H1322" s="80"/>
      <c r="I1322" s="80"/>
    </row>
    <row r="1323" spans="8:9" x14ac:dyDescent="0.2">
      <c r="H1323" s="80"/>
      <c r="I1323" s="80"/>
    </row>
    <row r="1324" spans="8:9" x14ac:dyDescent="0.2">
      <c r="H1324" s="80"/>
      <c r="I1324" s="80"/>
    </row>
    <row r="1325" spans="8:9" x14ac:dyDescent="0.2">
      <c r="H1325" s="80"/>
      <c r="I1325" s="80"/>
    </row>
    <row r="1326" spans="8:9" x14ac:dyDescent="0.2">
      <c r="H1326" s="80"/>
      <c r="I1326" s="80"/>
    </row>
    <row r="1327" spans="8:9" x14ac:dyDescent="0.2">
      <c r="H1327" s="80"/>
      <c r="I1327" s="80"/>
    </row>
    <row r="1328" spans="8:9" x14ac:dyDescent="0.2">
      <c r="H1328" s="80"/>
      <c r="I1328" s="80"/>
    </row>
    <row r="1329" spans="8:9" x14ac:dyDescent="0.2">
      <c r="H1329" s="80"/>
      <c r="I1329" s="80"/>
    </row>
    <row r="1330" spans="8:9" x14ac:dyDescent="0.2">
      <c r="H1330" s="80"/>
      <c r="I1330" s="80"/>
    </row>
    <row r="1331" spans="8:9" x14ac:dyDescent="0.2">
      <c r="H1331" s="80"/>
      <c r="I1331" s="80"/>
    </row>
    <row r="1332" spans="8:9" x14ac:dyDescent="0.2">
      <c r="H1332" s="80"/>
      <c r="I1332" s="80"/>
    </row>
    <row r="1333" spans="8:9" x14ac:dyDescent="0.2">
      <c r="H1333" s="80"/>
      <c r="I1333" s="80"/>
    </row>
    <row r="1334" spans="8:9" x14ac:dyDescent="0.2">
      <c r="H1334" s="80"/>
      <c r="I1334" s="80"/>
    </row>
    <row r="1335" spans="8:9" x14ac:dyDescent="0.2">
      <c r="H1335" s="80"/>
      <c r="I1335" s="80"/>
    </row>
    <row r="1336" spans="8:9" x14ac:dyDescent="0.2">
      <c r="H1336" s="80"/>
      <c r="I1336" s="80"/>
    </row>
    <row r="1337" spans="8:9" x14ac:dyDescent="0.2">
      <c r="H1337" s="80"/>
      <c r="I1337" s="80"/>
    </row>
    <row r="1338" spans="8:9" x14ac:dyDescent="0.2">
      <c r="H1338" s="80"/>
      <c r="I1338" s="80"/>
    </row>
    <row r="1339" spans="8:9" x14ac:dyDescent="0.2">
      <c r="H1339" s="80"/>
      <c r="I1339" s="80"/>
    </row>
    <row r="1340" spans="8:9" x14ac:dyDescent="0.2">
      <c r="H1340" s="80"/>
      <c r="I1340" s="80"/>
    </row>
    <row r="1341" spans="8:9" x14ac:dyDescent="0.2">
      <c r="H1341" s="80"/>
      <c r="I1341" s="80"/>
    </row>
    <row r="1342" spans="8:9" x14ac:dyDescent="0.2">
      <c r="H1342" s="80"/>
      <c r="I1342" s="80"/>
    </row>
    <row r="1343" spans="8:9" x14ac:dyDescent="0.2">
      <c r="H1343" s="80"/>
      <c r="I1343" s="80"/>
    </row>
    <row r="1344" spans="8:9" x14ac:dyDescent="0.2">
      <c r="H1344" s="80"/>
      <c r="I1344" s="80"/>
    </row>
    <row r="1345" spans="8:9" x14ac:dyDescent="0.2">
      <c r="H1345" s="80"/>
      <c r="I1345" s="80"/>
    </row>
    <row r="1346" spans="8:9" x14ac:dyDescent="0.2">
      <c r="H1346" s="80"/>
      <c r="I1346" s="80"/>
    </row>
    <row r="1347" spans="8:9" x14ac:dyDescent="0.2">
      <c r="H1347" s="80"/>
      <c r="I1347" s="80"/>
    </row>
    <row r="1348" spans="8:9" x14ac:dyDescent="0.2">
      <c r="H1348" s="80"/>
      <c r="I1348" s="80"/>
    </row>
    <row r="1349" spans="8:9" x14ac:dyDescent="0.2">
      <c r="H1349" s="80"/>
      <c r="I1349" s="80"/>
    </row>
    <row r="1350" spans="8:9" x14ac:dyDescent="0.2">
      <c r="H1350" s="80"/>
      <c r="I1350" s="80"/>
    </row>
    <row r="1351" spans="8:9" x14ac:dyDescent="0.2">
      <c r="H1351" s="80"/>
      <c r="I1351" s="80"/>
    </row>
    <row r="1352" spans="8:9" x14ac:dyDescent="0.2">
      <c r="H1352" s="80"/>
      <c r="I1352" s="80"/>
    </row>
    <row r="1353" spans="8:9" x14ac:dyDescent="0.2">
      <c r="H1353" s="80"/>
      <c r="I1353" s="80"/>
    </row>
    <row r="1354" spans="8:9" x14ac:dyDescent="0.2">
      <c r="H1354" s="80"/>
      <c r="I1354" s="80"/>
    </row>
    <row r="1355" spans="8:9" x14ac:dyDescent="0.2">
      <c r="H1355" s="80"/>
      <c r="I1355" s="80"/>
    </row>
    <row r="1356" spans="8:9" x14ac:dyDescent="0.2">
      <c r="H1356" s="80"/>
      <c r="I1356" s="80"/>
    </row>
    <row r="1357" spans="8:9" x14ac:dyDescent="0.2">
      <c r="H1357" s="80"/>
      <c r="I1357" s="80"/>
    </row>
    <row r="1358" spans="8:9" x14ac:dyDescent="0.2">
      <c r="H1358" s="80"/>
      <c r="I1358" s="80"/>
    </row>
    <row r="1359" spans="8:9" x14ac:dyDescent="0.2">
      <c r="H1359" s="80"/>
      <c r="I1359" s="80"/>
    </row>
    <row r="1360" spans="8:9" x14ac:dyDescent="0.2">
      <c r="H1360" s="80"/>
      <c r="I1360" s="80"/>
    </row>
    <row r="1361" spans="8:9" x14ac:dyDescent="0.2">
      <c r="H1361" s="80"/>
      <c r="I1361" s="80"/>
    </row>
    <row r="1362" spans="8:9" x14ac:dyDescent="0.2">
      <c r="H1362" s="80"/>
      <c r="I1362" s="80"/>
    </row>
    <row r="1363" spans="8:9" x14ac:dyDescent="0.2">
      <c r="H1363" s="80"/>
      <c r="I1363" s="80"/>
    </row>
    <row r="1364" spans="8:9" x14ac:dyDescent="0.2">
      <c r="H1364" s="80"/>
      <c r="I1364" s="80"/>
    </row>
    <row r="1365" spans="8:9" x14ac:dyDescent="0.2">
      <c r="H1365" s="80"/>
      <c r="I1365" s="80"/>
    </row>
    <row r="1366" spans="8:9" x14ac:dyDescent="0.2">
      <c r="H1366" s="80"/>
      <c r="I1366" s="80"/>
    </row>
    <row r="1367" spans="8:9" x14ac:dyDescent="0.2">
      <c r="H1367" s="80"/>
      <c r="I1367" s="80"/>
    </row>
    <row r="1368" spans="8:9" x14ac:dyDescent="0.2">
      <c r="H1368" s="80"/>
      <c r="I1368" s="80"/>
    </row>
    <row r="1369" spans="8:9" x14ac:dyDescent="0.2">
      <c r="H1369" s="80"/>
      <c r="I1369" s="80"/>
    </row>
    <row r="1370" spans="8:9" x14ac:dyDescent="0.2">
      <c r="H1370" s="80"/>
      <c r="I1370" s="80"/>
    </row>
    <row r="1371" spans="8:9" x14ac:dyDescent="0.2">
      <c r="H1371" s="80"/>
      <c r="I1371" s="80"/>
    </row>
    <row r="1372" spans="8:9" x14ac:dyDescent="0.2">
      <c r="H1372" s="80"/>
      <c r="I1372" s="80"/>
    </row>
    <row r="1373" spans="8:9" x14ac:dyDescent="0.2">
      <c r="H1373" s="80"/>
      <c r="I1373" s="80"/>
    </row>
    <row r="1374" spans="8:9" x14ac:dyDescent="0.2">
      <c r="H1374" s="80"/>
      <c r="I1374" s="80"/>
    </row>
    <row r="1375" spans="8:9" x14ac:dyDescent="0.2">
      <c r="H1375" s="80"/>
      <c r="I1375" s="80"/>
    </row>
    <row r="1376" spans="8:9" x14ac:dyDescent="0.2">
      <c r="H1376" s="80"/>
      <c r="I1376" s="80"/>
    </row>
    <row r="1377" spans="8:9" x14ac:dyDescent="0.2">
      <c r="H1377" s="80"/>
      <c r="I1377" s="80"/>
    </row>
    <row r="1378" spans="8:9" x14ac:dyDescent="0.2">
      <c r="H1378" s="80"/>
      <c r="I1378" s="80"/>
    </row>
    <row r="1379" spans="8:9" x14ac:dyDescent="0.2">
      <c r="H1379" s="80"/>
      <c r="I1379" s="80"/>
    </row>
    <row r="1380" spans="8:9" x14ac:dyDescent="0.2">
      <c r="H1380" s="80"/>
      <c r="I1380" s="80"/>
    </row>
    <row r="1381" spans="8:9" x14ac:dyDescent="0.2">
      <c r="H1381" s="80"/>
      <c r="I1381" s="80"/>
    </row>
    <row r="1382" spans="8:9" x14ac:dyDescent="0.2">
      <c r="H1382" s="80"/>
      <c r="I1382" s="80"/>
    </row>
    <row r="1383" spans="8:9" x14ac:dyDescent="0.2">
      <c r="H1383" s="80"/>
      <c r="I1383" s="80"/>
    </row>
    <row r="1384" spans="8:9" x14ac:dyDescent="0.2">
      <c r="H1384" s="80"/>
      <c r="I1384" s="80"/>
    </row>
    <row r="1385" spans="8:9" x14ac:dyDescent="0.2">
      <c r="H1385" s="80"/>
      <c r="I1385" s="80"/>
    </row>
    <row r="1386" spans="8:9" x14ac:dyDescent="0.2">
      <c r="H1386" s="80"/>
      <c r="I1386" s="80"/>
    </row>
    <row r="1387" spans="8:9" x14ac:dyDescent="0.2">
      <c r="H1387" s="80"/>
      <c r="I1387" s="80"/>
    </row>
    <row r="1388" spans="8:9" x14ac:dyDescent="0.2">
      <c r="H1388" s="80"/>
      <c r="I1388" s="80"/>
    </row>
    <row r="1389" spans="8:9" x14ac:dyDescent="0.2">
      <c r="H1389" s="80"/>
      <c r="I1389" s="80"/>
    </row>
    <row r="1390" spans="8:9" x14ac:dyDescent="0.2">
      <c r="H1390" s="80"/>
      <c r="I1390" s="80"/>
    </row>
    <row r="1391" spans="8:9" x14ac:dyDescent="0.2">
      <c r="H1391" s="80"/>
      <c r="I1391" s="80"/>
    </row>
    <row r="1392" spans="8:9" x14ac:dyDescent="0.2">
      <c r="H1392" s="80"/>
      <c r="I1392" s="80"/>
    </row>
    <row r="1393" spans="8:9" x14ac:dyDescent="0.2">
      <c r="H1393" s="80"/>
      <c r="I1393" s="80"/>
    </row>
    <row r="1394" spans="8:9" x14ac:dyDescent="0.2">
      <c r="H1394" s="80"/>
      <c r="I1394" s="80"/>
    </row>
    <row r="1395" spans="8:9" x14ac:dyDescent="0.2">
      <c r="H1395" s="80"/>
      <c r="I1395" s="80"/>
    </row>
    <row r="1396" spans="8:9" x14ac:dyDescent="0.2">
      <c r="H1396" s="80"/>
      <c r="I1396" s="80"/>
    </row>
    <row r="1397" spans="8:9" x14ac:dyDescent="0.2">
      <c r="H1397" s="80"/>
      <c r="I1397" s="80"/>
    </row>
    <row r="1398" spans="8:9" x14ac:dyDescent="0.2">
      <c r="H1398" s="80"/>
      <c r="I1398" s="80"/>
    </row>
    <row r="1399" spans="8:9" x14ac:dyDescent="0.2">
      <c r="H1399" s="80"/>
      <c r="I1399" s="80"/>
    </row>
    <row r="1400" spans="8:9" x14ac:dyDescent="0.2">
      <c r="H1400" s="80"/>
      <c r="I1400" s="80"/>
    </row>
    <row r="1401" spans="8:9" x14ac:dyDescent="0.2">
      <c r="H1401" s="80"/>
      <c r="I1401" s="80"/>
    </row>
    <row r="1402" spans="8:9" x14ac:dyDescent="0.2">
      <c r="H1402" s="80"/>
      <c r="I1402" s="80"/>
    </row>
    <row r="1403" spans="8:9" x14ac:dyDescent="0.2">
      <c r="H1403" s="80"/>
      <c r="I1403" s="80"/>
    </row>
    <row r="1404" spans="8:9" x14ac:dyDescent="0.2">
      <c r="H1404" s="80"/>
      <c r="I1404" s="80"/>
    </row>
    <row r="1405" spans="8:9" x14ac:dyDescent="0.2">
      <c r="H1405" s="80"/>
      <c r="I1405" s="80"/>
    </row>
    <row r="1406" spans="8:9" x14ac:dyDescent="0.2">
      <c r="H1406" s="80"/>
      <c r="I1406" s="80"/>
    </row>
    <row r="1407" spans="8:9" x14ac:dyDescent="0.2">
      <c r="H1407" s="80"/>
      <c r="I1407" s="80"/>
    </row>
    <row r="1408" spans="8:9" x14ac:dyDescent="0.2">
      <c r="H1408" s="80"/>
      <c r="I1408" s="80"/>
    </row>
    <row r="1409" spans="8:9" x14ac:dyDescent="0.2">
      <c r="H1409" s="80"/>
      <c r="I1409" s="80"/>
    </row>
    <row r="1410" spans="8:9" x14ac:dyDescent="0.2">
      <c r="H1410" s="80"/>
      <c r="I1410" s="80"/>
    </row>
    <row r="1411" spans="8:9" x14ac:dyDescent="0.2">
      <c r="H1411" s="80"/>
      <c r="I1411" s="80"/>
    </row>
    <row r="1412" spans="8:9" x14ac:dyDescent="0.2">
      <c r="H1412" s="80"/>
      <c r="I1412" s="80"/>
    </row>
    <row r="1413" spans="8:9" x14ac:dyDescent="0.2">
      <c r="H1413" s="80"/>
      <c r="I1413" s="80"/>
    </row>
    <row r="1414" spans="8:9" x14ac:dyDescent="0.2">
      <c r="H1414" s="80"/>
      <c r="I1414" s="80"/>
    </row>
    <row r="1415" spans="8:9" x14ac:dyDescent="0.2">
      <c r="H1415" s="80"/>
      <c r="I1415" s="80"/>
    </row>
    <row r="1416" spans="8:9" x14ac:dyDescent="0.2">
      <c r="H1416" s="80"/>
      <c r="I1416" s="80"/>
    </row>
    <row r="1417" spans="8:9" x14ac:dyDescent="0.2">
      <c r="H1417" s="80"/>
      <c r="I1417" s="80"/>
    </row>
    <row r="1418" spans="8:9" x14ac:dyDescent="0.2">
      <c r="H1418" s="80"/>
      <c r="I1418" s="80"/>
    </row>
    <row r="1419" spans="8:9" x14ac:dyDescent="0.2">
      <c r="H1419" s="80"/>
      <c r="I1419" s="80"/>
    </row>
    <row r="1420" spans="8:9" x14ac:dyDescent="0.2">
      <c r="H1420" s="80"/>
      <c r="I1420" s="80"/>
    </row>
    <row r="1421" spans="8:9" x14ac:dyDescent="0.2">
      <c r="H1421" s="80"/>
      <c r="I1421" s="80"/>
    </row>
    <row r="1422" spans="8:9" x14ac:dyDescent="0.2">
      <c r="H1422" s="80"/>
      <c r="I1422" s="80"/>
    </row>
    <row r="1423" spans="8:9" x14ac:dyDescent="0.2">
      <c r="H1423" s="80"/>
      <c r="I1423" s="80"/>
    </row>
    <row r="1424" spans="8:9" x14ac:dyDescent="0.2">
      <c r="H1424" s="80"/>
      <c r="I1424" s="80"/>
    </row>
    <row r="1425" spans="8:9" x14ac:dyDescent="0.2">
      <c r="H1425" s="80"/>
      <c r="I1425" s="80"/>
    </row>
    <row r="1426" spans="8:9" x14ac:dyDescent="0.2">
      <c r="H1426" s="80"/>
      <c r="I1426" s="80"/>
    </row>
    <row r="1427" spans="8:9" x14ac:dyDescent="0.2">
      <c r="H1427" s="80"/>
      <c r="I1427" s="80"/>
    </row>
    <row r="1428" spans="8:9" x14ac:dyDescent="0.2">
      <c r="H1428" s="80"/>
      <c r="I1428" s="80"/>
    </row>
    <row r="1429" spans="8:9" x14ac:dyDescent="0.2">
      <c r="H1429" s="80"/>
      <c r="I1429" s="80"/>
    </row>
    <row r="1430" spans="8:9" x14ac:dyDescent="0.2">
      <c r="H1430" s="80"/>
      <c r="I1430" s="80"/>
    </row>
    <row r="1431" spans="8:9" x14ac:dyDescent="0.2">
      <c r="H1431" s="80"/>
      <c r="I1431" s="80"/>
    </row>
    <row r="1432" spans="8:9" x14ac:dyDescent="0.2">
      <c r="H1432" s="80"/>
      <c r="I1432" s="80"/>
    </row>
    <row r="1433" spans="8:9" x14ac:dyDescent="0.2">
      <c r="H1433" s="80"/>
      <c r="I1433" s="80"/>
    </row>
    <row r="1434" spans="8:9" x14ac:dyDescent="0.2">
      <c r="H1434" s="80"/>
      <c r="I1434" s="80"/>
    </row>
    <row r="1435" spans="8:9" x14ac:dyDescent="0.2">
      <c r="H1435" s="80"/>
      <c r="I1435" s="80"/>
    </row>
    <row r="1436" spans="8:9" x14ac:dyDescent="0.2">
      <c r="H1436" s="80"/>
      <c r="I1436" s="80"/>
    </row>
    <row r="1437" spans="8:9" x14ac:dyDescent="0.2">
      <c r="H1437" s="80"/>
      <c r="I1437" s="80"/>
    </row>
    <row r="1438" spans="8:9" x14ac:dyDescent="0.2">
      <c r="H1438" s="80"/>
      <c r="I1438" s="80"/>
    </row>
    <row r="1439" spans="8:9" x14ac:dyDescent="0.2">
      <c r="H1439" s="80"/>
      <c r="I1439" s="80"/>
    </row>
    <row r="1440" spans="8:9" x14ac:dyDescent="0.2">
      <c r="H1440" s="80"/>
      <c r="I1440" s="80"/>
    </row>
    <row r="1441" spans="8:9" x14ac:dyDescent="0.2">
      <c r="H1441" s="80"/>
      <c r="I1441" s="80"/>
    </row>
    <row r="1442" spans="8:9" x14ac:dyDescent="0.2">
      <c r="H1442" s="80"/>
      <c r="I1442" s="80"/>
    </row>
    <row r="1443" spans="8:9" x14ac:dyDescent="0.2">
      <c r="H1443" s="80"/>
      <c r="I1443" s="80"/>
    </row>
    <row r="1444" spans="8:9" x14ac:dyDescent="0.2">
      <c r="H1444" s="80"/>
      <c r="I1444" s="80"/>
    </row>
    <row r="1445" spans="8:9" x14ac:dyDescent="0.2">
      <c r="H1445" s="80"/>
      <c r="I1445" s="80"/>
    </row>
    <row r="1446" spans="8:9" x14ac:dyDescent="0.2">
      <c r="H1446" s="80"/>
      <c r="I1446" s="80"/>
    </row>
    <row r="1447" spans="8:9" x14ac:dyDescent="0.2">
      <c r="H1447" s="80"/>
      <c r="I1447" s="80"/>
    </row>
    <row r="1448" spans="8:9" x14ac:dyDescent="0.2">
      <c r="H1448" s="80"/>
      <c r="I1448" s="80"/>
    </row>
    <row r="1449" spans="8:9" x14ac:dyDescent="0.2">
      <c r="H1449" s="80"/>
      <c r="I1449" s="80"/>
    </row>
    <row r="1450" spans="8:9" x14ac:dyDescent="0.2">
      <c r="H1450" s="80"/>
      <c r="I1450" s="80"/>
    </row>
    <row r="1451" spans="8:9" x14ac:dyDescent="0.2">
      <c r="H1451" s="80"/>
      <c r="I1451" s="80"/>
    </row>
    <row r="1452" spans="8:9" x14ac:dyDescent="0.2">
      <c r="H1452" s="80"/>
      <c r="I1452" s="80"/>
    </row>
    <row r="1453" spans="8:9" x14ac:dyDescent="0.2">
      <c r="H1453" s="80"/>
      <c r="I1453" s="80"/>
    </row>
    <row r="1454" spans="8:9" x14ac:dyDescent="0.2">
      <c r="H1454" s="80"/>
      <c r="I1454" s="80"/>
    </row>
    <row r="1455" spans="8:9" x14ac:dyDescent="0.2">
      <c r="H1455" s="80"/>
      <c r="I1455" s="80"/>
    </row>
    <row r="1456" spans="8:9" x14ac:dyDescent="0.2">
      <c r="H1456" s="80"/>
      <c r="I1456" s="80"/>
    </row>
    <row r="1457" spans="8:9" x14ac:dyDescent="0.2">
      <c r="H1457" s="80"/>
      <c r="I1457" s="80"/>
    </row>
    <row r="1458" spans="8:9" x14ac:dyDescent="0.2">
      <c r="H1458" s="80"/>
      <c r="I1458" s="80"/>
    </row>
    <row r="1459" spans="8:9" x14ac:dyDescent="0.2">
      <c r="H1459" s="80"/>
      <c r="I1459" s="80"/>
    </row>
    <row r="1460" spans="8:9" x14ac:dyDescent="0.2">
      <c r="H1460" s="80"/>
      <c r="I1460" s="80"/>
    </row>
    <row r="1461" spans="8:9" x14ac:dyDescent="0.2">
      <c r="H1461" s="80"/>
      <c r="I1461" s="80"/>
    </row>
    <row r="1462" spans="8:9" x14ac:dyDescent="0.2">
      <c r="H1462" s="80"/>
      <c r="I1462" s="80"/>
    </row>
    <row r="1463" spans="8:9" x14ac:dyDescent="0.2">
      <c r="H1463" s="80"/>
      <c r="I1463" s="80"/>
    </row>
    <row r="1464" spans="8:9" x14ac:dyDescent="0.2">
      <c r="H1464" s="80"/>
      <c r="I1464" s="80"/>
    </row>
    <row r="1465" spans="8:9" x14ac:dyDescent="0.2">
      <c r="H1465" s="80"/>
      <c r="I1465" s="80"/>
    </row>
    <row r="1466" spans="8:9" x14ac:dyDescent="0.2">
      <c r="H1466" s="80"/>
      <c r="I1466" s="80"/>
    </row>
    <row r="1467" spans="8:9" x14ac:dyDescent="0.2">
      <c r="H1467" s="80"/>
      <c r="I1467" s="80"/>
    </row>
    <row r="1468" spans="8:9" x14ac:dyDescent="0.2">
      <c r="H1468" s="80"/>
      <c r="I1468" s="80"/>
    </row>
    <row r="1469" spans="8:9" x14ac:dyDescent="0.2">
      <c r="H1469" s="80"/>
      <c r="I1469" s="80"/>
    </row>
    <row r="1470" spans="8:9" x14ac:dyDescent="0.2">
      <c r="H1470" s="80"/>
      <c r="I1470" s="80"/>
    </row>
    <row r="1471" spans="8:9" x14ac:dyDescent="0.2">
      <c r="H1471" s="80"/>
      <c r="I1471" s="80"/>
    </row>
    <row r="1472" spans="8:9" x14ac:dyDescent="0.2">
      <c r="H1472" s="80"/>
      <c r="I1472" s="80"/>
    </row>
    <row r="1473" spans="8:9" x14ac:dyDescent="0.2">
      <c r="H1473" s="80"/>
      <c r="I1473" s="80"/>
    </row>
    <row r="1474" spans="8:9" x14ac:dyDescent="0.2">
      <c r="H1474" s="80"/>
      <c r="I1474" s="80"/>
    </row>
    <row r="1475" spans="8:9" x14ac:dyDescent="0.2">
      <c r="H1475" s="80"/>
      <c r="I1475" s="80"/>
    </row>
    <row r="1476" spans="8:9" x14ac:dyDescent="0.2">
      <c r="H1476" s="80"/>
      <c r="I1476" s="80"/>
    </row>
    <row r="1477" spans="8:9" x14ac:dyDescent="0.2">
      <c r="H1477" s="80"/>
      <c r="I1477" s="80"/>
    </row>
    <row r="1478" spans="8:9" x14ac:dyDescent="0.2">
      <c r="H1478" s="80"/>
      <c r="I1478" s="80"/>
    </row>
    <row r="1479" spans="8:9" x14ac:dyDescent="0.2">
      <c r="H1479" s="80"/>
      <c r="I1479" s="80"/>
    </row>
    <row r="1480" spans="8:9" x14ac:dyDescent="0.2">
      <c r="H1480" s="80"/>
      <c r="I1480" s="80"/>
    </row>
    <row r="1481" spans="8:9" x14ac:dyDescent="0.2">
      <c r="H1481" s="80"/>
      <c r="I1481" s="80"/>
    </row>
    <row r="1482" spans="8:9" x14ac:dyDescent="0.2">
      <c r="H1482" s="80"/>
      <c r="I1482" s="80"/>
    </row>
    <row r="1483" spans="8:9" x14ac:dyDescent="0.2">
      <c r="H1483" s="80"/>
      <c r="I1483" s="80"/>
    </row>
    <row r="1484" spans="8:9" x14ac:dyDescent="0.2">
      <c r="H1484" s="80"/>
      <c r="I1484" s="80"/>
    </row>
    <row r="1485" spans="8:9" x14ac:dyDescent="0.2">
      <c r="H1485" s="80"/>
      <c r="I1485" s="80"/>
    </row>
    <row r="1486" spans="8:9" x14ac:dyDescent="0.2">
      <c r="H1486" s="80"/>
      <c r="I1486" s="80"/>
    </row>
    <row r="1487" spans="8:9" x14ac:dyDescent="0.2">
      <c r="H1487" s="80"/>
      <c r="I1487" s="80"/>
    </row>
    <row r="1488" spans="8:9" x14ac:dyDescent="0.2">
      <c r="H1488" s="80"/>
      <c r="I1488" s="80"/>
    </row>
    <row r="1489" spans="8:9" x14ac:dyDescent="0.2">
      <c r="H1489" s="80"/>
      <c r="I1489" s="80"/>
    </row>
    <row r="1490" spans="8:9" x14ac:dyDescent="0.2">
      <c r="H1490" s="80"/>
      <c r="I1490" s="80"/>
    </row>
    <row r="1491" spans="8:9" x14ac:dyDescent="0.2">
      <c r="H1491" s="80"/>
      <c r="I1491" s="80"/>
    </row>
    <row r="1492" spans="8:9" x14ac:dyDescent="0.2">
      <c r="H1492" s="80"/>
      <c r="I1492" s="80"/>
    </row>
    <row r="1493" spans="8:9" x14ac:dyDescent="0.2">
      <c r="H1493" s="80"/>
      <c r="I1493" s="80"/>
    </row>
    <row r="1494" spans="8:9" x14ac:dyDescent="0.2">
      <c r="H1494" s="80"/>
      <c r="I1494" s="80"/>
    </row>
    <row r="1495" spans="8:9" x14ac:dyDescent="0.2">
      <c r="H1495" s="80"/>
      <c r="I1495" s="80"/>
    </row>
    <row r="1496" spans="8:9" x14ac:dyDescent="0.2">
      <c r="H1496" s="80"/>
      <c r="I1496" s="80"/>
    </row>
    <row r="1497" spans="8:9" x14ac:dyDescent="0.2">
      <c r="H1497" s="80"/>
      <c r="I1497" s="80"/>
    </row>
    <row r="1498" spans="8:9" x14ac:dyDescent="0.2">
      <c r="H1498" s="80"/>
      <c r="I1498" s="80"/>
    </row>
    <row r="1499" spans="8:9" x14ac:dyDescent="0.2">
      <c r="H1499" s="80"/>
      <c r="I1499" s="80"/>
    </row>
    <row r="1500" spans="8:9" x14ac:dyDescent="0.2">
      <c r="H1500" s="80"/>
      <c r="I1500" s="80"/>
    </row>
    <row r="1501" spans="8:9" x14ac:dyDescent="0.2">
      <c r="H1501" s="80"/>
      <c r="I1501" s="80"/>
    </row>
    <row r="1502" spans="8:9" x14ac:dyDescent="0.2">
      <c r="H1502" s="80"/>
      <c r="I1502" s="80"/>
    </row>
    <row r="1503" spans="8:9" x14ac:dyDescent="0.2">
      <c r="H1503" s="80"/>
      <c r="I1503" s="80"/>
    </row>
    <row r="1504" spans="8:9" x14ac:dyDescent="0.2">
      <c r="H1504" s="80"/>
      <c r="I1504" s="80"/>
    </row>
    <row r="1505" spans="8:9" x14ac:dyDescent="0.2">
      <c r="H1505" s="80"/>
      <c r="I1505" s="80"/>
    </row>
    <row r="1506" spans="8:9" x14ac:dyDescent="0.2">
      <c r="H1506" s="80"/>
      <c r="I1506" s="80"/>
    </row>
    <row r="1507" spans="8:9" x14ac:dyDescent="0.2">
      <c r="H1507" s="80"/>
      <c r="I1507" s="80"/>
    </row>
    <row r="1508" spans="8:9" x14ac:dyDescent="0.2">
      <c r="H1508" s="80"/>
      <c r="I1508" s="80"/>
    </row>
    <row r="1509" spans="8:9" x14ac:dyDescent="0.2">
      <c r="H1509" s="80"/>
      <c r="I1509" s="80"/>
    </row>
    <row r="1510" spans="8:9" x14ac:dyDescent="0.2">
      <c r="H1510" s="80"/>
      <c r="I1510" s="80"/>
    </row>
    <row r="1511" spans="8:9" x14ac:dyDescent="0.2">
      <c r="H1511" s="80"/>
      <c r="I1511" s="80"/>
    </row>
    <row r="1512" spans="8:9" x14ac:dyDescent="0.2">
      <c r="H1512" s="80"/>
      <c r="I1512" s="80"/>
    </row>
    <row r="1513" spans="8:9" x14ac:dyDescent="0.2">
      <c r="H1513" s="80"/>
      <c r="I1513" s="80"/>
    </row>
    <row r="1514" spans="8:9" x14ac:dyDescent="0.2">
      <c r="H1514" s="80"/>
      <c r="I1514" s="80"/>
    </row>
    <row r="1515" spans="8:9" x14ac:dyDescent="0.2">
      <c r="H1515" s="80"/>
      <c r="I1515" s="80"/>
    </row>
    <row r="1516" spans="8:9" x14ac:dyDescent="0.2">
      <c r="H1516" s="80"/>
      <c r="I1516" s="80"/>
    </row>
    <row r="1517" spans="8:9" x14ac:dyDescent="0.2">
      <c r="H1517" s="80"/>
      <c r="I1517" s="80"/>
    </row>
    <row r="1518" spans="8:9" x14ac:dyDescent="0.2">
      <c r="H1518" s="80"/>
      <c r="I1518" s="80"/>
    </row>
    <row r="1519" spans="8:9" x14ac:dyDescent="0.2">
      <c r="H1519" s="80"/>
      <c r="I1519" s="80"/>
    </row>
    <row r="1520" spans="8:9" x14ac:dyDescent="0.2">
      <c r="H1520" s="80"/>
      <c r="I1520" s="80"/>
    </row>
    <row r="1521" spans="8:9" x14ac:dyDescent="0.2">
      <c r="H1521" s="80"/>
      <c r="I1521" s="80"/>
    </row>
    <row r="1522" spans="8:9" x14ac:dyDescent="0.2">
      <c r="H1522" s="80"/>
      <c r="I1522" s="80"/>
    </row>
    <row r="1523" spans="8:9" x14ac:dyDescent="0.2">
      <c r="H1523" s="80"/>
      <c r="I1523" s="80"/>
    </row>
    <row r="1524" spans="8:9" x14ac:dyDescent="0.2">
      <c r="H1524" s="80"/>
      <c r="I1524" s="80"/>
    </row>
    <row r="1525" spans="8:9" x14ac:dyDescent="0.2">
      <c r="H1525" s="80"/>
      <c r="I1525" s="80"/>
    </row>
    <row r="1526" spans="8:9" x14ac:dyDescent="0.2">
      <c r="H1526" s="80"/>
      <c r="I1526" s="80"/>
    </row>
    <row r="1527" spans="8:9" x14ac:dyDescent="0.2">
      <c r="H1527" s="80"/>
      <c r="I1527" s="80"/>
    </row>
    <row r="1528" spans="8:9" x14ac:dyDescent="0.2">
      <c r="H1528" s="80"/>
      <c r="I1528" s="80"/>
    </row>
    <row r="1529" spans="8:9" x14ac:dyDescent="0.2">
      <c r="H1529" s="80"/>
      <c r="I1529" s="80"/>
    </row>
    <row r="1530" spans="8:9" x14ac:dyDescent="0.2">
      <c r="H1530" s="80"/>
      <c r="I1530" s="80"/>
    </row>
    <row r="1531" spans="8:9" x14ac:dyDescent="0.2">
      <c r="H1531" s="80"/>
      <c r="I1531" s="80"/>
    </row>
    <row r="1532" spans="8:9" x14ac:dyDescent="0.2">
      <c r="H1532" s="80"/>
      <c r="I1532" s="80"/>
    </row>
    <row r="1533" spans="8:9" x14ac:dyDescent="0.2">
      <c r="H1533" s="80"/>
      <c r="I1533" s="80"/>
    </row>
    <row r="1534" spans="8:9" x14ac:dyDescent="0.2">
      <c r="H1534" s="80"/>
      <c r="I1534" s="80"/>
    </row>
    <row r="1535" spans="8:9" x14ac:dyDescent="0.2">
      <c r="H1535" s="80"/>
      <c r="I1535" s="80"/>
    </row>
    <row r="1536" spans="8:9" x14ac:dyDescent="0.2">
      <c r="H1536" s="80"/>
      <c r="I1536" s="80"/>
    </row>
    <row r="1537" spans="8:9" x14ac:dyDescent="0.2">
      <c r="H1537" s="80"/>
      <c r="I1537" s="80"/>
    </row>
    <row r="1538" spans="8:9" x14ac:dyDescent="0.2">
      <c r="H1538" s="80"/>
      <c r="I1538" s="80"/>
    </row>
    <row r="1539" spans="8:9" x14ac:dyDescent="0.2">
      <c r="H1539" s="80"/>
      <c r="I1539" s="80"/>
    </row>
    <row r="1540" spans="8:9" x14ac:dyDescent="0.2">
      <c r="H1540" s="80"/>
      <c r="I1540" s="80"/>
    </row>
    <row r="1541" spans="8:9" x14ac:dyDescent="0.2">
      <c r="H1541" s="80"/>
      <c r="I1541" s="80"/>
    </row>
    <row r="1542" spans="8:9" x14ac:dyDescent="0.2">
      <c r="H1542" s="80"/>
      <c r="I1542" s="80"/>
    </row>
    <row r="1543" spans="8:9" x14ac:dyDescent="0.2">
      <c r="H1543" s="80"/>
      <c r="I1543" s="80"/>
    </row>
    <row r="1544" spans="8:9" x14ac:dyDescent="0.2">
      <c r="H1544" s="80"/>
      <c r="I1544" s="80"/>
    </row>
    <row r="1545" spans="8:9" x14ac:dyDescent="0.2">
      <c r="H1545" s="80"/>
      <c r="I1545" s="80"/>
    </row>
    <row r="1546" spans="8:9" x14ac:dyDescent="0.2">
      <c r="H1546" s="80"/>
      <c r="I1546" s="80"/>
    </row>
    <row r="1547" spans="8:9" x14ac:dyDescent="0.2">
      <c r="H1547" s="80"/>
      <c r="I1547" s="80"/>
    </row>
    <row r="1548" spans="8:9" x14ac:dyDescent="0.2">
      <c r="H1548" s="80"/>
      <c r="I1548" s="80"/>
    </row>
    <row r="1549" spans="8:9" x14ac:dyDescent="0.2">
      <c r="H1549" s="80"/>
      <c r="I1549" s="80"/>
    </row>
    <row r="1550" spans="8:9" x14ac:dyDescent="0.2">
      <c r="H1550" s="80"/>
      <c r="I1550" s="80"/>
    </row>
    <row r="1551" spans="8:9" x14ac:dyDescent="0.2">
      <c r="H1551" s="80"/>
      <c r="I1551" s="80"/>
    </row>
    <row r="1552" spans="8:9" x14ac:dyDescent="0.2">
      <c r="H1552" s="80"/>
      <c r="I1552" s="80"/>
    </row>
    <row r="1553" spans="8:9" x14ac:dyDescent="0.2">
      <c r="H1553" s="80"/>
      <c r="I1553" s="80"/>
    </row>
    <row r="1554" spans="8:9" x14ac:dyDescent="0.2">
      <c r="H1554" s="80"/>
      <c r="I1554" s="80"/>
    </row>
    <row r="1555" spans="8:9" x14ac:dyDescent="0.2">
      <c r="H1555" s="80"/>
      <c r="I1555" s="80"/>
    </row>
    <row r="1556" spans="8:9" x14ac:dyDescent="0.2">
      <c r="H1556" s="80"/>
      <c r="I1556" s="80"/>
    </row>
    <row r="1557" spans="8:9" x14ac:dyDescent="0.2">
      <c r="H1557" s="80"/>
      <c r="I1557" s="80"/>
    </row>
    <row r="1558" spans="8:9" x14ac:dyDescent="0.2">
      <c r="H1558" s="80"/>
      <c r="I1558" s="80"/>
    </row>
    <row r="1559" spans="8:9" x14ac:dyDescent="0.2">
      <c r="H1559" s="80"/>
      <c r="I1559" s="80"/>
    </row>
    <row r="1560" spans="8:9" x14ac:dyDescent="0.2">
      <c r="H1560" s="80"/>
      <c r="I1560" s="80"/>
    </row>
    <row r="1561" spans="8:9" x14ac:dyDescent="0.2">
      <c r="H1561" s="80"/>
      <c r="I1561" s="80"/>
    </row>
    <row r="1562" spans="8:9" x14ac:dyDescent="0.2">
      <c r="H1562" s="80"/>
      <c r="I1562" s="80"/>
    </row>
    <row r="1563" spans="8:9" x14ac:dyDescent="0.2">
      <c r="H1563" s="80"/>
      <c r="I1563" s="80"/>
    </row>
    <row r="1564" spans="8:9" x14ac:dyDescent="0.2">
      <c r="H1564" s="80"/>
      <c r="I1564" s="80"/>
    </row>
    <row r="1565" spans="8:9" x14ac:dyDescent="0.2">
      <c r="H1565" s="80"/>
      <c r="I1565" s="80"/>
    </row>
    <row r="1566" spans="8:9" x14ac:dyDescent="0.2">
      <c r="H1566" s="80"/>
      <c r="I1566" s="80"/>
    </row>
    <row r="1567" spans="8:9" x14ac:dyDescent="0.2">
      <c r="H1567" s="80"/>
      <c r="I1567" s="80"/>
    </row>
    <row r="1568" spans="8:9" x14ac:dyDescent="0.2">
      <c r="H1568" s="80"/>
      <c r="I1568" s="80"/>
    </row>
    <row r="1569" spans="8:9" x14ac:dyDescent="0.2">
      <c r="H1569" s="80"/>
      <c r="I1569" s="80"/>
    </row>
    <row r="1570" spans="8:9" x14ac:dyDescent="0.2">
      <c r="H1570" s="80"/>
      <c r="I1570" s="80"/>
    </row>
    <row r="1571" spans="8:9" x14ac:dyDescent="0.2">
      <c r="H1571" s="80"/>
      <c r="I1571" s="80"/>
    </row>
  </sheetData>
  <sheetProtection selectLockedCells="1"/>
  <dataConsolidate/>
  <dataValidations count="4">
    <dataValidation type="list" allowBlank="1" showInputMessage="1" showErrorMessage="1" errorTitle="¡Atención!" error="Tipo de instrumento no válido." sqref="E9:E1048576">
      <formula1>type</formula1>
    </dataValidation>
    <dataValidation type="list" allowBlank="1" showInputMessage="1" showErrorMessage="1" errorTitle="¡Atención!" error="Divisa no existe." sqref="J9:J1048576">
      <formula1>curr</formula1>
    </dataValidation>
    <dataValidation type="list" allowBlank="1" showInputMessage="1" showErrorMessage="1" errorTitle="¡Atención!" error="Fx Rate no válido." sqref="G9:G1048576">
      <formula1>fxDefinition</formula1>
    </dataValidation>
    <dataValidation type="list" allowBlank="1" showInputMessage="1" showErrorMessage="1" errorTitle="¡Atención!" error="Nombre de pricer no válido." sqref="F9:F1048576">
      <formula1>IF(E9="","",INDIRECT(E9))</formula1>
    </dataValidation>
  </dataValidations>
  <pageMargins left="0.7" right="0.7" top="0.75" bottom="0.75" header="0.3" footer="0.3"/>
  <pageSetup paperSize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H250"/>
  <sheetViews>
    <sheetView showGridLines="0" topLeftCell="C3" workbookViewId="0">
      <selection activeCell="D10" sqref="D10"/>
    </sheetView>
  </sheetViews>
  <sheetFormatPr baseColWidth="10" defaultRowHeight="14.25" x14ac:dyDescent="0.2"/>
  <cols>
    <col min="1" max="1" width="14.875" style="22" hidden="1" customWidth="1"/>
    <col min="2" max="2" width="0" style="22" hidden="1" customWidth="1"/>
    <col min="3" max="3" width="3.5" style="30" customWidth="1"/>
    <col min="4" max="6" width="11" style="50"/>
    <col min="7" max="7" width="13" style="50" customWidth="1"/>
    <col min="8" max="8" width="11" style="30"/>
  </cols>
  <sheetData>
    <row r="1" spans="1:7" s="22" customFormat="1" hidden="1" x14ac:dyDescent="0.2">
      <c r="A1" s="2" t="str">
        <f ca="1">nameOfThisSheet()</f>
        <v>Custom Amort</v>
      </c>
      <c r="B1" s="2"/>
    </row>
    <row r="2" spans="1:7" s="22" customFormat="1" hidden="1" x14ac:dyDescent="0.2">
      <c r="A2" s="2"/>
      <c r="B2" s="2"/>
    </row>
    <row r="3" spans="1:7" ht="9.75" customHeight="1" x14ac:dyDescent="0.2">
      <c r="A3" s="2"/>
      <c r="B3" s="2"/>
      <c r="D3" s="29"/>
      <c r="E3" s="29"/>
      <c r="F3" s="29"/>
      <c r="G3" s="29"/>
    </row>
    <row r="4" spans="1:7" ht="30" x14ac:dyDescent="0.2">
      <c r="A4" s="2"/>
      <c r="B4" s="2"/>
      <c r="D4" s="32" t="s">
        <v>127</v>
      </c>
      <c r="E4" s="30"/>
      <c r="F4" s="30"/>
      <c r="G4" s="30"/>
    </row>
    <row r="5" spans="1:7" x14ac:dyDescent="0.2">
      <c r="A5" s="2" t="s">
        <v>98</v>
      </c>
      <c r="B5" s="2"/>
      <c r="D5" s="30"/>
      <c r="E5" s="30"/>
      <c r="F5" s="30"/>
      <c r="G5" s="30"/>
    </row>
    <row r="6" spans="1:7" x14ac:dyDescent="0.2">
      <c r="A6" s="2" t="s">
        <v>84</v>
      </c>
      <c r="B6" s="2">
        <f ca="1">ROW(INDIRECT("originOperations"))</f>
        <v>9</v>
      </c>
      <c r="D6" s="30"/>
      <c r="E6" s="30"/>
      <c r="F6" s="30"/>
      <c r="G6" s="30"/>
    </row>
    <row r="7" spans="1:7" x14ac:dyDescent="0.2">
      <c r="A7" s="2" t="s">
        <v>85</v>
      </c>
      <c r="B7" s="2">
        <f ca="1">COLUMN(INDIRECT("originOperations"))</f>
        <v>4</v>
      </c>
      <c r="D7" s="30"/>
      <c r="E7" s="30"/>
      <c r="F7" s="30"/>
      <c r="G7" s="30"/>
    </row>
    <row r="8" spans="1:7" x14ac:dyDescent="0.2">
      <c r="A8" s="2" t="s">
        <v>86</v>
      </c>
      <c r="B8" s="18" t="str">
        <f ca="1">numbertoletter(B7)</f>
        <v>D</v>
      </c>
      <c r="D8" s="33" t="s">
        <v>18</v>
      </c>
      <c r="E8" s="33" t="s">
        <v>128</v>
      </c>
      <c r="F8" s="33" t="s">
        <v>129</v>
      </c>
      <c r="G8" s="33" t="s">
        <v>130</v>
      </c>
    </row>
    <row r="9" spans="1:7" x14ac:dyDescent="0.2">
      <c r="A9" s="2" t="s">
        <v>87</v>
      </c>
      <c r="B9" s="18" t="str">
        <f ca="1">B8&amp;B6&amp;":"&amp;B8&amp;maxRowsValue</f>
        <v>D9:D1048576</v>
      </c>
      <c r="D9" s="95" t="s">
        <v>204</v>
      </c>
      <c r="E9" s="50" t="s">
        <v>131</v>
      </c>
      <c r="F9" s="93">
        <v>-1</v>
      </c>
      <c r="G9" s="91">
        <v>0</v>
      </c>
    </row>
    <row r="10" spans="1:7" x14ac:dyDescent="0.2">
      <c r="A10" s="2" t="s">
        <v>88</v>
      </c>
      <c r="B10" s="2">
        <f ca="1">COUNTA(INDIRECT(B9))</f>
        <v>1</v>
      </c>
      <c r="D10" s="53"/>
      <c r="F10" s="93"/>
      <c r="G10" s="91"/>
    </row>
    <row r="11" spans="1:7" ht="15" x14ac:dyDescent="0.25">
      <c r="A11" s="2" t="s">
        <v>89</v>
      </c>
      <c r="B11" s="19">
        <v>4</v>
      </c>
      <c r="D11" s="53"/>
      <c r="F11" s="93"/>
      <c r="G11" s="91"/>
    </row>
    <row r="12" spans="1:7" x14ac:dyDescent="0.2">
      <c r="A12" s="2" t="s">
        <v>90</v>
      </c>
      <c r="B12" s="18" t="str">
        <f ca="1">B8&amp;B6&amp;":"&amp;numbertoletter(B7+B11-1)&amp;(B6+B10-1)</f>
        <v>D9:G9</v>
      </c>
      <c r="D12" s="53"/>
      <c r="F12" s="93"/>
      <c r="G12" s="91"/>
    </row>
    <row r="13" spans="1:7" x14ac:dyDescent="0.2">
      <c r="D13" s="53"/>
      <c r="F13" s="93"/>
      <c r="G13" s="91"/>
    </row>
    <row r="14" spans="1:7" x14ac:dyDescent="0.2">
      <c r="D14" s="53"/>
      <c r="F14" s="93"/>
      <c r="G14" s="91"/>
    </row>
    <row r="15" spans="1:7" x14ac:dyDescent="0.2">
      <c r="D15" s="53"/>
      <c r="F15" s="93"/>
      <c r="G15" s="91"/>
    </row>
    <row r="16" spans="1:7" x14ac:dyDescent="0.2">
      <c r="D16" s="53"/>
      <c r="F16" s="93"/>
      <c r="G16" s="91"/>
    </row>
    <row r="17" spans="1:8" x14ac:dyDescent="0.2">
      <c r="D17" s="53"/>
      <c r="F17" s="93"/>
      <c r="G17" s="91"/>
    </row>
    <row r="18" spans="1:8" x14ac:dyDescent="0.2">
      <c r="D18" s="53"/>
      <c r="F18" s="93"/>
      <c r="G18" s="91"/>
    </row>
    <row r="19" spans="1:8" x14ac:dyDescent="0.2">
      <c r="D19" s="53"/>
      <c r="F19" s="93"/>
      <c r="G19" s="91"/>
    </row>
    <row r="20" spans="1:8" x14ac:dyDescent="0.2">
      <c r="D20" s="53"/>
      <c r="F20" s="93"/>
      <c r="G20" s="91"/>
    </row>
    <row r="21" spans="1:8" x14ac:dyDescent="0.2">
      <c r="F21" s="93"/>
      <c r="G21" s="91"/>
    </row>
    <row r="22" spans="1:8" x14ac:dyDescent="0.2">
      <c r="F22" s="93"/>
      <c r="G22" s="91"/>
    </row>
    <row r="23" spans="1:8" s="89" customFormat="1" x14ac:dyDescent="0.2">
      <c r="A23" s="22"/>
      <c r="B23" s="22"/>
      <c r="C23" s="30"/>
      <c r="D23" s="94"/>
      <c r="E23" s="94"/>
      <c r="F23" s="93"/>
      <c r="G23" s="91"/>
      <c r="H23" s="30"/>
    </row>
    <row r="24" spans="1:8" s="89" customFormat="1" x14ac:dyDescent="0.2">
      <c r="A24" s="22"/>
      <c r="B24" s="22"/>
      <c r="C24" s="30"/>
      <c r="D24" s="94"/>
      <c r="E24" s="94"/>
      <c r="F24" s="93"/>
      <c r="G24" s="91"/>
      <c r="H24" s="30"/>
    </row>
    <row r="25" spans="1:8" s="89" customFormat="1" x14ac:dyDescent="0.2">
      <c r="A25" s="22"/>
      <c r="B25" s="22"/>
      <c r="C25" s="30"/>
      <c r="D25" s="94"/>
      <c r="E25" s="94"/>
      <c r="F25" s="93"/>
      <c r="G25" s="91"/>
      <c r="H25" s="30"/>
    </row>
    <row r="26" spans="1:8" s="89" customFormat="1" x14ac:dyDescent="0.2">
      <c r="A26" s="22"/>
      <c r="B26" s="22"/>
      <c r="C26" s="30"/>
      <c r="D26" s="94"/>
      <c r="E26" s="94"/>
      <c r="F26" s="93"/>
      <c r="G26" s="91"/>
      <c r="H26" s="30"/>
    </row>
    <row r="27" spans="1:8" ht="13.5" customHeight="1" x14ac:dyDescent="0.2">
      <c r="D27" s="95"/>
      <c r="E27" s="94"/>
      <c r="F27" s="93"/>
      <c r="G27" s="91"/>
    </row>
    <row r="28" spans="1:8" x14ac:dyDescent="0.2">
      <c r="D28" s="95"/>
      <c r="E28" s="94"/>
      <c r="F28" s="93"/>
      <c r="G28" s="91"/>
    </row>
    <row r="29" spans="1:8" x14ac:dyDescent="0.2">
      <c r="D29" s="95"/>
      <c r="E29" s="94"/>
      <c r="F29" s="93"/>
      <c r="G29" s="91"/>
    </row>
    <row r="30" spans="1:8" x14ac:dyDescent="0.2">
      <c r="D30" s="95"/>
      <c r="E30" s="94"/>
      <c r="F30" s="93"/>
      <c r="G30" s="91"/>
    </row>
    <row r="31" spans="1:8" x14ac:dyDescent="0.2">
      <c r="D31" s="95"/>
      <c r="E31" s="94"/>
      <c r="F31" s="93"/>
      <c r="G31" s="91"/>
    </row>
    <row r="32" spans="1:8" x14ac:dyDescent="0.2">
      <c r="D32" s="95"/>
      <c r="E32" s="94"/>
      <c r="F32" s="93"/>
      <c r="G32" s="91"/>
    </row>
    <row r="33" spans="4:7" x14ac:dyDescent="0.2">
      <c r="D33" s="95"/>
      <c r="E33" s="94"/>
      <c r="F33" s="93"/>
      <c r="G33" s="91"/>
    </row>
    <row r="34" spans="4:7" x14ac:dyDescent="0.2">
      <c r="D34" s="95"/>
      <c r="E34" s="94"/>
      <c r="F34" s="93"/>
      <c r="G34" s="91"/>
    </row>
    <row r="35" spans="4:7" x14ac:dyDescent="0.2">
      <c r="D35" s="95"/>
      <c r="E35" s="94"/>
      <c r="F35" s="93"/>
      <c r="G35" s="91"/>
    </row>
    <row r="36" spans="4:7" x14ac:dyDescent="0.2">
      <c r="D36" s="95"/>
      <c r="E36" s="94"/>
      <c r="F36" s="93"/>
      <c r="G36" s="91"/>
    </row>
    <row r="37" spans="4:7" x14ac:dyDescent="0.2">
      <c r="D37" s="95"/>
      <c r="E37" s="94"/>
      <c r="F37" s="93"/>
      <c r="G37" s="91"/>
    </row>
    <row r="38" spans="4:7" x14ac:dyDescent="0.2">
      <c r="D38" s="95"/>
      <c r="E38" s="94"/>
      <c r="F38" s="93"/>
      <c r="G38" s="91"/>
    </row>
    <row r="39" spans="4:7" x14ac:dyDescent="0.2">
      <c r="D39" s="94"/>
      <c r="E39" s="94"/>
      <c r="F39" s="93"/>
      <c r="G39" s="91"/>
    </row>
    <row r="40" spans="4:7" x14ac:dyDescent="0.2">
      <c r="D40" s="94"/>
      <c r="E40" s="94"/>
      <c r="F40" s="93"/>
      <c r="G40" s="91"/>
    </row>
    <row r="41" spans="4:7" x14ac:dyDescent="0.2">
      <c r="F41" s="93"/>
      <c r="G41" s="91"/>
    </row>
    <row r="42" spans="4:7" x14ac:dyDescent="0.2">
      <c r="F42" s="93"/>
      <c r="G42" s="91"/>
    </row>
    <row r="43" spans="4:7" x14ac:dyDescent="0.2">
      <c r="F43" s="93"/>
      <c r="G43" s="91"/>
    </row>
    <row r="44" spans="4:7" x14ac:dyDescent="0.2">
      <c r="F44" s="93"/>
      <c r="G44" s="91"/>
    </row>
    <row r="45" spans="4:7" x14ac:dyDescent="0.2">
      <c r="F45" s="93"/>
      <c r="G45" s="91"/>
    </row>
    <row r="46" spans="4:7" x14ac:dyDescent="0.2">
      <c r="F46" s="93"/>
      <c r="G46" s="91"/>
    </row>
    <row r="47" spans="4:7" x14ac:dyDescent="0.2">
      <c r="F47" s="93"/>
      <c r="G47" s="91"/>
    </row>
    <row r="48" spans="4:7" x14ac:dyDescent="0.2">
      <c r="F48" s="93"/>
      <c r="G48" s="91"/>
    </row>
    <row r="49" spans="6:7" x14ac:dyDescent="0.2">
      <c r="F49" s="93"/>
      <c r="G49" s="91"/>
    </row>
    <row r="50" spans="6:7" x14ac:dyDescent="0.2">
      <c r="F50" s="93"/>
      <c r="G50" s="91"/>
    </row>
    <row r="51" spans="6:7" x14ac:dyDescent="0.2">
      <c r="F51" s="93"/>
      <c r="G51" s="91"/>
    </row>
    <row r="52" spans="6:7" x14ac:dyDescent="0.2">
      <c r="F52" s="93"/>
      <c r="G52" s="91"/>
    </row>
    <row r="53" spans="6:7" x14ac:dyDescent="0.2">
      <c r="F53" s="93"/>
      <c r="G53" s="91"/>
    </row>
    <row r="54" spans="6:7" x14ac:dyDescent="0.2">
      <c r="F54" s="93"/>
      <c r="G54" s="91"/>
    </row>
    <row r="55" spans="6:7" x14ac:dyDescent="0.2">
      <c r="F55" s="93"/>
      <c r="G55" s="91"/>
    </row>
    <row r="56" spans="6:7" x14ac:dyDescent="0.2">
      <c r="F56" s="93"/>
      <c r="G56" s="91"/>
    </row>
    <row r="57" spans="6:7" x14ac:dyDescent="0.2">
      <c r="F57" s="93"/>
      <c r="G57" s="91"/>
    </row>
    <row r="58" spans="6:7" x14ac:dyDescent="0.2">
      <c r="F58" s="93"/>
      <c r="G58" s="91"/>
    </row>
    <row r="59" spans="6:7" x14ac:dyDescent="0.2">
      <c r="F59" s="93"/>
      <c r="G59" s="91"/>
    </row>
    <row r="60" spans="6:7" x14ac:dyDescent="0.2">
      <c r="F60" s="93"/>
      <c r="G60" s="91"/>
    </row>
    <row r="61" spans="6:7" x14ac:dyDescent="0.2">
      <c r="F61" s="93"/>
      <c r="G61" s="91"/>
    </row>
    <row r="62" spans="6:7" x14ac:dyDescent="0.2">
      <c r="F62" s="93"/>
      <c r="G62" s="91"/>
    </row>
    <row r="63" spans="6:7" x14ac:dyDescent="0.2">
      <c r="F63" s="93"/>
      <c r="G63" s="91"/>
    </row>
    <row r="64" spans="6:7" x14ac:dyDescent="0.2">
      <c r="F64" s="93"/>
      <c r="G64" s="91"/>
    </row>
    <row r="65" spans="6:7" x14ac:dyDescent="0.2">
      <c r="F65" s="93"/>
      <c r="G65" s="91"/>
    </row>
    <row r="66" spans="6:7" x14ac:dyDescent="0.2">
      <c r="F66" s="93"/>
      <c r="G66" s="91"/>
    </row>
    <row r="67" spans="6:7" x14ac:dyDescent="0.2">
      <c r="F67" s="93"/>
      <c r="G67" s="91"/>
    </row>
    <row r="68" spans="6:7" x14ac:dyDescent="0.2">
      <c r="F68" s="93"/>
      <c r="G68" s="91"/>
    </row>
    <row r="69" spans="6:7" x14ac:dyDescent="0.2">
      <c r="F69" s="93"/>
      <c r="G69" s="91"/>
    </row>
    <row r="70" spans="6:7" x14ac:dyDescent="0.2">
      <c r="F70" s="93"/>
      <c r="G70" s="91"/>
    </row>
    <row r="71" spans="6:7" x14ac:dyDescent="0.2">
      <c r="F71" s="93"/>
      <c r="G71" s="91"/>
    </row>
    <row r="72" spans="6:7" x14ac:dyDescent="0.2">
      <c r="F72" s="93"/>
      <c r="G72" s="91"/>
    </row>
    <row r="73" spans="6:7" x14ac:dyDescent="0.2">
      <c r="F73" s="93"/>
      <c r="G73" s="91"/>
    </row>
    <row r="74" spans="6:7" x14ac:dyDescent="0.2">
      <c r="F74" s="93"/>
      <c r="G74" s="91"/>
    </row>
    <row r="75" spans="6:7" x14ac:dyDescent="0.2">
      <c r="F75" s="93"/>
      <c r="G75" s="91"/>
    </row>
    <row r="76" spans="6:7" x14ac:dyDescent="0.2">
      <c r="F76" s="93"/>
      <c r="G76" s="91"/>
    </row>
    <row r="77" spans="6:7" x14ac:dyDescent="0.2">
      <c r="F77" s="93"/>
      <c r="G77" s="91"/>
    </row>
    <row r="78" spans="6:7" x14ac:dyDescent="0.2">
      <c r="F78" s="93"/>
      <c r="G78" s="91"/>
    </row>
    <row r="79" spans="6:7" x14ac:dyDescent="0.2">
      <c r="F79" s="93"/>
      <c r="G79" s="91"/>
    </row>
    <row r="80" spans="6:7" x14ac:dyDescent="0.2">
      <c r="F80" s="93"/>
      <c r="G80" s="91"/>
    </row>
    <row r="81" spans="6:7" x14ac:dyDescent="0.2">
      <c r="F81" s="93"/>
      <c r="G81" s="91"/>
    </row>
    <row r="82" spans="6:7" x14ac:dyDescent="0.2">
      <c r="F82" s="93"/>
      <c r="G82" s="91"/>
    </row>
    <row r="83" spans="6:7" x14ac:dyDescent="0.2">
      <c r="F83" s="93"/>
      <c r="G83" s="91"/>
    </row>
    <row r="84" spans="6:7" x14ac:dyDescent="0.2">
      <c r="F84" s="93"/>
      <c r="G84" s="91"/>
    </row>
    <row r="85" spans="6:7" x14ac:dyDescent="0.2">
      <c r="F85" s="93"/>
      <c r="G85" s="91"/>
    </row>
    <row r="86" spans="6:7" x14ac:dyDescent="0.2">
      <c r="F86" s="93"/>
      <c r="G86" s="91"/>
    </row>
    <row r="87" spans="6:7" x14ac:dyDescent="0.2">
      <c r="F87" s="93"/>
      <c r="G87" s="91"/>
    </row>
    <row r="88" spans="6:7" x14ac:dyDescent="0.2">
      <c r="F88" s="93"/>
      <c r="G88" s="91"/>
    </row>
    <row r="89" spans="6:7" x14ac:dyDescent="0.2">
      <c r="F89" s="93"/>
      <c r="G89" s="91"/>
    </row>
    <row r="90" spans="6:7" x14ac:dyDescent="0.2">
      <c r="F90" s="93"/>
      <c r="G90" s="91"/>
    </row>
    <row r="91" spans="6:7" x14ac:dyDescent="0.2">
      <c r="F91" s="93"/>
      <c r="G91" s="91"/>
    </row>
    <row r="92" spans="6:7" x14ac:dyDescent="0.2">
      <c r="F92" s="93"/>
      <c r="G92" s="91"/>
    </row>
    <row r="93" spans="6:7" x14ac:dyDescent="0.2">
      <c r="F93" s="93"/>
      <c r="G93" s="91"/>
    </row>
    <row r="94" spans="6:7" x14ac:dyDescent="0.2">
      <c r="F94" s="93"/>
      <c r="G94" s="91"/>
    </row>
    <row r="95" spans="6:7" x14ac:dyDescent="0.2">
      <c r="F95" s="93"/>
      <c r="G95" s="91"/>
    </row>
    <row r="96" spans="6:7" x14ac:dyDescent="0.2">
      <c r="F96" s="93"/>
      <c r="G96" s="91"/>
    </row>
    <row r="97" spans="6:7" x14ac:dyDescent="0.2">
      <c r="F97" s="93"/>
      <c r="G97" s="91"/>
    </row>
    <row r="98" spans="6:7" x14ac:dyDescent="0.2">
      <c r="F98" s="93"/>
      <c r="G98" s="91"/>
    </row>
    <row r="99" spans="6:7" x14ac:dyDescent="0.2">
      <c r="F99" s="93"/>
      <c r="G99" s="91"/>
    </row>
    <row r="100" spans="6:7" x14ac:dyDescent="0.2">
      <c r="F100" s="93"/>
      <c r="G100" s="91"/>
    </row>
    <row r="101" spans="6:7" x14ac:dyDescent="0.2">
      <c r="F101" s="93"/>
      <c r="G101" s="91"/>
    </row>
    <row r="102" spans="6:7" x14ac:dyDescent="0.2">
      <c r="F102" s="93"/>
      <c r="G102" s="91"/>
    </row>
    <row r="103" spans="6:7" x14ac:dyDescent="0.2">
      <c r="F103" s="93"/>
      <c r="G103" s="91"/>
    </row>
    <row r="104" spans="6:7" x14ac:dyDescent="0.2">
      <c r="F104" s="93"/>
      <c r="G104" s="91"/>
    </row>
    <row r="105" spans="6:7" x14ac:dyDescent="0.2">
      <c r="F105" s="93"/>
      <c r="G105" s="91"/>
    </row>
    <row r="106" spans="6:7" x14ac:dyDescent="0.2">
      <c r="F106" s="93"/>
      <c r="G106" s="91"/>
    </row>
    <row r="107" spans="6:7" x14ac:dyDescent="0.2">
      <c r="F107" s="93"/>
      <c r="G107" s="91"/>
    </row>
    <row r="108" spans="6:7" x14ac:dyDescent="0.2">
      <c r="F108" s="93"/>
      <c r="G108" s="91"/>
    </row>
    <row r="109" spans="6:7" x14ac:dyDescent="0.2">
      <c r="F109" s="93"/>
      <c r="G109" s="91"/>
    </row>
    <row r="110" spans="6:7" x14ac:dyDescent="0.2">
      <c r="F110" s="93"/>
      <c r="G110" s="91"/>
    </row>
    <row r="111" spans="6:7" x14ac:dyDescent="0.2">
      <c r="F111" s="93"/>
      <c r="G111" s="91"/>
    </row>
    <row r="112" spans="6:7" x14ac:dyDescent="0.2">
      <c r="F112" s="93"/>
      <c r="G112" s="91"/>
    </row>
    <row r="113" spans="6:7" x14ac:dyDescent="0.2">
      <c r="F113" s="93"/>
      <c r="G113" s="91"/>
    </row>
    <row r="114" spans="6:7" x14ac:dyDescent="0.2">
      <c r="F114" s="93"/>
      <c r="G114" s="91"/>
    </row>
    <row r="115" spans="6:7" x14ac:dyDescent="0.2">
      <c r="F115" s="93"/>
      <c r="G115" s="91"/>
    </row>
    <row r="116" spans="6:7" x14ac:dyDescent="0.2">
      <c r="F116" s="93"/>
      <c r="G116" s="91"/>
    </row>
    <row r="117" spans="6:7" x14ac:dyDescent="0.2">
      <c r="F117" s="93"/>
      <c r="G117" s="91"/>
    </row>
    <row r="118" spans="6:7" x14ac:dyDescent="0.2">
      <c r="F118" s="93"/>
      <c r="G118" s="91"/>
    </row>
    <row r="119" spans="6:7" x14ac:dyDescent="0.2">
      <c r="F119" s="93"/>
      <c r="G119" s="91"/>
    </row>
    <row r="120" spans="6:7" x14ac:dyDescent="0.2">
      <c r="F120" s="93"/>
      <c r="G120" s="91"/>
    </row>
    <row r="121" spans="6:7" x14ac:dyDescent="0.2">
      <c r="F121" s="93"/>
      <c r="G121" s="91"/>
    </row>
    <row r="122" spans="6:7" x14ac:dyDescent="0.2">
      <c r="F122" s="93"/>
      <c r="G122" s="91"/>
    </row>
    <row r="123" spans="6:7" x14ac:dyDescent="0.2">
      <c r="F123" s="93"/>
      <c r="G123" s="91"/>
    </row>
    <row r="124" spans="6:7" x14ac:dyDescent="0.2">
      <c r="F124" s="93"/>
      <c r="G124" s="91"/>
    </row>
    <row r="125" spans="6:7" x14ac:dyDescent="0.2">
      <c r="F125" s="93"/>
      <c r="G125" s="91"/>
    </row>
    <row r="126" spans="6:7" x14ac:dyDescent="0.2">
      <c r="F126" s="93"/>
      <c r="G126" s="91"/>
    </row>
    <row r="127" spans="6:7" x14ac:dyDescent="0.2">
      <c r="F127" s="93"/>
      <c r="G127" s="91"/>
    </row>
    <row r="128" spans="6:7" x14ac:dyDescent="0.2">
      <c r="F128" s="93"/>
      <c r="G128" s="91"/>
    </row>
    <row r="129" spans="6:7" x14ac:dyDescent="0.2">
      <c r="F129" s="93"/>
      <c r="G129" s="91"/>
    </row>
    <row r="130" spans="6:7" x14ac:dyDescent="0.2">
      <c r="F130" s="93"/>
      <c r="G130" s="91"/>
    </row>
    <row r="131" spans="6:7" x14ac:dyDescent="0.2">
      <c r="F131" s="93"/>
      <c r="G131" s="91"/>
    </row>
    <row r="132" spans="6:7" x14ac:dyDescent="0.2">
      <c r="F132" s="93"/>
      <c r="G132" s="91"/>
    </row>
    <row r="133" spans="6:7" x14ac:dyDescent="0.2">
      <c r="F133" s="93"/>
      <c r="G133" s="91"/>
    </row>
    <row r="134" spans="6:7" x14ac:dyDescent="0.2">
      <c r="F134" s="93"/>
      <c r="G134" s="91"/>
    </row>
    <row r="135" spans="6:7" x14ac:dyDescent="0.2">
      <c r="F135" s="93"/>
      <c r="G135" s="91"/>
    </row>
    <row r="136" spans="6:7" x14ac:dyDescent="0.2">
      <c r="F136" s="93"/>
      <c r="G136" s="91"/>
    </row>
    <row r="137" spans="6:7" x14ac:dyDescent="0.2">
      <c r="F137" s="93"/>
      <c r="G137" s="91"/>
    </row>
    <row r="138" spans="6:7" x14ac:dyDescent="0.2">
      <c r="F138" s="93"/>
      <c r="G138" s="91"/>
    </row>
    <row r="139" spans="6:7" x14ac:dyDescent="0.2">
      <c r="F139" s="93"/>
      <c r="G139" s="91"/>
    </row>
    <row r="140" spans="6:7" x14ac:dyDescent="0.2">
      <c r="F140" s="93"/>
      <c r="G140" s="91"/>
    </row>
    <row r="141" spans="6:7" x14ac:dyDescent="0.2">
      <c r="F141" s="93"/>
      <c r="G141" s="91"/>
    </row>
    <row r="142" spans="6:7" x14ac:dyDescent="0.2">
      <c r="F142" s="93"/>
      <c r="G142" s="91"/>
    </row>
    <row r="143" spans="6:7" x14ac:dyDescent="0.2">
      <c r="F143" s="93"/>
      <c r="G143" s="91"/>
    </row>
    <row r="144" spans="6:7" x14ac:dyDescent="0.2">
      <c r="F144" s="93"/>
      <c r="G144" s="91"/>
    </row>
    <row r="145" spans="6:7" x14ac:dyDescent="0.2">
      <c r="F145" s="93"/>
      <c r="G145" s="91"/>
    </row>
    <row r="146" spans="6:7" x14ac:dyDescent="0.2">
      <c r="F146" s="93"/>
      <c r="G146" s="91"/>
    </row>
    <row r="147" spans="6:7" x14ac:dyDescent="0.2">
      <c r="F147" s="93"/>
      <c r="G147" s="91"/>
    </row>
    <row r="148" spans="6:7" x14ac:dyDescent="0.2">
      <c r="F148" s="93"/>
      <c r="G148" s="91"/>
    </row>
    <row r="149" spans="6:7" x14ac:dyDescent="0.2">
      <c r="F149" s="93"/>
      <c r="G149" s="91"/>
    </row>
    <row r="150" spans="6:7" x14ac:dyDescent="0.2">
      <c r="F150" s="93"/>
      <c r="G150" s="91"/>
    </row>
    <row r="151" spans="6:7" x14ac:dyDescent="0.2">
      <c r="F151" s="93"/>
      <c r="G151" s="91"/>
    </row>
    <row r="152" spans="6:7" x14ac:dyDescent="0.2">
      <c r="F152" s="93"/>
      <c r="G152" s="91"/>
    </row>
    <row r="153" spans="6:7" x14ac:dyDescent="0.2">
      <c r="F153" s="93"/>
      <c r="G153" s="91"/>
    </row>
    <row r="154" spans="6:7" x14ac:dyDescent="0.2">
      <c r="F154" s="93"/>
      <c r="G154" s="91"/>
    </row>
    <row r="155" spans="6:7" x14ac:dyDescent="0.2">
      <c r="F155" s="93"/>
      <c r="G155" s="91"/>
    </row>
    <row r="156" spans="6:7" x14ac:dyDescent="0.2">
      <c r="F156" s="93"/>
      <c r="G156" s="91"/>
    </row>
    <row r="157" spans="6:7" x14ac:dyDescent="0.2">
      <c r="F157" s="93"/>
      <c r="G157" s="91"/>
    </row>
    <row r="158" spans="6:7" x14ac:dyDescent="0.2">
      <c r="F158" s="93"/>
      <c r="G158" s="91"/>
    </row>
    <row r="159" spans="6:7" x14ac:dyDescent="0.2">
      <c r="F159" s="93"/>
      <c r="G159" s="91"/>
    </row>
    <row r="160" spans="6:7" x14ac:dyDescent="0.2">
      <c r="F160" s="93"/>
      <c r="G160" s="91"/>
    </row>
    <row r="161" spans="6:7" x14ac:dyDescent="0.2">
      <c r="F161" s="93"/>
      <c r="G161" s="91"/>
    </row>
    <row r="162" spans="6:7" x14ac:dyDescent="0.2">
      <c r="F162" s="93"/>
      <c r="G162" s="91"/>
    </row>
    <row r="163" spans="6:7" x14ac:dyDescent="0.2">
      <c r="F163" s="93"/>
      <c r="G163" s="91"/>
    </row>
    <row r="164" spans="6:7" x14ac:dyDescent="0.2">
      <c r="F164" s="93"/>
      <c r="G164" s="91"/>
    </row>
    <row r="165" spans="6:7" x14ac:dyDescent="0.2">
      <c r="F165" s="93"/>
      <c r="G165" s="91"/>
    </row>
    <row r="166" spans="6:7" x14ac:dyDescent="0.2">
      <c r="F166" s="93"/>
      <c r="G166" s="91"/>
    </row>
    <row r="167" spans="6:7" x14ac:dyDescent="0.2">
      <c r="F167" s="93"/>
      <c r="G167" s="91"/>
    </row>
    <row r="168" spans="6:7" x14ac:dyDescent="0.2">
      <c r="F168" s="93"/>
      <c r="G168" s="91"/>
    </row>
    <row r="169" spans="6:7" x14ac:dyDescent="0.2">
      <c r="F169" s="93"/>
      <c r="G169" s="91"/>
    </row>
    <row r="170" spans="6:7" x14ac:dyDescent="0.2">
      <c r="F170" s="93"/>
      <c r="G170" s="91"/>
    </row>
    <row r="171" spans="6:7" x14ac:dyDescent="0.2">
      <c r="F171" s="93"/>
      <c r="G171" s="91"/>
    </row>
    <row r="172" spans="6:7" x14ac:dyDescent="0.2">
      <c r="F172" s="93"/>
      <c r="G172" s="91"/>
    </row>
    <row r="173" spans="6:7" x14ac:dyDescent="0.2">
      <c r="F173" s="93"/>
      <c r="G173" s="91"/>
    </row>
    <row r="174" spans="6:7" x14ac:dyDescent="0.2">
      <c r="F174" s="93"/>
      <c r="G174" s="91"/>
    </row>
    <row r="175" spans="6:7" x14ac:dyDescent="0.2">
      <c r="F175" s="93"/>
      <c r="G175" s="91"/>
    </row>
    <row r="176" spans="6:7" x14ac:dyDescent="0.2">
      <c r="F176" s="93"/>
      <c r="G176" s="91"/>
    </row>
    <row r="177" spans="6:7" x14ac:dyDescent="0.2">
      <c r="F177" s="93"/>
      <c r="G177" s="91"/>
    </row>
    <row r="178" spans="6:7" x14ac:dyDescent="0.2">
      <c r="F178" s="93"/>
      <c r="G178" s="91"/>
    </row>
    <row r="179" spans="6:7" x14ac:dyDescent="0.2">
      <c r="F179" s="93"/>
      <c r="G179" s="91"/>
    </row>
    <row r="180" spans="6:7" x14ac:dyDescent="0.2">
      <c r="F180" s="93"/>
      <c r="G180" s="91"/>
    </row>
    <row r="181" spans="6:7" x14ac:dyDescent="0.2">
      <c r="F181" s="93"/>
      <c r="G181" s="91"/>
    </row>
    <row r="182" spans="6:7" x14ac:dyDescent="0.2">
      <c r="F182" s="93"/>
      <c r="G182" s="91"/>
    </row>
    <row r="183" spans="6:7" x14ac:dyDescent="0.2">
      <c r="F183" s="93"/>
      <c r="G183" s="91"/>
    </row>
    <row r="184" spans="6:7" x14ac:dyDescent="0.2">
      <c r="F184" s="93"/>
      <c r="G184" s="91"/>
    </row>
    <row r="185" spans="6:7" x14ac:dyDescent="0.2">
      <c r="F185" s="93"/>
      <c r="G185" s="91"/>
    </row>
    <row r="186" spans="6:7" x14ac:dyDescent="0.2">
      <c r="F186" s="93"/>
      <c r="G186" s="91"/>
    </row>
    <row r="187" spans="6:7" x14ac:dyDescent="0.2">
      <c r="F187" s="93"/>
      <c r="G187" s="91"/>
    </row>
    <row r="188" spans="6:7" x14ac:dyDescent="0.2">
      <c r="F188" s="93"/>
      <c r="G188" s="91"/>
    </row>
    <row r="189" spans="6:7" x14ac:dyDescent="0.2">
      <c r="F189" s="93"/>
      <c r="G189" s="91"/>
    </row>
    <row r="190" spans="6:7" x14ac:dyDescent="0.2">
      <c r="F190" s="93"/>
      <c r="G190" s="91"/>
    </row>
    <row r="191" spans="6:7" x14ac:dyDescent="0.2">
      <c r="F191" s="93"/>
      <c r="G191" s="91"/>
    </row>
    <row r="192" spans="6:7" x14ac:dyDescent="0.2">
      <c r="F192" s="93"/>
      <c r="G192" s="91"/>
    </row>
    <row r="193" spans="6:7" x14ac:dyDescent="0.2">
      <c r="F193" s="93"/>
      <c r="G193" s="91"/>
    </row>
    <row r="194" spans="6:7" x14ac:dyDescent="0.2">
      <c r="F194" s="93"/>
      <c r="G194" s="91"/>
    </row>
    <row r="195" spans="6:7" x14ac:dyDescent="0.2">
      <c r="F195" s="93"/>
      <c r="G195" s="91"/>
    </row>
    <row r="196" spans="6:7" x14ac:dyDescent="0.2">
      <c r="F196" s="93"/>
      <c r="G196" s="91"/>
    </row>
    <row r="197" spans="6:7" x14ac:dyDescent="0.2">
      <c r="F197" s="93"/>
      <c r="G197" s="91"/>
    </row>
    <row r="198" spans="6:7" x14ac:dyDescent="0.2">
      <c r="F198" s="93"/>
      <c r="G198" s="91"/>
    </row>
    <row r="199" spans="6:7" x14ac:dyDescent="0.2">
      <c r="F199" s="93"/>
      <c r="G199" s="91"/>
    </row>
    <row r="200" spans="6:7" x14ac:dyDescent="0.2">
      <c r="F200" s="93"/>
      <c r="G200" s="91"/>
    </row>
    <row r="201" spans="6:7" x14ac:dyDescent="0.2">
      <c r="F201" s="93"/>
      <c r="G201" s="91"/>
    </row>
    <row r="202" spans="6:7" x14ac:dyDescent="0.2">
      <c r="F202" s="93"/>
      <c r="G202" s="91"/>
    </row>
    <row r="203" spans="6:7" x14ac:dyDescent="0.2">
      <c r="F203" s="93"/>
      <c r="G203" s="91"/>
    </row>
    <row r="204" spans="6:7" x14ac:dyDescent="0.2">
      <c r="F204" s="93"/>
      <c r="G204" s="91"/>
    </row>
    <row r="205" spans="6:7" x14ac:dyDescent="0.2">
      <c r="F205" s="93"/>
      <c r="G205" s="91"/>
    </row>
    <row r="206" spans="6:7" x14ac:dyDescent="0.2">
      <c r="F206" s="93"/>
      <c r="G206" s="91"/>
    </row>
    <row r="207" spans="6:7" x14ac:dyDescent="0.2">
      <c r="F207" s="93"/>
      <c r="G207" s="91"/>
    </row>
    <row r="208" spans="6:7" x14ac:dyDescent="0.2">
      <c r="F208" s="93"/>
      <c r="G208" s="91"/>
    </row>
    <row r="209" spans="6:7" x14ac:dyDescent="0.2">
      <c r="F209" s="93"/>
      <c r="G209" s="91"/>
    </row>
    <row r="210" spans="6:7" x14ac:dyDescent="0.2">
      <c r="F210" s="93"/>
      <c r="G210" s="91"/>
    </row>
    <row r="211" spans="6:7" x14ac:dyDescent="0.2">
      <c r="F211" s="93"/>
      <c r="G211" s="91"/>
    </row>
    <row r="212" spans="6:7" x14ac:dyDescent="0.2">
      <c r="F212" s="93"/>
      <c r="G212" s="91"/>
    </row>
    <row r="213" spans="6:7" x14ac:dyDescent="0.2">
      <c r="F213" s="93"/>
      <c r="G213" s="91"/>
    </row>
    <row r="214" spans="6:7" x14ac:dyDescent="0.2">
      <c r="F214" s="93"/>
      <c r="G214" s="91"/>
    </row>
    <row r="215" spans="6:7" x14ac:dyDescent="0.2">
      <c r="F215" s="93"/>
      <c r="G215" s="91"/>
    </row>
    <row r="216" spans="6:7" x14ac:dyDescent="0.2">
      <c r="F216" s="93"/>
      <c r="G216" s="91"/>
    </row>
    <row r="217" spans="6:7" x14ac:dyDescent="0.2">
      <c r="F217" s="93"/>
      <c r="G217" s="91"/>
    </row>
    <row r="218" spans="6:7" x14ac:dyDescent="0.2">
      <c r="F218" s="93"/>
      <c r="G218" s="91"/>
    </row>
    <row r="219" spans="6:7" x14ac:dyDescent="0.2">
      <c r="F219" s="93"/>
      <c r="G219" s="91"/>
    </row>
    <row r="220" spans="6:7" x14ac:dyDescent="0.2">
      <c r="F220" s="93"/>
      <c r="G220" s="91"/>
    </row>
    <row r="221" spans="6:7" x14ac:dyDescent="0.2">
      <c r="F221" s="93"/>
      <c r="G221" s="91"/>
    </row>
    <row r="222" spans="6:7" x14ac:dyDescent="0.2">
      <c r="F222" s="93"/>
      <c r="G222" s="91"/>
    </row>
    <row r="223" spans="6:7" x14ac:dyDescent="0.2">
      <c r="F223" s="93"/>
      <c r="G223" s="91"/>
    </row>
    <row r="224" spans="6:7" x14ac:dyDescent="0.2">
      <c r="F224" s="93"/>
      <c r="G224" s="91"/>
    </row>
    <row r="225" spans="4:7" x14ac:dyDescent="0.2">
      <c r="F225" s="93"/>
      <c r="G225" s="91"/>
    </row>
    <row r="226" spans="4:7" x14ac:dyDescent="0.2">
      <c r="F226" s="93"/>
      <c r="G226" s="91"/>
    </row>
    <row r="227" spans="4:7" x14ac:dyDescent="0.2">
      <c r="F227" s="93"/>
      <c r="G227" s="91"/>
    </row>
    <row r="228" spans="4:7" x14ac:dyDescent="0.2">
      <c r="F228" s="93"/>
      <c r="G228" s="91"/>
    </row>
    <row r="229" spans="4:7" x14ac:dyDescent="0.2">
      <c r="D229" s="94"/>
      <c r="F229" s="93"/>
      <c r="G229" s="91"/>
    </row>
    <row r="230" spans="4:7" x14ac:dyDescent="0.2">
      <c r="D230" s="94"/>
      <c r="F230" s="93"/>
      <c r="G230" s="91"/>
    </row>
    <row r="231" spans="4:7" x14ac:dyDescent="0.2">
      <c r="F231" s="93"/>
      <c r="G231" s="91"/>
    </row>
    <row r="232" spans="4:7" x14ac:dyDescent="0.2">
      <c r="F232" s="93"/>
      <c r="G232" s="91"/>
    </row>
    <row r="233" spans="4:7" x14ac:dyDescent="0.2">
      <c r="F233" s="93"/>
      <c r="G233" s="91"/>
    </row>
    <row r="234" spans="4:7" x14ac:dyDescent="0.2">
      <c r="F234" s="93"/>
      <c r="G234" s="91"/>
    </row>
    <row r="235" spans="4:7" x14ac:dyDescent="0.2">
      <c r="F235" s="93"/>
      <c r="G235" s="91"/>
    </row>
    <row r="236" spans="4:7" x14ac:dyDescent="0.2">
      <c r="F236" s="93"/>
      <c r="G236" s="91"/>
    </row>
    <row r="237" spans="4:7" x14ac:dyDescent="0.2">
      <c r="F237" s="93"/>
      <c r="G237" s="91"/>
    </row>
    <row r="238" spans="4:7" x14ac:dyDescent="0.2">
      <c r="F238" s="93"/>
      <c r="G238" s="91"/>
    </row>
    <row r="239" spans="4:7" x14ac:dyDescent="0.2">
      <c r="F239" s="93"/>
      <c r="G239" s="91"/>
    </row>
    <row r="240" spans="4:7" x14ac:dyDescent="0.2">
      <c r="F240" s="93"/>
      <c r="G240" s="91"/>
    </row>
    <row r="241" spans="6:7" x14ac:dyDescent="0.2">
      <c r="F241" s="93"/>
      <c r="G241" s="91"/>
    </row>
    <row r="242" spans="6:7" x14ac:dyDescent="0.2">
      <c r="F242" s="93"/>
      <c r="G242" s="91"/>
    </row>
    <row r="243" spans="6:7" x14ac:dyDescent="0.2">
      <c r="F243" s="93"/>
      <c r="G243" s="91"/>
    </row>
    <row r="244" spans="6:7" x14ac:dyDescent="0.2">
      <c r="F244" s="93"/>
      <c r="G244" s="91"/>
    </row>
    <row r="245" spans="6:7" x14ac:dyDescent="0.2">
      <c r="F245" s="93"/>
      <c r="G245" s="91"/>
    </row>
    <row r="246" spans="6:7" x14ac:dyDescent="0.2">
      <c r="F246" s="93"/>
      <c r="G246" s="91"/>
    </row>
    <row r="247" spans="6:7" x14ac:dyDescent="0.2">
      <c r="F247" s="93"/>
      <c r="G247" s="91"/>
    </row>
    <row r="248" spans="6:7" x14ac:dyDescent="0.2">
      <c r="F248" s="93"/>
      <c r="G248" s="91"/>
    </row>
    <row r="249" spans="6:7" x14ac:dyDescent="0.2">
      <c r="F249" s="93"/>
      <c r="G249" s="91"/>
    </row>
    <row r="250" spans="6:7" x14ac:dyDescent="0.2">
      <c r="F250" s="93"/>
      <c r="G250" s="91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Valor de Leg" error="Sólo puedes ingresar b (bought) o s (sold).">
          <x14:formula1>
            <xm:f>Auxiliar!$G$5:$G$6</xm:f>
          </x14:formula1>
          <xm:sqref>E9:E1048576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R156"/>
  <sheetViews>
    <sheetView showGridLines="0" topLeftCell="C4" zoomScaleNormal="100" workbookViewId="0">
      <selection activeCell="E9" sqref="E9"/>
    </sheetView>
  </sheetViews>
  <sheetFormatPr baseColWidth="10" defaultColWidth="2.125" defaultRowHeight="14.25" customHeight="1" outlineLevelRow="1" outlineLevelCol="1" x14ac:dyDescent="0.2"/>
  <cols>
    <col min="1" max="1" width="15.5" style="2" hidden="1" customWidth="1" outlineLevel="1"/>
    <col min="2" max="2" width="13.75" style="2" hidden="1" customWidth="1" outlineLevel="1"/>
    <col min="3" max="3" width="2.625" style="30" customWidth="1" collapsed="1"/>
    <col min="4" max="4" width="9.125" style="56" customWidth="1" collapsed="1"/>
    <col min="5" max="5" width="9.125" style="59" customWidth="1"/>
    <col min="6" max="7" width="12.625" style="56" customWidth="1"/>
    <col min="8" max="8" width="2.625" style="30" customWidth="1"/>
    <col min="9" max="9" width="12.625" style="50" customWidth="1"/>
    <col min="10" max="10" width="9.125" style="81" customWidth="1"/>
    <col min="11" max="11" width="9.125" style="55" customWidth="1"/>
    <col min="12" max="12" width="8.625" style="62" customWidth="1"/>
    <col min="13" max="13" width="10.25" style="39" customWidth="1"/>
    <col min="14" max="14" width="10.25" style="1" customWidth="1"/>
    <col min="15" max="15" width="12.625" style="1" customWidth="1"/>
    <col min="16" max="16384" width="2.125" style="1"/>
  </cols>
  <sheetData>
    <row r="1" spans="1:18" s="2" customFormat="1" hidden="1" outlineLevel="1" x14ac:dyDescent="0.2">
      <c r="A1" s="2" t="str">
        <f ca="1">nameOfThisSheet()</f>
        <v>Mkt</v>
      </c>
      <c r="C1" s="47"/>
    </row>
    <row r="2" spans="1:18" s="2" customFormat="1" hidden="1" outlineLevel="1" x14ac:dyDescent="0.2">
      <c r="C2" s="47"/>
    </row>
    <row r="3" spans="1:18" s="69" customFormat="1" ht="10.5" hidden="1" customHeight="1" outlineLevel="1" x14ac:dyDescent="0.2">
      <c r="C3" s="44"/>
      <c r="D3" s="68"/>
      <c r="E3" s="68"/>
      <c r="F3" s="68"/>
      <c r="G3" s="68"/>
      <c r="H3" s="68"/>
      <c r="I3" s="68"/>
      <c r="J3" s="68"/>
      <c r="K3" s="68"/>
      <c r="L3" s="70"/>
      <c r="M3" s="70"/>
      <c r="N3" s="70"/>
      <c r="O3" s="70"/>
      <c r="P3" s="70"/>
      <c r="Q3" s="70"/>
      <c r="R3" s="70"/>
    </row>
    <row r="4" spans="1:18" ht="10.5" customHeight="1" collapsed="1" x14ac:dyDescent="0.2">
      <c r="C4" s="48"/>
      <c r="D4" s="29"/>
      <c r="E4" s="29"/>
      <c r="F4" s="29"/>
      <c r="G4" s="29"/>
      <c r="H4" s="29"/>
      <c r="I4" s="29"/>
      <c r="J4" s="29"/>
      <c r="K4" s="29"/>
      <c r="L4" s="29"/>
      <c r="M4" s="29"/>
    </row>
    <row r="5" spans="1:18" ht="42" customHeight="1" x14ac:dyDescent="0.2">
      <c r="C5" s="48" t="s">
        <v>121</v>
      </c>
      <c r="D5" s="30"/>
      <c r="E5" s="30"/>
      <c r="F5" s="58"/>
      <c r="G5" s="58"/>
      <c r="I5" s="30"/>
      <c r="J5" s="30"/>
      <c r="K5" s="30"/>
    </row>
    <row r="6" spans="1:18" ht="14.25" customHeight="1" x14ac:dyDescent="0.2">
      <c r="A6" s="2" t="s">
        <v>84</v>
      </c>
      <c r="B6" s="2">
        <f ca="1">ROW(INDIRECT("originFX"))</f>
        <v>9</v>
      </c>
      <c r="D6" s="30"/>
      <c r="E6" s="30"/>
      <c r="F6" s="58"/>
      <c r="G6" s="58"/>
      <c r="I6" s="30"/>
      <c r="J6" s="30"/>
      <c r="K6" s="30"/>
    </row>
    <row r="7" spans="1:18" x14ac:dyDescent="0.2">
      <c r="A7" s="2" t="s">
        <v>85</v>
      </c>
      <c r="B7" s="2">
        <f ca="1">COLUMN(INDIRECT("originFX"))</f>
        <v>4</v>
      </c>
      <c r="D7" s="30"/>
      <c r="E7" s="30"/>
      <c r="F7" s="58"/>
      <c r="G7" s="58"/>
      <c r="I7" s="30"/>
      <c r="J7" s="30"/>
      <c r="K7" s="30"/>
    </row>
    <row r="8" spans="1:18" ht="18" customHeight="1" x14ac:dyDescent="0.2">
      <c r="A8" s="2" t="s">
        <v>86</v>
      </c>
      <c r="B8" s="18" t="str">
        <f ca="1">numbertoletter(B7)</f>
        <v>D</v>
      </c>
      <c r="D8" s="34" t="s">
        <v>5</v>
      </c>
      <c r="E8" s="34" t="s">
        <v>6</v>
      </c>
      <c r="F8" s="34" t="s">
        <v>27</v>
      </c>
      <c r="G8" s="34" t="s">
        <v>28</v>
      </c>
      <c r="I8" s="33" t="s">
        <v>7</v>
      </c>
      <c r="J8" s="33" t="s">
        <v>8</v>
      </c>
      <c r="K8" s="33" t="s">
        <v>9</v>
      </c>
    </row>
    <row r="9" spans="1:18" ht="14.25" customHeight="1" x14ac:dyDescent="0.2">
      <c r="A9" s="2" t="s">
        <v>87</v>
      </c>
      <c r="B9" s="18" t="str">
        <f ca="1">B8&amp;B6&amp;":"&amp;B8&amp;maxRowsValue</f>
        <v>D9:D1048576</v>
      </c>
      <c r="D9" s="56" t="s">
        <v>4</v>
      </c>
      <c r="E9" s="82">
        <v>587.77499999999998</v>
      </c>
      <c r="F9" s="56" t="s">
        <v>179</v>
      </c>
      <c r="G9" s="56" t="s">
        <v>181</v>
      </c>
      <c r="I9" s="56" t="s">
        <v>181</v>
      </c>
      <c r="J9" s="81">
        <v>8.2191781000000002E-3</v>
      </c>
      <c r="K9" s="113">
        <v>3.0412865216905772E-2</v>
      </c>
      <c r="M9" s="39">
        <f>1/(1+O9)^J9</f>
        <v>0.99975006248383735</v>
      </c>
      <c r="N9" s="1">
        <f>+-LN(M9)/J9</f>
        <v>3.0412865216905772E-2</v>
      </c>
      <c r="O9" s="1">
        <v>3.0880060624724801E-2</v>
      </c>
    </row>
    <row r="10" spans="1:18" ht="14.25" customHeight="1" x14ac:dyDescent="0.2">
      <c r="A10" s="2" t="s">
        <v>88</v>
      </c>
      <c r="B10" s="2">
        <f ca="1">COUNTA(INDIRECT(B9))</f>
        <v>3</v>
      </c>
      <c r="D10" s="56" t="s">
        <v>13</v>
      </c>
      <c r="E10" s="82">
        <v>1.2416500004253328</v>
      </c>
      <c r="F10" s="56" t="s">
        <v>180</v>
      </c>
      <c r="G10" s="56" t="s">
        <v>179</v>
      </c>
      <c r="I10" s="56" t="s">
        <v>181</v>
      </c>
      <c r="J10" s="81">
        <v>1.9178082199999998E-2</v>
      </c>
      <c r="K10" s="60">
        <v>3.0414486352454254E-2</v>
      </c>
      <c r="M10" s="39">
        <f t="shared" ref="M10:M73" si="0">1/(1+O10)^J10</f>
        <v>0.99941687856208949</v>
      </c>
      <c r="N10" s="1">
        <f t="shared" ref="N10:N73" si="1">+-LN(M10)/J10</f>
        <v>3.0414486352454254E-2</v>
      </c>
      <c r="O10" s="1">
        <v>3.0881731822398797E-2</v>
      </c>
    </row>
    <row r="11" spans="1:18" ht="14.25" customHeight="1" x14ac:dyDescent="0.25">
      <c r="A11" s="2" t="s">
        <v>89</v>
      </c>
      <c r="B11" s="19">
        <v>4</v>
      </c>
      <c r="D11" s="56" t="s">
        <v>133</v>
      </c>
      <c r="E11" s="82">
        <v>24370.74</v>
      </c>
      <c r="F11" s="56" t="s">
        <v>182</v>
      </c>
      <c r="G11" s="56" t="s">
        <v>181</v>
      </c>
      <c r="I11" s="56" t="s">
        <v>181</v>
      </c>
      <c r="J11" s="81">
        <v>3.8356164399999997E-2</v>
      </c>
      <c r="K11" s="60">
        <v>3.0421115681760036E-2</v>
      </c>
      <c r="M11" s="39">
        <f t="shared" si="0"/>
        <v>0.99883384317563861</v>
      </c>
      <c r="N11" s="1">
        <f t="shared" si="1"/>
        <v>3.0421115681760036E-2</v>
      </c>
      <c r="O11" s="1">
        <v>3.0888565899520399E-2</v>
      </c>
    </row>
    <row r="12" spans="1:18" ht="14.25" customHeight="1" x14ac:dyDescent="0.2">
      <c r="A12" s="2" t="s">
        <v>90</v>
      </c>
      <c r="B12" s="18" t="str">
        <f ca="1">B8&amp;B6&amp;":"&amp;numbertoletter(B7+B11-1)&amp;(B6+B10-1)</f>
        <v>D9:G11</v>
      </c>
      <c r="E12" s="82"/>
      <c r="I12" s="56" t="s">
        <v>181</v>
      </c>
      <c r="J12" s="81">
        <v>8.7671232900000007E-2</v>
      </c>
      <c r="K12" s="60">
        <v>3.0438168990200961E-2</v>
      </c>
      <c r="M12" s="39">
        <f t="shared" si="0"/>
        <v>0.99733500561668265</v>
      </c>
      <c r="N12" s="1">
        <f t="shared" si="1"/>
        <v>3.0438168990200961E-2</v>
      </c>
      <c r="O12" s="1">
        <v>3.09061461101021E-2</v>
      </c>
    </row>
    <row r="13" spans="1:18" ht="14.25" customHeight="1" x14ac:dyDescent="0.2">
      <c r="E13" s="82"/>
      <c r="I13" s="56" t="s">
        <v>181</v>
      </c>
      <c r="J13" s="81">
        <v>0.16712328770000001</v>
      </c>
      <c r="K13" s="60">
        <v>3.0465409812794216E-2</v>
      </c>
      <c r="M13" s="39">
        <f t="shared" si="0"/>
        <v>0.99492146016254468</v>
      </c>
      <c r="N13" s="1">
        <f t="shared" si="1"/>
        <v>3.0465409812794216E-2</v>
      </c>
      <c r="O13" s="1">
        <v>3.09342292240418E-2</v>
      </c>
    </row>
    <row r="14" spans="1:18" ht="14.25" customHeight="1" x14ac:dyDescent="0.2">
      <c r="A14" s="2" t="s">
        <v>97</v>
      </c>
      <c r="E14" s="82"/>
      <c r="I14" s="56" t="s">
        <v>181</v>
      </c>
      <c r="J14" s="81">
        <v>0.25753424660000002</v>
      </c>
      <c r="K14" s="60">
        <v>3.0496231242675923E-2</v>
      </c>
      <c r="M14" s="39">
        <f t="shared" si="0"/>
        <v>0.99217693675563001</v>
      </c>
      <c r="N14" s="1">
        <f t="shared" si="1"/>
        <v>3.0496231242675923E-2</v>
      </c>
      <c r="O14" s="1">
        <v>3.0966004580778698E-2</v>
      </c>
    </row>
    <row r="15" spans="1:18" ht="14.25" customHeight="1" x14ac:dyDescent="0.2">
      <c r="A15" s="2" t="s">
        <v>84</v>
      </c>
      <c r="B15" s="2">
        <f ca="1">ROW(INDIRECT("originCurves"))</f>
        <v>9</v>
      </c>
      <c r="I15" s="56" t="s">
        <v>181</v>
      </c>
      <c r="J15" s="81">
        <v>0.33424657530000002</v>
      </c>
      <c r="K15" s="60">
        <v>3.0437724702971933E-2</v>
      </c>
      <c r="M15" s="39">
        <f t="shared" si="0"/>
        <v>0.98987787183908593</v>
      </c>
      <c r="N15" s="1">
        <f t="shared" si="1"/>
        <v>3.0437724702971933E-2</v>
      </c>
      <c r="O15" s="1">
        <v>3.09056880917702E-2</v>
      </c>
    </row>
    <row r="16" spans="1:18" ht="14.25" customHeight="1" x14ac:dyDescent="0.2">
      <c r="A16" s="2" t="s">
        <v>85</v>
      </c>
      <c r="B16" s="2">
        <f ca="1">COLUMN(INDIRECT("originCurves"))</f>
        <v>9</v>
      </c>
      <c r="I16" s="56" t="s">
        <v>181</v>
      </c>
      <c r="J16" s="81">
        <v>0.41369863010000002</v>
      </c>
      <c r="K16" s="60">
        <v>3.0370466159166051E-2</v>
      </c>
      <c r="M16" s="39">
        <f t="shared" si="0"/>
        <v>0.98751438004149883</v>
      </c>
      <c r="N16" s="1">
        <f t="shared" si="1"/>
        <v>3.0370466159166051E-2</v>
      </c>
      <c r="O16" s="1">
        <v>3.0836353208095302E-2</v>
      </c>
    </row>
    <row r="17" spans="1:15" ht="14.25" customHeight="1" x14ac:dyDescent="0.2">
      <c r="A17" s="2" t="s">
        <v>86</v>
      </c>
      <c r="B17" s="18" t="str">
        <f ca="1">numbertoletter(B16)</f>
        <v>I</v>
      </c>
      <c r="I17" s="56" t="s">
        <v>181</v>
      </c>
      <c r="J17" s="81">
        <v>0.49589041099999998</v>
      </c>
      <c r="K17" s="60">
        <v>3.0301320420438753E-2</v>
      </c>
      <c r="M17" s="39">
        <f t="shared" si="0"/>
        <v>0.98508619479044146</v>
      </c>
      <c r="N17" s="1">
        <f t="shared" si="1"/>
        <v>3.0301320420438753E-2</v>
      </c>
      <c r="O17" s="1">
        <v>3.07650777311721E-2</v>
      </c>
    </row>
    <row r="18" spans="1:15" ht="14.25" customHeight="1" x14ac:dyDescent="0.2">
      <c r="A18" s="2" t="s">
        <v>87</v>
      </c>
      <c r="B18" s="18" t="str">
        <f ca="1">B17&amp;B15&amp;":"&amp;B17&amp;maxRowsValue</f>
        <v>I9:I1048576</v>
      </c>
      <c r="I18" s="56" t="s">
        <v>181</v>
      </c>
      <c r="J18" s="81">
        <v>0.58356164379999997</v>
      </c>
      <c r="K18" s="60">
        <v>3.0287242536086396E-2</v>
      </c>
      <c r="M18" s="39">
        <f t="shared" si="0"/>
        <v>0.98248080429724605</v>
      </c>
      <c r="N18" s="1">
        <f t="shared" si="1"/>
        <v>3.0287242536086396E-2</v>
      </c>
      <c r="O18" s="1">
        <v>3.0750566841754701E-2</v>
      </c>
    </row>
    <row r="19" spans="1:15" ht="14.25" customHeight="1" x14ac:dyDescent="0.2">
      <c r="A19" s="2" t="s">
        <v>88</v>
      </c>
      <c r="B19" s="2">
        <f ca="1">COUNTA(INDIRECT(B18))</f>
        <v>148</v>
      </c>
      <c r="I19" s="56" t="s">
        <v>181</v>
      </c>
      <c r="J19" s="81">
        <v>0.66301369860000003</v>
      </c>
      <c r="K19" s="60">
        <v>3.0282176754382887E-2</v>
      </c>
      <c r="M19" s="39">
        <f t="shared" si="0"/>
        <v>0.98012271280205043</v>
      </c>
      <c r="N19" s="1">
        <f t="shared" si="1"/>
        <v>3.0282176754382887E-2</v>
      </c>
      <c r="O19" s="1">
        <v>3.0745345297617899E-2</v>
      </c>
    </row>
    <row r="20" spans="1:15" ht="14.25" customHeight="1" x14ac:dyDescent="0.25">
      <c r="A20" s="2" t="s">
        <v>89</v>
      </c>
      <c r="B20" s="19">
        <v>3</v>
      </c>
      <c r="I20" s="56" t="s">
        <v>181</v>
      </c>
      <c r="J20" s="81">
        <v>0.74794520549999999</v>
      </c>
      <c r="K20" s="60">
        <v>3.0276765362921936E-2</v>
      </c>
      <c r="M20" s="39">
        <f t="shared" si="0"/>
        <v>0.97760912014485368</v>
      </c>
      <c r="N20" s="1">
        <f t="shared" si="1"/>
        <v>3.0276765362921936E-2</v>
      </c>
      <c r="O20" s="1">
        <v>3.0739767546149599E-2</v>
      </c>
    </row>
    <row r="21" spans="1:15" ht="14.25" customHeight="1" x14ac:dyDescent="0.2">
      <c r="A21" s="2" t="s">
        <v>90</v>
      </c>
      <c r="B21" s="18" t="str">
        <f ca="1">B17&amp;B15&amp;":"&amp;numbertoletter(B16+B20-1)&amp;(B15+B19-1)</f>
        <v>I9:K156</v>
      </c>
      <c r="I21" s="56" t="s">
        <v>181</v>
      </c>
      <c r="J21" s="81">
        <v>0.83287671230000004</v>
      </c>
      <c r="K21" s="60">
        <v>3.0300084774942396E-2</v>
      </c>
      <c r="M21" s="39">
        <f t="shared" si="0"/>
        <v>0.97507953691364946</v>
      </c>
      <c r="N21" s="1">
        <f t="shared" si="1"/>
        <v>3.0300084774942396E-2</v>
      </c>
      <c r="O21" s="1">
        <v>3.0763804071732799E-2</v>
      </c>
    </row>
    <row r="22" spans="1:15" ht="14.25" customHeight="1" x14ac:dyDescent="0.2">
      <c r="I22" s="56" t="s">
        <v>181</v>
      </c>
      <c r="J22" s="81">
        <v>0.91506849320000005</v>
      </c>
      <c r="K22" s="60">
        <v>3.0326635286688788E-2</v>
      </c>
      <c r="M22" s="39">
        <f t="shared" si="0"/>
        <v>0.97263057178525025</v>
      </c>
      <c r="N22" s="1">
        <f t="shared" si="1"/>
        <v>3.0326635286688788E-2</v>
      </c>
      <c r="O22" s="1">
        <v>3.0791171741531703E-2</v>
      </c>
    </row>
    <row r="23" spans="1:15" ht="14.25" customHeight="1" x14ac:dyDescent="0.2">
      <c r="I23" s="56" t="s">
        <v>181</v>
      </c>
      <c r="J23" s="81">
        <v>1.0054794520999999</v>
      </c>
      <c r="K23" s="60">
        <v>3.03556354495398E-2</v>
      </c>
      <c r="M23" s="39">
        <f t="shared" si="0"/>
        <v>0.96993912450151487</v>
      </c>
      <c r="N23" s="1">
        <f t="shared" si="1"/>
        <v>3.03556354495398E-2</v>
      </c>
      <c r="O23" s="1">
        <v>3.0821065286834402E-2</v>
      </c>
    </row>
    <row r="24" spans="1:15" ht="14.25" customHeight="1" x14ac:dyDescent="0.2">
      <c r="I24" s="56" t="s">
        <v>181</v>
      </c>
      <c r="J24" s="81">
        <v>1.504109589</v>
      </c>
      <c r="K24" s="60">
        <v>3.092860300945436E-2</v>
      </c>
      <c r="M24" s="39">
        <f t="shared" si="0"/>
        <v>0.95454546148881658</v>
      </c>
      <c r="N24" s="1">
        <f t="shared" si="1"/>
        <v>3.092860300945436E-2</v>
      </c>
      <c r="O24" s="1">
        <v>3.1411861554705399E-2</v>
      </c>
    </row>
    <row r="25" spans="1:15" ht="14.25" customHeight="1" x14ac:dyDescent="0.2">
      <c r="I25" s="56" t="s">
        <v>181</v>
      </c>
      <c r="J25" s="81">
        <v>2.0027397260000002</v>
      </c>
      <c r="K25" s="60">
        <v>3.2290436074186531E-2</v>
      </c>
      <c r="M25" s="39">
        <f t="shared" si="0"/>
        <v>0.93737736618584089</v>
      </c>
      <c r="N25" s="1">
        <f t="shared" si="1"/>
        <v>3.2290436074186531E-2</v>
      </c>
      <c r="O25" s="1">
        <v>3.2817429188137404E-2</v>
      </c>
    </row>
    <row r="26" spans="1:15" ht="14.25" customHeight="1" x14ac:dyDescent="0.2">
      <c r="I26" s="56" t="s">
        <v>181</v>
      </c>
      <c r="J26" s="81">
        <v>3.0027397260000002</v>
      </c>
      <c r="K26" s="60">
        <v>3.4588602341521078E-2</v>
      </c>
      <c r="M26" s="39">
        <f t="shared" si="0"/>
        <v>0.90135096373870693</v>
      </c>
      <c r="N26" s="1">
        <f t="shared" si="1"/>
        <v>3.4588602341521078E-2</v>
      </c>
      <c r="O26" s="1">
        <v>3.5193744902631101E-2</v>
      </c>
    </row>
    <row r="27" spans="1:15" ht="14.25" customHeight="1" x14ac:dyDescent="0.2">
      <c r="I27" s="56" t="s">
        <v>181</v>
      </c>
      <c r="J27" s="81">
        <v>4.0027397259999997</v>
      </c>
      <c r="K27" s="60">
        <v>3.7594755457424647E-2</v>
      </c>
      <c r="M27" s="39">
        <f t="shared" si="0"/>
        <v>0.8602931969432428</v>
      </c>
      <c r="N27" s="1">
        <f t="shared" si="1"/>
        <v>3.7594755457424647E-2</v>
      </c>
      <c r="O27" s="1">
        <v>3.8310377995502895E-2</v>
      </c>
    </row>
    <row r="28" spans="1:15" ht="14.25" customHeight="1" x14ac:dyDescent="0.2">
      <c r="I28" s="56" t="s">
        <v>181</v>
      </c>
      <c r="J28" s="81">
        <v>5.0027397259999997</v>
      </c>
      <c r="K28" s="60">
        <v>4.0514259794721875E-2</v>
      </c>
      <c r="M28" s="39">
        <f t="shared" si="0"/>
        <v>0.81653761671699621</v>
      </c>
      <c r="N28" s="1">
        <f t="shared" si="1"/>
        <v>4.0514259794721875E-2</v>
      </c>
      <c r="O28" s="1">
        <v>4.1346158979104902E-2</v>
      </c>
    </row>
    <row r="29" spans="1:15" ht="14.25" customHeight="1" x14ac:dyDescent="0.2">
      <c r="I29" s="56" t="s">
        <v>181</v>
      </c>
      <c r="J29" s="81">
        <v>6.0109589040999998</v>
      </c>
      <c r="K29" s="60">
        <v>4.2675257158799683E-2</v>
      </c>
      <c r="M29" s="39">
        <f t="shared" si="0"/>
        <v>0.7737401254499473</v>
      </c>
      <c r="N29" s="1">
        <f t="shared" si="1"/>
        <v>4.2675257158799683E-2</v>
      </c>
      <c r="O29" s="1">
        <v>4.3598938532399906E-2</v>
      </c>
    </row>
    <row r="30" spans="1:15" ht="14.25" customHeight="1" x14ac:dyDescent="0.2">
      <c r="I30" s="56" t="s">
        <v>181</v>
      </c>
      <c r="J30" s="81">
        <v>7.0082191781000001</v>
      </c>
      <c r="K30" s="60">
        <v>4.4935302621083556E-2</v>
      </c>
      <c r="M30" s="39">
        <f t="shared" si="0"/>
        <v>0.72984985096664867</v>
      </c>
      <c r="N30" s="1">
        <f t="shared" si="1"/>
        <v>4.4935302621083556E-2</v>
      </c>
      <c r="O30" s="1">
        <v>4.5960186837066104E-2</v>
      </c>
    </row>
    <row r="31" spans="1:15" ht="14.25" customHeight="1" x14ac:dyDescent="0.2">
      <c r="I31" s="56" t="s">
        <v>181</v>
      </c>
      <c r="J31" s="81">
        <v>8.0054794520999994</v>
      </c>
      <c r="K31" s="60">
        <v>4.6418765666650798E-2</v>
      </c>
      <c r="M31" s="39">
        <f t="shared" si="0"/>
        <v>0.68962695347131553</v>
      </c>
      <c r="N31" s="1">
        <f t="shared" si="1"/>
        <v>4.6418765666650798E-2</v>
      </c>
      <c r="O31" s="1">
        <v>4.75129815934279E-2</v>
      </c>
    </row>
    <row r="32" spans="1:15" ht="14.25" customHeight="1" x14ac:dyDescent="0.2">
      <c r="I32" s="56" t="s">
        <v>181</v>
      </c>
      <c r="J32" s="81">
        <v>9.0054794520999994</v>
      </c>
      <c r="K32" s="60">
        <v>4.7412402281582458E-2</v>
      </c>
      <c r="M32" s="39">
        <f t="shared" si="0"/>
        <v>0.65248220347732744</v>
      </c>
      <c r="N32" s="1">
        <f t="shared" si="1"/>
        <v>4.7412402281582458E-2</v>
      </c>
      <c r="O32" s="1">
        <v>4.8554346129842399E-2</v>
      </c>
    </row>
    <row r="33" spans="9:15" ht="14.25" customHeight="1" x14ac:dyDescent="0.2">
      <c r="I33" s="56" t="s">
        <v>181</v>
      </c>
      <c r="J33" s="81">
        <v>10.008219178099999</v>
      </c>
      <c r="K33" s="60">
        <v>4.8059780283391411E-2</v>
      </c>
      <c r="M33" s="39">
        <f t="shared" si="0"/>
        <v>0.61816935940226059</v>
      </c>
      <c r="N33" s="1">
        <f t="shared" si="1"/>
        <v>4.8059780283391411E-2</v>
      </c>
      <c r="O33" s="1">
        <v>4.9233376918310395E-2</v>
      </c>
    </row>
    <row r="34" spans="9:15" ht="14.25" customHeight="1" x14ac:dyDescent="0.2">
      <c r="I34" s="56" t="s">
        <v>181</v>
      </c>
      <c r="J34" s="81">
        <v>12.0136986301</v>
      </c>
      <c r="K34" s="60">
        <v>4.864650672624217E-2</v>
      </c>
      <c r="M34" s="39">
        <f t="shared" si="0"/>
        <v>0.55742658455499938</v>
      </c>
      <c r="N34" s="1">
        <f t="shared" si="1"/>
        <v>4.864650672624217E-2</v>
      </c>
      <c r="O34" s="1">
        <v>4.9849170518798801E-2</v>
      </c>
    </row>
    <row r="35" spans="9:15" ht="14.25" customHeight="1" x14ac:dyDescent="0.2">
      <c r="I35" s="56" t="s">
        <v>181</v>
      </c>
      <c r="J35" s="81">
        <v>15.010958904100001</v>
      </c>
      <c r="K35" s="60">
        <v>4.9385424150233545E-2</v>
      </c>
      <c r="M35" s="39">
        <f t="shared" si="0"/>
        <v>0.47648331493329771</v>
      </c>
      <c r="N35" s="1">
        <f t="shared" si="1"/>
        <v>4.9385424150233545E-2</v>
      </c>
      <c r="O35" s="1">
        <v>5.0625209042341801E-2</v>
      </c>
    </row>
    <row r="36" spans="9:15" ht="14.25" customHeight="1" x14ac:dyDescent="0.2">
      <c r="I36" s="56" t="s">
        <v>181</v>
      </c>
      <c r="J36" s="81">
        <v>16.010958904100001</v>
      </c>
      <c r="K36" s="60">
        <v>4.9650645060569293E-2</v>
      </c>
      <c r="M36" s="39">
        <f t="shared" si="0"/>
        <v>0.45160181050406667</v>
      </c>
      <c r="N36" s="1">
        <f t="shared" si="1"/>
        <v>4.9650645060569293E-2</v>
      </c>
      <c r="O36" s="1">
        <v>5.0903893771580798E-2</v>
      </c>
    </row>
    <row r="37" spans="9:15" ht="14.25" customHeight="1" x14ac:dyDescent="0.2">
      <c r="I37" s="56" t="s">
        <v>181</v>
      </c>
      <c r="J37" s="81">
        <v>17.010958904100001</v>
      </c>
      <c r="K37" s="60">
        <v>4.9929050290673953E-2</v>
      </c>
      <c r="M37" s="39">
        <f t="shared" si="0"/>
        <v>0.42769668154583307</v>
      </c>
      <c r="N37" s="1">
        <f t="shared" si="1"/>
        <v>4.9929050290673953E-2</v>
      </c>
      <c r="O37" s="1">
        <v>5.1196511643227104E-2</v>
      </c>
    </row>
    <row r="38" spans="9:15" ht="14.25" customHeight="1" x14ac:dyDescent="0.2">
      <c r="I38" s="56" t="s">
        <v>181</v>
      </c>
      <c r="J38" s="81">
        <v>18.016438356199998</v>
      </c>
      <c r="K38" s="60">
        <v>5.0219624941093749E-2</v>
      </c>
      <c r="M38" s="39">
        <f t="shared" si="0"/>
        <v>0.40463138896307421</v>
      </c>
      <c r="N38" s="1">
        <f t="shared" si="1"/>
        <v>5.0219624941093749E-2</v>
      </c>
      <c r="O38" s="1">
        <v>5.1502007084586306E-2</v>
      </c>
    </row>
    <row r="39" spans="9:15" ht="14.25" customHeight="1" x14ac:dyDescent="0.2">
      <c r="I39" s="56" t="s">
        <v>181</v>
      </c>
      <c r="J39" s="81">
        <v>19.013698630099999</v>
      </c>
      <c r="K39" s="60">
        <v>5.0523697011005633E-2</v>
      </c>
      <c r="M39" s="39">
        <f t="shared" si="0"/>
        <v>0.3826470142244876</v>
      </c>
      <c r="N39" s="1">
        <f t="shared" si="1"/>
        <v>5.0523697011005633E-2</v>
      </c>
      <c r="O39" s="1">
        <v>5.1821788092169703E-2</v>
      </c>
    </row>
    <row r="40" spans="9:15" ht="14.25" customHeight="1" x14ac:dyDescent="0.2">
      <c r="I40" s="56" t="s">
        <v>181</v>
      </c>
      <c r="J40" s="81">
        <v>20.013698630099999</v>
      </c>
      <c r="K40" s="60">
        <v>5.0840410359581298E-2</v>
      </c>
      <c r="M40" s="39">
        <f t="shared" si="0"/>
        <v>0.36149587394064681</v>
      </c>
      <c r="N40" s="1">
        <f t="shared" si="1"/>
        <v>5.0840410359581298E-2</v>
      </c>
      <c r="O40" s="1">
        <v>5.2154966851076401E-2</v>
      </c>
    </row>
    <row r="41" spans="9:15" ht="14.25" customHeight="1" x14ac:dyDescent="0.2">
      <c r="I41" s="56" t="s">
        <v>181</v>
      </c>
      <c r="J41" s="81">
        <v>25.016438356199998</v>
      </c>
      <c r="K41" s="60">
        <v>5.0523990868789587E-2</v>
      </c>
      <c r="M41" s="39">
        <f t="shared" si="0"/>
        <v>0.28254136818075343</v>
      </c>
      <c r="N41" s="1">
        <f t="shared" si="1"/>
        <v>5.0523990868789587E-2</v>
      </c>
      <c r="O41" s="1">
        <v>5.1822097178234799E-2</v>
      </c>
    </row>
    <row r="42" spans="9:15" ht="14.25" customHeight="1" x14ac:dyDescent="0.2">
      <c r="I42" s="56" t="s">
        <v>181</v>
      </c>
      <c r="J42" s="81">
        <v>30.021917808200001</v>
      </c>
      <c r="K42" s="60">
        <v>5.0313609124607639E-2</v>
      </c>
      <c r="M42" s="39">
        <f t="shared" si="0"/>
        <v>0.2207971134577047</v>
      </c>
      <c r="N42" s="1">
        <f t="shared" si="1"/>
        <v>5.0313609124607639E-2</v>
      </c>
      <c r="O42" s="1">
        <v>5.16008362863037E-2</v>
      </c>
    </row>
    <row r="43" spans="9:15" ht="14.25" customHeight="1" x14ac:dyDescent="0.2">
      <c r="I43" s="56" t="s">
        <v>179</v>
      </c>
      <c r="J43" s="81">
        <v>8.2191781000000002E-3</v>
      </c>
      <c r="K43" s="60">
        <v>2.6253102171337642E-3</v>
      </c>
      <c r="M43" s="39">
        <f t="shared" si="0"/>
        <v>0.99997842234055867</v>
      </c>
      <c r="N43" s="1">
        <f t="shared" si="1"/>
        <v>2.6253102171337642E-3</v>
      </c>
      <c r="O43" s="1">
        <v>2.6287593616887203E-3</v>
      </c>
    </row>
    <row r="44" spans="9:15" ht="14.25" customHeight="1" x14ac:dyDescent="0.2">
      <c r="I44" s="56" t="s">
        <v>179</v>
      </c>
      <c r="J44" s="81">
        <v>1.9178082199999998E-2</v>
      </c>
      <c r="K44" s="60">
        <v>2.6252977982949314E-3</v>
      </c>
      <c r="M44" s="39">
        <f t="shared" si="0"/>
        <v>0.99994965309047301</v>
      </c>
      <c r="N44" s="1">
        <f t="shared" si="1"/>
        <v>2.6252977982949314E-3</v>
      </c>
      <c r="O44" s="1">
        <v>2.6287469102168597E-3</v>
      </c>
    </row>
    <row r="45" spans="9:15" ht="14.25" customHeight="1" x14ac:dyDescent="0.2">
      <c r="I45" s="56" t="s">
        <v>179</v>
      </c>
      <c r="J45" s="81">
        <v>3.8356164399999997E-2</v>
      </c>
      <c r="K45" s="60">
        <v>-2.8248474754712801E-3</v>
      </c>
      <c r="M45" s="39">
        <f t="shared" si="0"/>
        <v>1.0001083561842814</v>
      </c>
      <c r="N45" s="1">
        <f t="shared" si="1"/>
        <v>-2.8248474754712801E-3</v>
      </c>
      <c r="O45" s="1">
        <v>-2.8208613481263099E-3</v>
      </c>
    </row>
    <row r="46" spans="9:15" ht="14.25" customHeight="1" x14ac:dyDescent="0.2">
      <c r="I46" s="56" t="s">
        <v>179</v>
      </c>
      <c r="J46" s="81">
        <v>8.4931506800000001E-2</v>
      </c>
      <c r="K46" s="60">
        <v>-4.875888620447068E-3</v>
      </c>
      <c r="M46" s="39">
        <f t="shared" si="0"/>
        <v>1.0004142023256268</v>
      </c>
      <c r="N46" s="1">
        <f t="shared" si="1"/>
        <v>-4.875888620447068E-3</v>
      </c>
      <c r="O46" s="1">
        <v>-4.8640207721327702E-3</v>
      </c>
    </row>
    <row r="47" spans="9:15" ht="14.25" customHeight="1" x14ac:dyDescent="0.2">
      <c r="I47" s="56" t="s">
        <v>179</v>
      </c>
      <c r="J47" s="81">
        <v>0.16712328770000001</v>
      </c>
      <c r="K47" s="60">
        <v>-4.0201015443147858E-3</v>
      </c>
      <c r="M47" s="39">
        <f t="shared" si="0"/>
        <v>1.0006720783304757</v>
      </c>
      <c r="N47" s="1">
        <f t="shared" si="1"/>
        <v>-4.0201015443147858E-3</v>
      </c>
      <c r="O47" s="1">
        <v>-4.0120317535157204E-3</v>
      </c>
    </row>
    <row r="48" spans="9:15" ht="14.25" customHeight="1" x14ac:dyDescent="0.2">
      <c r="I48" s="56" t="s">
        <v>179</v>
      </c>
      <c r="J48" s="81">
        <v>0.25753424660000002</v>
      </c>
      <c r="K48" s="60">
        <v>-3.6498898591205853E-3</v>
      </c>
      <c r="M48" s="39">
        <f t="shared" si="0"/>
        <v>1.0009404135468296</v>
      </c>
      <c r="N48" s="1">
        <f t="shared" si="1"/>
        <v>-3.6498898591205853E-3</v>
      </c>
      <c r="O48" s="1">
        <v>-3.64323710752701E-3</v>
      </c>
    </row>
    <row r="49" spans="9:15" ht="14.25" customHeight="1" x14ac:dyDescent="0.2">
      <c r="I49" s="56" t="s">
        <v>179</v>
      </c>
      <c r="J49" s="81">
        <v>0.33424657530000002</v>
      </c>
      <c r="K49" s="60">
        <v>-3.4094197049908616E-3</v>
      </c>
      <c r="M49" s="39">
        <f t="shared" si="0"/>
        <v>1.0011402364359854</v>
      </c>
      <c r="N49" s="1">
        <f t="shared" si="1"/>
        <v>-3.4094197049908616E-3</v>
      </c>
      <c r="O49" s="1">
        <v>-3.4036142332661799E-3</v>
      </c>
    </row>
    <row r="50" spans="9:15" ht="14.25" customHeight="1" x14ac:dyDescent="0.2">
      <c r="I50" s="56" t="s">
        <v>179</v>
      </c>
      <c r="J50" s="81">
        <v>0.41369863010000002</v>
      </c>
      <c r="K50" s="60">
        <v>-2.7440249740767184E-3</v>
      </c>
      <c r="M50" s="39">
        <f t="shared" si="0"/>
        <v>1.0011358439554305</v>
      </c>
      <c r="N50" s="1">
        <f t="shared" si="1"/>
        <v>-2.7440249740767184E-3</v>
      </c>
      <c r="O50" s="1">
        <v>-2.7402635787884301E-3</v>
      </c>
    </row>
    <row r="51" spans="9:15" ht="14.25" customHeight="1" x14ac:dyDescent="0.2">
      <c r="I51" s="56" t="s">
        <v>179</v>
      </c>
      <c r="J51" s="81">
        <v>0.49589041099999998</v>
      </c>
      <c r="K51" s="60">
        <v>-2.8072822752003459E-3</v>
      </c>
      <c r="M51" s="39">
        <f t="shared" si="0"/>
        <v>1.0013930737883141</v>
      </c>
      <c r="N51" s="1">
        <f t="shared" si="1"/>
        <v>-2.8072822752003459E-3</v>
      </c>
      <c r="O51" s="1">
        <v>-2.80334554301509E-3</v>
      </c>
    </row>
    <row r="52" spans="9:15" ht="14.25" customHeight="1" x14ac:dyDescent="0.2">
      <c r="I52" s="56" t="s">
        <v>179</v>
      </c>
      <c r="J52" s="81">
        <v>0.58356164379999997</v>
      </c>
      <c r="K52" s="60">
        <v>-2.3480510089581509E-3</v>
      </c>
      <c r="M52" s="39">
        <f t="shared" si="0"/>
        <v>1.0013711717039988</v>
      </c>
      <c r="N52" s="1">
        <f t="shared" si="1"/>
        <v>-2.3480510089581509E-3</v>
      </c>
      <c r="O52" s="1">
        <v>-2.3452964935238903E-3</v>
      </c>
    </row>
    <row r="53" spans="9:15" ht="14.25" customHeight="1" x14ac:dyDescent="0.2">
      <c r="I53" s="56" t="s">
        <v>179</v>
      </c>
      <c r="J53" s="81">
        <v>0.66301369860000003</v>
      </c>
      <c r="K53" s="60">
        <v>-1.8515846729220502E-3</v>
      </c>
      <c r="M53" s="39">
        <f t="shared" si="0"/>
        <v>1.0012283798435127</v>
      </c>
      <c r="N53" s="1">
        <f t="shared" si="1"/>
        <v>-1.8515846729220502E-3</v>
      </c>
      <c r="O53" s="1">
        <v>-1.8498715475170299E-3</v>
      </c>
    </row>
    <row r="54" spans="9:15" ht="14.25" customHeight="1" x14ac:dyDescent="0.2">
      <c r="I54" s="56" t="s">
        <v>179</v>
      </c>
      <c r="J54" s="81">
        <v>0.74794520549999999</v>
      </c>
      <c r="K54" s="60">
        <v>-1.320836943854277E-3</v>
      </c>
      <c r="M54" s="39">
        <f t="shared" si="0"/>
        <v>1.0009884018068382</v>
      </c>
      <c r="N54" s="1">
        <f t="shared" si="1"/>
        <v>-1.320836943854277E-3</v>
      </c>
      <c r="O54" s="1">
        <v>-1.31996502266896E-3</v>
      </c>
    </row>
    <row r="55" spans="9:15" ht="14.25" customHeight="1" x14ac:dyDescent="0.2">
      <c r="I55" s="56" t="s">
        <v>179</v>
      </c>
      <c r="J55" s="81">
        <v>0.83561643839999999</v>
      </c>
      <c r="K55" s="60">
        <v>-1.0678985520773073E-3</v>
      </c>
      <c r="M55" s="39">
        <f t="shared" si="0"/>
        <v>1.0008927518505752</v>
      </c>
      <c r="N55" s="1">
        <f t="shared" si="1"/>
        <v>-1.0678985520773073E-3</v>
      </c>
      <c r="O55" s="1">
        <v>-1.0673285513375099E-3</v>
      </c>
    </row>
    <row r="56" spans="9:15" ht="14.25" customHeight="1" x14ac:dyDescent="0.2">
      <c r="I56" s="56" t="s">
        <v>179</v>
      </c>
      <c r="J56" s="81">
        <v>0.91506849320000005</v>
      </c>
      <c r="K56" s="60">
        <v>-8.7696011007539734E-4</v>
      </c>
      <c r="M56" s="39">
        <f t="shared" si="0"/>
        <v>1.0008028006385943</v>
      </c>
      <c r="N56" s="1">
        <f t="shared" si="1"/>
        <v>-8.7696011007539734E-4</v>
      </c>
      <c r="O56" s="1">
        <v>-8.7657569293908598E-4</v>
      </c>
    </row>
    <row r="57" spans="9:15" ht="14.25" customHeight="1" x14ac:dyDescent="0.2">
      <c r="I57" s="56" t="s">
        <v>179</v>
      </c>
      <c r="J57" s="81">
        <v>1.0054794520999999</v>
      </c>
      <c r="K57" s="60">
        <v>-6.5955059140006289E-4</v>
      </c>
      <c r="M57" s="39">
        <f t="shared" si="0"/>
        <v>1.0006633845095114</v>
      </c>
      <c r="N57" s="1">
        <f t="shared" si="1"/>
        <v>-6.5955059140006289E-4</v>
      </c>
      <c r="O57" s="1">
        <v>-6.5933313571897611E-4</v>
      </c>
    </row>
    <row r="58" spans="9:15" ht="14.25" customHeight="1" x14ac:dyDescent="0.2">
      <c r="I58" s="56" t="s">
        <v>179</v>
      </c>
      <c r="J58" s="81">
        <v>2.0136986300999999</v>
      </c>
      <c r="K58" s="60">
        <v>4.3736267361073802E-3</v>
      </c>
      <c r="M58" s="39">
        <f t="shared" si="0"/>
        <v>0.9912315033147594</v>
      </c>
      <c r="N58" s="1">
        <f t="shared" si="1"/>
        <v>4.3736267361073802E-3</v>
      </c>
      <c r="O58" s="1">
        <v>4.3832050003474602E-3</v>
      </c>
    </row>
    <row r="59" spans="9:15" ht="14.25" customHeight="1" x14ac:dyDescent="0.2">
      <c r="I59" s="56" t="s">
        <v>179</v>
      </c>
      <c r="J59" s="81">
        <v>3.0191780821999998</v>
      </c>
      <c r="K59" s="60">
        <v>8.4393057859204548E-3</v>
      </c>
      <c r="M59" s="39">
        <f t="shared" si="0"/>
        <v>0.97484210269008997</v>
      </c>
      <c r="N59" s="1">
        <f t="shared" si="1"/>
        <v>8.4393057859204548E-3</v>
      </c>
      <c r="O59" s="1">
        <v>8.4750171159153499E-3</v>
      </c>
    </row>
    <row r="60" spans="9:15" ht="14.25" customHeight="1" x14ac:dyDescent="0.2">
      <c r="I60" s="56" t="s">
        <v>179</v>
      </c>
      <c r="J60" s="81">
        <v>4.0164383562000001</v>
      </c>
      <c r="K60" s="60">
        <v>1.1910140825528251E-2</v>
      </c>
      <c r="M60" s="39">
        <f t="shared" si="0"/>
        <v>0.95328978357983607</v>
      </c>
      <c r="N60" s="1">
        <f t="shared" si="1"/>
        <v>1.1910140825528251E-2</v>
      </c>
      <c r="O60" s="1">
        <v>1.1981348971647501E-2</v>
      </c>
    </row>
    <row r="61" spans="9:15" ht="14.25" customHeight="1" x14ac:dyDescent="0.2">
      <c r="I61" s="56" t="s">
        <v>179</v>
      </c>
      <c r="J61" s="81">
        <v>5.0136986301000004</v>
      </c>
      <c r="K61" s="60">
        <v>1.4601605988107691E-2</v>
      </c>
      <c r="M61" s="39">
        <f t="shared" si="0"/>
        <v>0.92940744488760729</v>
      </c>
      <c r="N61" s="1">
        <f t="shared" si="1"/>
        <v>1.4601605988107691E-2</v>
      </c>
      <c r="O61" s="1">
        <v>1.47087301969359E-2</v>
      </c>
    </row>
    <row r="62" spans="9:15" ht="14.25" customHeight="1" x14ac:dyDescent="0.2">
      <c r="I62" s="56" t="s">
        <v>179</v>
      </c>
      <c r="J62" s="81">
        <v>6.0164383562000001</v>
      </c>
      <c r="K62" s="60">
        <v>1.79181851614671E-2</v>
      </c>
      <c r="M62" s="39">
        <f t="shared" si="0"/>
        <v>0.8978038570965684</v>
      </c>
      <c r="N62" s="1">
        <f t="shared" si="1"/>
        <v>1.79181851614671E-2</v>
      </c>
      <c r="O62" s="1">
        <v>1.8079678957809799E-2</v>
      </c>
    </row>
    <row r="63" spans="9:15" ht="14.25" customHeight="1" x14ac:dyDescent="0.2">
      <c r="I63" s="56" t="s">
        <v>179</v>
      </c>
      <c r="J63" s="81">
        <v>7.0164383562000001</v>
      </c>
      <c r="K63" s="60">
        <v>2.0327826882244791E-2</v>
      </c>
      <c r="M63" s="39">
        <f t="shared" si="0"/>
        <v>0.86707574266554688</v>
      </c>
      <c r="N63" s="1">
        <f t="shared" si="1"/>
        <v>2.0327826882244791E-2</v>
      </c>
      <c r="O63" s="1">
        <v>2.0535844278065797E-2</v>
      </c>
    </row>
    <row r="64" spans="9:15" ht="14.25" customHeight="1" x14ac:dyDescent="0.2">
      <c r="I64" s="56" t="s">
        <v>179</v>
      </c>
      <c r="J64" s="81">
        <v>8.0164383562000001</v>
      </c>
      <c r="K64" s="60">
        <v>2.2011169045748267E-2</v>
      </c>
      <c r="M64" s="39">
        <f t="shared" si="0"/>
        <v>0.83823970118349433</v>
      </c>
      <c r="N64" s="1">
        <f t="shared" si="1"/>
        <v>2.2011169045748267E-2</v>
      </c>
      <c r="O64" s="1">
        <v>2.2255202021794301E-2</v>
      </c>
    </row>
    <row r="65" spans="9:15" ht="14.25" customHeight="1" x14ac:dyDescent="0.2">
      <c r="I65" s="56" t="s">
        <v>179</v>
      </c>
      <c r="J65" s="81">
        <v>9.0219178081999996</v>
      </c>
      <c r="K65" s="60">
        <v>2.3316207460738793E-2</v>
      </c>
      <c r="M65" s="39">
        <f t="shared" si="0"/>
        <v>0.8102949941487676</v>
      </c>
      <c r="N65" s="1">
        <f t="shared" si="1"/>
        <v>2.3316207460738793E-2</v>
      </c>
      <c r="O65" s="1">
        <v>2.35901552234958E-2</v>
      </c>
    </row>
    <row r="66" spans="9:15" ht="14.25" customHeight="1" x14ac:dyDescent="0.2">
      <c r="I66" s="50" t="s">
        <v>179</v>
      </c>
      <c r="J66" s="81">
        <v>10.0191780822</v>
      </c>
      <c r="K66" s="55">
        <v>2.4703964069217925E-2</v>
      </c>
      <c r="M66" s="39">
        <f t="shared" si="0"/>
        <v>0.78073974684701386</v>
      </c>
      <c r="N66" s="1">
        <f t="shared" si="1"/>
        <v>2.4703964069217925E-2</v>
      </c>
      <c r="O66" s="1">
        <v>2.5011635331856498E-2</v>
      </c>
    </row>
    <row r="67" spans="9:15" ht="14.25" customHeight="1" x14ac:dyDescent="0.2">
      <c r="I67" s="50" t="s">
        <v>179</v>
      </c>
      <c r="J67" s="81">
        <v>11.0191780822</v>
      </c>
      <c r="K67" s="55">
        <v>2.5787411163338235E-2</v>
      </c>
      <c r="M67" s="39">
        <f t="shared" si="0"/>
        <v>0.75264916515196678</v>
      </c>
      <c r="N67" s="1">
        <f t="shared" si="1"/>
        <v>2.5787411163338235E-2</v>
      </c>
      <c r="O67" s="1">
        <v>2.6122783035777801E-2</v>
      </c>
    </row>
    <row r="68" spans="9:15" ht="14.25" customHeight="1" x14ac:dyDescent="0.2">
      <c r="I68" s="50" t="s">
        <v>179</v>
      </c>
      <c r="J68" s="81">
        <v>12.0191780822</v>
      </c>
      <c r="K68" s="55">
        <v>2.6893664742791666E-2</v>
      </c>
      <c r="M68" s="39">
        <f t="shared" si="0"/>
        <v>0.72380030546240981</v>
      </c>
      <c r="N68" s="1">
        <f t="shared" si="1"/>
        <v>2.6893664742791666E-2</v>
      </c>
      <c r="O68" s="1">
        <v>2.7258563152049099E-2</v>
      </c>
    </row>
    <row r="69" spans="9:15" ht="14.25" customHeight="1" x14ac:dyDescent="0.2">
      <c r="I69" s="50" t="s">
        <v>179</v>
      </c>
      <c r="J69" s="81">
        <v>13.0191780822</v>
      </c>
      <c r="K69" s="55">
        <v>2.7704650522301415E-2</v>
      </c>
      <c r="M69" s="39">
        <f t="shared" si="0"/>
        <v>0.69719385524185051</v>
      </c>
      <c r="N69" s="1">
        <f t="shared" si="1"/>
        <v>2.7704650522301415E-2</v>
      </c>
      <c r="O69" s="1">
        <v>2.8091993142901603E-2</v>
      </c>
    </row>
    <row r="70" spans="9:15" ht="14.25" customHeight="1" x14ac:dyDescent="0.2">
      <c r="I70" s="50" t="s">
        <v>179</v>
      </c>
      <c r="J70" s="81">
        <v>14.027397260300001</v>
      </c>
      <c r="K70" s="55">
        <v>2.8533473941934465E-2</v>
      </c>
      <c r="M70" s="39">
        <f t="shared" si="0"/>
        <v>0.67015223619891751</v>
      </c>
      <c r="N70" s="1">
        <f t="shared" si="1"/>
        <v>2.8533473941934465E-2</v>
      </c>
      <c r="O70" s="1">
        <v>2.8944453084938E-2</v>
      </c>
    </row>
    <row r="71" spans="9:15" ht="14.25" customHeight="1" x14ac:dyDescent="0.2">
      <c r="I71" s="50" t="s">
        <v>179</v>
      </c>
      <c r="J71" s="81">
        <v>15.024657534199999</v>
      </c>
      <c r="K71" s="55">
        <v>2.9383558976244627E-2</v>
      </c>
      <c r="M71" s="39">
        <f t="shared" si="0"/>
        <v>0.64308529574273343</v>
      </c>
      <c r="N71" s="1">
        <f t="shared" si="1"/>
        <v>2.9383558976244627E-2</v>
      </c>
      <c r="O71" s="1">
        <v>2.9819515251571498E-2</v>
      </c>
    </row>
    <row r="72" spans="9:15" ht="14.25" customHeight="1" x14ac:dyDescent="0.2">
      <c r="I72" s="50" t="s">
        <v>179</v>
      </c>
      <c r="J72" s="81">
        <v>16.021917808200001</v>
      </c>
      <c r="K72" s="55">
        <v>2.9732724674140069E-2</v>
      </c>
      <c r="M72" s="39">
        <f t="shared" si="0"/>
        <v>0.62103038385494402</v>
      </c>
      <c r="N72" s="1">
        <f t="shared" si="1"/>
        <v>2.9732724674140069E-2</v>
      </c>
      <c r="O72" s="1">
        <v>3.0179155684718201E-2</v>
      </c>
    </row>
    <row r="73" spans="9:15" ht="14.25" customHeight="1" x14ac:dyDescent="0.2">
      <c r="I73" s="50" t="s">
        <v>179</v>
      </c>
      <c r="J73" s="81">
        <v>17.021917808200001</v>
      </c>
      <c r="K73" s="55">
        <v>3.0093522643674819E-2</v>
      </c>
      <c r="M73" s="39">
        <f t="shared" si="0"/>
        <v>0.59914630077170794</v>
      </c>
      <c r="N73" s="1">
        <f t="shared" si="1"/>
        <v>3.0093522643674819E-2</v>
      </c>
      <c r="O73" s="1">
        <v>3.05509092922868E-2</v>
      </c>
    </row>
    <row r="74" spans="9:15" ht="14.25" customHeight="1" x14ac:dyDescent="0.2">
      <c r="I74" s="50" t="s">
        <v>179</v>
      </c>
      <c r="J74" s="81">
        <v>18.024657534199999</v>
      </c>
      <c r="K74" s="55">
        <v>3.0465546043661709E-2</v>
      </c>
      <c r="M74" s="39">
        <f t="shared" ref="M74:M137" si="2">1/(1+O74)^J74</f>
        <v>0.57745137802349478</v>
      </c>
      <c r="N74" s="1">
        <f t="shared" ref="N74:N137" si="3">+-LN(M74)/J74</f>
        <v>3.0465546043661709E-2</v>
      </c>
      <c r="O74" s="1">
        <v>3.0934369669115301E-2</v>
      </c>
    </row>
    <row r="75" spans="9:15" ht="14.25" customHeight="1" x14ac:dyDescent="0.2">
      <c r="I75" s="50" t="s">
        <v>179</v>
      </c>
      <c r="J75" s="81">
        <v>19.024657534199999</v>
      </c>
      <c r="K75" s="55">
        <v>3.0849147783848185E-2</v>
      </c>
      <c r="M75" s="39">
        <f t="shared" si="2"/>
        <v>0.55605143956396197</v>
      </c>
      <c r="N75" s="1">
        <f t="shared" si="3"/>
        <v>3.0849147783848185E-2</v>
      </c>
      <c r="O75" s="1">
        <v>3.1329913748186701E-2</v>
      </c>
    </row>
    <row r="76" spans="9:15" ht="14.25" customHeight="1" x14ac:dyDescent="0.2">
      <c r="I76" s="50" t="s">
        <v>179</v>
      </c>
      <c r="J76" s="81">
        <v>20.030136986300001</v>
      </c>
      <c r="K76" s="55">
        <v>3.124353269246118E-2</v>
      </c>
      <c r="M76" s="39">
        <f t="shared" si="2"/>
        <v>0.53482684441870976</v>
      </c>
      <c r="N76" s="1">
        <f t="shared" si="3"/>
        <v>3.124353269246118E-2</v>
      </c>
      <c r="O76" s="1">
        <v>3.1736734918762097E-2</v>
      </c>
    </row>
    <row r="77" spans="9:15" ht="14.25" customHeight="1" x14ac:dyDescent="0.2">
      <c r="I77" s="50" t="s">
        <v>179</v>
      </c>
      <c r="J77" s="81">
        <v>25.027397260299999</v>
      </c>
      <c r="K77" s="55">
        <v>3.1956066821912904E-2</v>
      </c>
      <c r="M77" s="39">
        <f t="shared" si="2"/>
        <v>0.44942909509878759</v>
      </c>
      <c r="N77" s="1">
        <f t="shared" si="3"/>
        <v>3.1956066821912904E-2</v>
      </c>
      <c r="O77" s="1">
        <v>3.2472144526108797E-2</v>
      </c>
    </row>
    <row r="78" spans="9:15" ht="14.25" customHeight="1" x14ac:dyDescent="0.2">
      <c r="I78" s="50" t="s">
        <v>179</v>
      </c>
      <c r="J78" s="81">
        <v>30.032876712299998</v>
      </c>
      <c r="K78" s="55">
        <v>3.2314020859010813E-2</v>
      </c>
      <c r="M78" s="39">
        <f t="shared" si="2"/>
        <v>0.37889998348762166</v>
      </c>
      <c r="N78" s="1">
        <f t="shared" si="3"/>
        <v>3.2314020859010813E-2</v>
      </c>
      <c r="O78" s="1">
        <v>3.2841788252218E-2</v>
      </c>
    </row>
    <row r="79" spans="9:15" ht="14.25" customHeight="1" x14ac:dyDescent="0.2">
      <c r="I79" s="50" t="s">
        <v>182</v>
      </c>
      <c r="J79" s="81">
        <v>8.2191781000000002E-3</v>
      </c>
      <c r="K79" s="55">
        <v>-7.2485342173108355E-2</v>
      </c>
      <c r="M79" s="39">
        <f t="shared" si="2"/>
        <v>1.0005959474431183</v>
      </c>
      <c r="N79" s="1">
        <f t="shared" si="3"/>
        <v>-7.2485342173108355E-2</v>
      </c>
      <c r="O79" s="1">
        <v>-6.9920620497096506E-2</v>
      </c>
    </row>
    <row r="80" spans="9:15" ht="14.25" customHeight="1" x14ac:dyDescent="0.2">
      <c r="I80" s="50" t="s">
        <v>182</v>
      </c>
      <c r="J80" s="81">
        <v>8.7671232900000007E-2</v>
      </c>
      <c r="K80" s="55">
        <v>-8.8919535743449157E-2</v>
      </c>
      <c r="M80" s="39">
        <f t="shared" si="2"/>
        <v>1.0078261507973356</v>
      </c>
      <c r="N80" s="1">
        <f t="shared" si="3"/>
        <v>-8.8919535743449157E-2</v>
      </c>
      <c r="O80" s="1">
        <v>-8.5080811094950096E-2</v>
      </c>
    </row>
    <row r="81" spans="9:15" ht="14.25" customHeight="1" x14ac:dyDescent="0.2">
      <c r="I81" s="50" t="s">
        <v>182</v>
      </c>
      <c r="J81" s="81">
        <v>0.17260273970000001</v>
      </c>
      <c r="K81" s="55">
        <v>-2.8488217346847044E-2</v>
      </c>
      <c r="M81" s="39">
        <f t="shared" si="2"/>
        <v>1.0049292533566669</v>
      </c>
      <c r="N81" s="1">
        <f t="shared" si="3"/>
        <v>-2.8488217346847044E-2</v>
      </c>
      <c r="O81" s="1">
        <v>-2.8086254198768101E-2</v>
      </c>
    </row>
    <row r="82" spans="9:15" ht="14.25" customHeight="1" x14ac:dyDescent="0.2">
      <c r="I82" s="50" t="s">
        <v>182</v>
      </c>
      <c r="J82" s="81">
        <v>0.25753424660000002</v>
      </c>
      <c r="K82" s="55">
        <v>-3.9663306018455063E-3</v>
      </c>
      <c r="M82" s="39">
        <f t="shared" si="2"/>
        <v>1.001021987837347</v>
      </c>
      <c r="N82" s="1">
        <f t="shared" si="3"/>
        <v>-3.9663306018455063E-3</v>
      </c>
      <c r="O82" s="1">
        <v>-3.95847510189284E-3</v>
      </c>
    </row>
    <row r="83" spans="9:15" ht="14.25" customHeight="1" x14ac:dyDescent="0.2">
      <c r="I83" s="50" t="s">
        <v>182</v>
      </c>
      <c r="J83" s="81">
        <v>0.33424657530000002</v>
      </c>
      <c r="K83" s="55">
        <v>4.5336146576194442E-3</v>
      </c>
      <c r="M83" s="39">
        <f t="shared" si="2"/>
        <v>0.99848580238273665</v>
      </c>
      <c r="N83" s="1">
        <f t="shared" si="3"/>
        <v>4.5336146576194442E-3</v>
      </c>
      <c r="O83" s="1">
        <v>4.5439070365664901E-3</v>
      </c>
    </row>
    <row r="84" spans="9:15" ht="14.25" customHeight="1" x14ac:dyDescent="0.2">
      <c r="I84" s="50" t="s">
        <v>182</v>
      </c>
      <c r="J84" s="81">
        <v>0.41917808220000002</v>
      </c>
      <c r="K84" s="55">
        <v>9.7102999138371122E-3</v>
      </c>
      <c r="M84" s="39">
        <f t="shared" si="2"/>
        <v>0.99593792773036205</v>
      </c>
      <c r="N84" s="1">
        <f t="shared" si="3"/>
        <v>9.7102999138371122E-3</v>
      </c>
      <c r="O84" s="1">
        <v>9.757597844447961E-3</v>
      </c>
    </row>
    <row r="85" spans="9:15" ht="14.25" customHeight="1" x14ac:dyDescent="0.2">
      <c r="I85" s="50" t="s">
        <v>182</v>
      </c>
      <c r="J85" s="81">
        <v>0.49863013699999997</v>
      </c>
      <c r="K85" s="55">
        <v>4.8491397830356612E-3</v>
      </c>
      <c r="M85" s="39">
        <f t="shared" si="2"/>
        <v>0.9975849935971145</v>
      </c>
      <c r="N85" s="1">
        <f t="shared" si="3"/>
        <v>4.8491397830356612E-3</v>
      </c>
      <c r="O85" s="1">
        <v>4.8609158883192701E-3</v>
      </c>
    </row>
    <row r="86" spans="9:15" ht="14.25" customHeight="1" x14ac:dyDescent="0.2">
      <c r="I86" s="50" t="s">
        <v>182</v>
      </c>
      <c r="J86" s="81">
        <v>0.58630136990000004</v>
      </c>
      <c r="K86" s="55">
        <v>5.6723904477075987E-3</v>
      </c>
      <c r="M86" s="39">
        <f t="shared" si="2"/>
        <v>0.99667979382527983</v>
      </c>
      <c r="N86" s="1">
        <f t="shared" si="3"/>
        <v>5.6723904477075987E-3</v>
      </c>
      <c r="O86" s="1">
        <v>5.6885089167413305E-3</v>
      </c>
    </row>
    <row r="87" spans="9:15" ht="14.25" customHeight="1" x14ac:dyDescent="0.2">
      <c r="I87" s="50" t="s">
        <v>182</v>
      </c>
      <c r="J87" s="81">
        <v>0.66849315070000004</v>
      </c>
      <c r="K87" s="55">
        <v>5.1683834733737243E-3</v>
      </c>
      <c r="M87" s="39">
        <f t="shared" si="2"/>
        <v>0.99655093279241225</v>
      </c>
      <c r="N87" s="1">
        <f t="shared" si="3"/>
        <v>5.1683834733737243E-3</v>
      </c>
      <c r="O87" s="1">
        <v>5.1817626068042496E-3</v>
      </c>
    </row>
    <row r="88" spans="9:15" ht="14.25" customHeight="1" x14ac:dyDescent="0.2">
      <c r="I88" s="50" t="s">
        <v>182</v>
      </c>
      <c r="J88" s="81">
        <v>0.74794520549999999</v>
      </c>
      <c r="K88" s="55">
        <v>6.1956917089094456E-3</v>
      </c>
      <c r="M88" s="39">
        <f t="shared" si="2"/>
        <v>0.99537668267897106</v>
      </c>
      <c r="N88" s="1">
        <f t="shared" si="3"/>
        <v>6.1956917089094456E-3</v>
      </c>
      <c r="O88" s="1">
        <v>6.2149247068441502E-3</v>
      </c>
    </row>
    <row r="89" spans="9:15" ht="14.25" customHeight="1" x14ac:dyDescent="0.2">
      <c r="I89" s="50" t="s">
        <v>182</v>
      </c>
      <c r="J89" s="81">
        <v>0.83835616440000005</v>
      </c>
      <c r="K89" s="55">
        <v>5.8730689455106918E-3</v>
      </c>
      <c r="M89" s="39">
        <f t="shared" si="2"/>
        <v>0.99508837810252049</v>
      </c>
      <c r="N89" s="1">
        <f t="shared" si="3"/>
        <v>5.8730689455106918E-3</v>
      </c>
      <c r="O89" s="1">
        <v>5.8903492277964098E-3</v>
      </c>
    </row>
    <row r="90" spans="9:15" ht="14.25" customHeight="1" x14ac:dyDescent="0.2">
      <c r="I90" s="50" t="s">
        <v>182</v>
      </c>
      <c r="J90" s="81">
        <v>0.92054794520000005</v>
      </c>
      <c r="K90" s="55">
        <v>6.3643589993693022E-3</v>
      </c>
      <c r="M90" s="39">
        <f t="shared" si="2"/>
        <v>0.99415843110244284</v>
      </c>
      <c r="N90" s="1">
        <f t="shared" si="3"/>
        <v>6.3643589993693022E-3</v>
      </c>
      <c r="O90" s="1">
        <v>6.3846545653500897E-3</v>
      </c>
    </row>
    <row r="91" spans="9:15" ht="14.25" customHeight="1" x14ac:dyDescent="0.2">
      <c r="I91" s="50" t="s">
        <v>182</v>
      </c>
      <c r="J91" s="81">
        <v>1.0054794520999999</v>
      </c>
      <c r="K91" s="55">
        <v>4.2066382814947923E-3</v>
      </c>
      <c r="M91" s="39">
        <f t="shared" si="2"/>
        <v>0.9957792441789457</v>
      </c>
      <c r="N91" s="1">
        <f t="shared" si="3"/>
        <v>4.2066382814947923E-3</v>
      </c>
      <c r="O91" s="1">
        <v>4.2154986040112705E-3</v>
      </c>
    </row>
    <row r="92" spans="9:15" ht="14.25" customHeight="1" x14ac:dyDescent="0.2">
      <c r="I92" s="50" t="s">
        <v>182</v>
      </c>
      <c r="J92" s="81">
        <v>1.0876712329</v>
      </c>
      <c r="K92" s="55">
        <v>5.1386019932890339E-3</v>
      </c>
      <c r="M92" s="39">
        <f t="shared" si="2"/>
        <v>0.99442648044915471</v>
      </c>
      <c r="N92" s="1">
        <f t="shared" si="3"/>
        <v>5.1386019932890339E-3</v>
      </c>
      <c r="O92" s="1">
        <v>5.1518272519215404E-3</v>
      </c>
    </row>
    <row r="93" spans="9:15" ht="14.25" customHeight="1" x14ac:dyDescent="0.2">
      <c r="I93" s="50" t="s">
        <v>182</v>
      </c>
      <c r="J93" s="81">
        <v>1.1698630136999999</v>
      </c>
      <c r="K93" s="55">
        <v>5.3410732578559475E-3</v>
      </c>
      <c r="M93" s="39">
        <f t="shared" si="2"/>
        <v>0.99377115612498912</v>
      </c>
      <c r="N93" s="1">
        <f t="shared" si="3"/>
        <v>5.3410732578559475E-3</v>
      </c>
      <c r="O93" s="1">
        <v>5.3553622177624502E-3</v>
      </c>
    </row>
    <row r="94" spans="9:15" ht="14.25" customHeight="1" x14ac:dyDescent="0.2">
      <c r="I94" s="50" t="s">
        <v>182</v>
      </c>
      <c r="J94" s="81">
        <v>1.2575342465999999</v>
      </c>
      <c r="K94" s="55">
        <v>5.7745741390259888E-3</v>
      </c>
      <c r="M94" s="39">
        <f t="shared" si="2"/>
        <v>0.99276457787777472</v>
      </c>
      <c r="N94" s="1">
        <f t="shared" si="3"/>
        <v>5.7745741390259888E-3</v>
      </c>
      <c r="O94" s="1">
        <v>5.7912791315295501E-3</v>
      </c>
    </row>
    <row r="95" spans="9:15" ht="14.25" customHeight="1" x14ac:dyDescent="0.2">
      <c r="I95" s="50" t="s">
        <v>182</v>
      </c>
      <c r="J95" s="81">
        <v>1.3369863014000001</v>
      </c>
      <c r="K95" s="55">
        <v>6.1648225585534408E-3</v>
      </c>
      <c r="M95" s="39">
        <f t="shared" si="2"/>
        <v>0.99179159117415339</v>
      </c>
      <c r="N95" s="1">
        <f t="shared" si="3"/>
        <v>6.1648225585534408E-3</v>
      </c>
      <c r="O95" s="1">
        <v>6.1838641864513403E-3</v>
      </c>
    </row>
    <row r="96" spans="9:15" ht="14.25" customHeight="1" x14ac:dyDescent="0.2">
      <c r="I96" s="50" t="s">
        <v>182</v>
      </c>
      <c r="J96" s="81">
        <v>1.4191780822</v>
      </c>
      <c r="K96" s="55">
        <v>6.2568303232130281E-3</v>
      </c>
      <c r="M96" s="39">
        <f t="shared" si="2"/>
        <v>0.99115975037425141</v>
      </c>
      <c r="N96" s="1">
        <f t="shared" si="3"/>
        <v>6.2568303232130281E-3</v>
      </c>
      <c r="O96" s="1">
        <v>6.2764451736512196E-3</v>
      </c>
    </row>
    <row r="97" spans="9:15" ht="14.25" customHeight="1" x14ac:dyDescent="0.2">
      <c r="I97" s="50" t="s">
        <v>182</v>
      </c>
      <c r="J97" s="81">
        <v>1.504109589</v>
      </c>
      <c r="K97" s="55">
        <v>5.0427688322368493E-3</v>
      </c>
      <c r="M97" s="39">
        <f t="shared" si="2"/>
        <v>0.99244381563445394</v>
      </c>
      <c r="N97" s="1">
        <f t="shared" si="3"/>
        <v>5.0427688322368493E-3</v>
      </c>
      <c r="O97" s="1">
        <v>5.0555049904856793E-3</v>
      </c>
    </row>
    <row r="98" spans="9:15" ht="14.25" customHeight="1" x14ac:dyDescent="0.2">
      <c r="I98" s="50" t="s">
        <v>182</v>
      </c>
      <c r="J98" s="81">
        <v>1.5890410959000001</v>
      </c>
      <c r="K98" s="55">
        <v>5.3498937727638942E-3</v>
      </c>
      <c r="M98" s="39">
        <f t="shared" si="2"/>
        <v>0.99153483196583558</v>
      </c>
      <c r="N98" s="1">
        <f t="shared" si="3"/>
        <v>5.3498937727638942E-3</v>
      </c>
      <c r="O98" s="1">
        <v>5.3642300088319094E-3</v>
      </c>
    </row>
    <row r="99" spans="9:15" ht="14.25" customHeight="1" x14ac:dyDescent="0.2">
      <c r="I99" s="50" t="s">
        <v>182</v>
      </c>
      <c r="J99" s="81">
        <v>1.6684931507</v>
      </c>
      <c r="K99" s="55">
        <v>5.7487703235037388E-3</v>
      </c>
      <c r="M99" s="39">
        <f t="shared" si="2"/>
        <v>0.99045407052385437</v>
      </c>
      <c r="N99" s="1">
        <f t="shared" si="3"/>
        <v>5.7487703235037388E-3</v>
      </c>
      <c r="O99" s="1">
        <v>5.7653262137524796E-3</v>
      </c>
    </row>
    <row r="100" spans="9:15" ht="14.25" customHeight="1" x14ac:dyDescent="0.2">
      <c r="I100" s="50" t="s">
        <v>182</v>
      </c>
      <c r="J100" s="81">
        <v>1.7561643836</v>
      </c>
      <c r="K100" s="55">
        <v>5.9761259381561722E-3</v>
      </c>
      <c r="M100" s="39">
        <f t="shared" si="2"/>
        <v>0.98955982145187815</v>
      </c>
      <c r="N100" s="1">
        <f t="shared" si="3"/>
        <v>5.9761259381561722E-3</v>
      </c>
      <c r="O100" s="1">
        <v>5.9940186039542098E-3</v>
      </c>
    </row>
    <row r="101" spans="9:15" ht="14.25" customHeight="1" x14ac:dyDescent="0.2">
      <c r="I101" s="50" t="s">
        <v>182</v>
      </c>
      <c r="J101" s="81">
        <v>1.8410958904000001</v>
      </c>
      <c r="K101" s="55">
        <v>6.1686217559404543E-3</v>
      </c>
      <c r="M101" s="39">
        <f t="shared" si="2"/>
        <v>0.98870722338430572</v>
      </c>
      <c r="N101" s="1">
        <f t="shared" si="3"/>
        <v>6.1686217559404543E-3</v>
      </c>
      <c r="O101" s="1">
        <v>6.1876868848205202E-3</v>
      </c>
    </row>
    <row r="102" spans="9:15" ht="14.25" customHeight="1" x14ac:dyDescent="0.2">
      <c r="I102" s="50" t="s">
        <v>182</v>
      </c>
      <c r="J102" s="81">
        <v>1.9178082192000001</v>
      </c>
      <c r="K102" s="55">
        <v>6.3839489624045237E-3</v>
      </c>
      <c r="M102" s="39">
        <f t="shared" si="2"/>
        <v>0.98783145312407639</v>
      </c>
      <c r="N102" s="1">
        <f t="shared" si="3"/>
        <v>6.3839489624045237E-3</v>
      </c>
      <c r="O102" s="1">
        <v>6.4043697966418298E-3</v>
      </c>
    </row>
    <row r="103" spans="9:15" ht="14.25" customHeight="1" x14ac:dyDescent="0.2">
      <c r="I103" s="50" t="s">
        <v>182</v>
      </c>
      <c r="J103" s="81">
        <v>2.0027397260000002</v>
      </c>
      <c r="K103" s="55">
        <v>6.3512801986965461E-3</v>
      </c>
      <c r="M103" s="39">
        <f t="shared" si="2"/>
        <v>0.98736059561966283</v>
      </c>
      <c r="N103" s="1">
        <f t="shared" si="3"/>
        <v>6.3512801986965461E-3</v>
      </c>
      <c r="O103" s="1">
        <v>6.3714923471261502E-3</v>
      </c>
    </row>
    <row r="104" spans="9:15" ht="14.25" customHeight="1" x14ac:dyDescent="0.2">
      <c r="I104" s="50" t="s">
        <v>182</v>
      </c>
      <c r="J104" s="81">
        <v>3.0027397260000002</v>
      </c>
      <c r="K104" s="55">
        <v>7.9119312569018579E-3</v>
      </c>
      <c r="M104" s="39">
        <f t="shared" si="2"/>
        <v>0.9765225167588053</v>
      </c>
      <c r="N104" s="1">
        <f t="shared" si="3"/>
        <v>7.9119312569018579E-3</v>
      </c>
      <c r="O104" s="1">
        <v>7.9433132945863801E-3</v>
      </c>
    </row>
    <row r="105" spans="9:15" ht="14.25" customHeight="1" x14ac:dyDescent="0.2">
      <c r="I105" s="50" t="s">
        <v>182</v>
      </c>
      <c r="J105" s="81">
        <v>4.0027397259999997</v>
      </c>
      <c r="K105" s="55">
        <v>9.8921413678455597E-3</v>
      </c>
      <c r="M105" s="39">
        <f t="shared" si="2"/>
        <v>0.96117799635720391</v>
      </c>
      <c r="N105" s="1">
        <f t="shared" si="3"/>
        <v>9.8921413678455597E-3</v>
      </c>
      <c r="O105" s="1">
        <v>9.9412303297293399E-3</v>
      </c>
    </row>
    <row r="106" spans="9:15" ht="14.25" customHeight="1" x14ac:dyDescent="0.2">
      <c r="I106" s="50" t="s">
        <v>182</v>
      </c>
      <c r="J106" s="81">
        <v>5.0027397259999997</v>
      </c>
      <c r="K106" s="55">
        <v>1.2721776144711518E-2</v>
      </c>
      <c r="M106" s="39">
        <f t="shared" si="2"/>
        <v>0.93833923750666182</v>
      </c>
      <c r="N106" s="1">
        <f t="shared" si="3"/>
        <v>1.2721776144711518E-2</v>
      </c>
      <c r="O106" s="1">
        <v>1.2803042189338601E-2</v>
      </c>
    </row>
    <row r="107" spans="9:15" ht="14.25" customHeight="1" x14ac:dyDescent="0.2">
      <c r="I107" s="50" t="s">
        <v>182</v>
      </c>
      <c r="J107" s="81">
        <v>6.0109589040999998</v>
      </c>
      <c r="K107" s="55">
        <v>1.4280440431394356E-2</v>
      </c>
      <c r="M107" s="39">
        <f t="shared" si="2"/>
        <v>0.91774184678159043</v>
      </c>
      <c r="N107" s="1">
        <f t="shared" si="3"/>
        <v>1.4280440431394356E-2</v>
      </c>
      <c r="O107" s="1">
        <v>1.4382893029338898E-2</v>
      </c>
    </row>
    <row r="108" spans="9:15" ht="14.25" customHeight="1" x14ac:dyDescent="0.2">
      <c r="I108" s="50" t="s">
        <v>182</v>
      </c>
      <c r="J108" s="81">
        <v>7.0082191781000001</v>
      </c>
      <c r="K108" s="55">
        <v>1.5857163562032223E-2</v>
      </c>
      <c r="M108" s="39">
        <f t="shared" si="2"/>
        <v>0.894821986920321</v>
      </c>
      <c r="N108" s="1">
        <f t="shared" si="3"/>
        <v>1.5857163562032223E-2</v>
      </c>
      <c r="O108" s="1">
        <v>1.5983555569315799E-2</v>
      </c>
    </row>
    <row r="109" spans="9:15" ht="14.25" customHeight="1" x14ac:dyDescent="0.2">
      <c r="I109" s="50" t="s">
        <v>182</v>
      </c>
      <c r="J109" s="81">
        <v>8.0054794520999994</v>
      </c>
      <c r="K109" s="55">
        <v>1.6801535017069623E-2</v>
      </c>
      <c r="M109" s="39">
        <f t="shared" si="2"/>
        <v>0.87414908213912657</v>
      </c>
      <c r="N109" s="1">
        <f t="shared" si="3"/>
        <v>1.6801535017069623E-2</v>
      </c>
      <c r="O109" s="1">
        <v>1.69434746267202E-2</v>
      </c>
    </row>
    <row r="110" spans="9:15" ht="14.25" customHeight="1" x14ac:dyDescent="0.2">
      <c r="I110" s="50" t="s">
        <v>182</v>
      </c>
      <c r="J110" s="81">
        <v>9.0054794520999994</v>
      </c>
      <c r="K110" s="55">
        <v>1.739149534304409E-2</v>
      </c>
      <c r="M110" s="39">
        <f t="shared" si="2"/>
        <v>0.85502997348429044</v>
      </c>
      <c r="N110" s="1">
        <f t="shared" si="3"/>
        <v>1.739149534304409E-2</v>
      </c>
      <c r="O110" s="1">
        <v>1.7543607940524997E-2</v>
      </c>
    </row>
    <row r="111" spans="9:15" ht="14.25" customHeight="1" x14ac:dyDescent="0.2">
      <c r="I111" s="50" t="s">
        <v>182</v>
      </c>
      <c r="J111" s="81">
        <v>10.008219178099999</v>
      </c>
      <c r="K111" s="55">
        <v>1.773101183807204E-2</v>
      </c>
      <c r="M111" s="39">
        <f t="shared" si="2"/>
        <v>0.83739796735815331</v>
      </c>
      <c r="N111" s="1">
        <f t="shared" si="3"/>
        <v>1.773101183807204E-2</v>
      </c>
      <c r="O111" s="1">
        <v>1.78891394333324E-2</v>
      </c>
    </row>
    <row r="112" spans="9:15" ht="14.25" customHeight="1" x14ac:dyDescent="0.2">
      <c r="I112" s="50" t="s">
        <v>182</v>
      </c>
      <c r="J112" s="81">
        <v>12.0136986301</v>
      </c>
      <c r="K112" s="55">
        <v>1.807249741814123E-2</v>
      </c>
      <c r="M112" s="39">
        <f t="shared" si="2"/>
        <v>0.80483536542887046</v>
      </c>
      <c r="N112" s="1">
        <f t="shared" si="3"/>
        <v>1.807249741814123E-2</v>
      </c>
      <c r="O112" s="1">
        <v>1.82367932525626E-2</v>
      </c>
    </row>
    <row r="113" spans="9:15" ht="14.25" customHeight="1" x14ac:dyDescent="0.2">
      <c r="I113" s="50" t="s">
        <v>182</v>
      </c>
      <c r="J113" s="81">
        <v>15.010958904100001</v>
      </c>
      <c r="K113" s="55">
        <v>1.8758786566252406E-2</v>
      </c>
      <c r="M113" s="39">
        <f t="shared" si="2"/>
        <v>0.75458498150799169</v>
      </c>
      <c r="N113" s="1">
        <f t="shared" si="3"/>
        <v>1.8758786566252406E-2</v>
      </c>
      <c r="O113" s="1">
        <v>1.89358379599406E-2</v>
      </c>
    </row>
    <row r="114" spans="9:15" ht="14.25" customHeight="1" x14ac:dyDescent="0.2">
      <c r="I114" s="50" t="s">
        <v>182</v>
      </c>
      <c r="J114" s="81">
        <v>16.010958904100001</v>
      </c>
      <c r="K114" s="55">
        <v>1.9006501818464222E-2</v>
      </c>
      <c r="M114" s="39">
        <f t="shared" si="2"/>
        <v>0.7376304540774441</v>
      </c>
      <c r="N114" s="1">
        <f t="shared" si="3"/>
        <v>1.9006501818464222E-2</v>
      </c>
      <c r="O114" s="1">
        <v>1.91882751730118E-2</v>
      </c>
    </row>
    <row r="115" spans="9:15" ht="14.25" customHeight="1" x14ac:dyDescent="0.2">
      <c r="I115" s="50" t="s">
        <v>182</v>
      </c>
      <c r="J115" s="81">
        <v>17.010958904100001</v>
      </c>
      <c r="K115" s="55">
        <v>1.9257812474513952E-2</v>
      </c>
      <c r="M115" s="39">
        <f t="shared" si="2"/>
        <v>0.72065564982172692</v>
      </c>
      <c r="N115" s="1">
        <f t="shared" si="3"/>
        <v>1.9257812474513952E-2</v>
      </c>
      <c r="O115" s="1">
        <v>1.9444440234240301E-2</v>
      </c>
    </row>
    <row r="116" spans="9:15" ht="14.25" customHeight="1" x14ac:dyDescent="0.2">
      <c r="I116" s="50" t="s">
        <v>182</v>
      </c>
      <c r="J116" s="81">
        <v>18.016438356199998</v>
      </c>
      <c r="K116" s="55">
        <v>1.9512444193001903E-2</v>
      </c>
      <c r="M116" s="39">
        <f t="shared" si="2"/>
        <v>0.70360036456109243</v>
      </c>
      <c r="N116" s="1">
        <f t="shared" si="3"/>
        <v>1.9512444193001903E-2</v>
      </c>
      <c r="O116" s="1">
        <v>1.9704056175784E-2</v>
      </c>
    </row>
    <row r="117" spans="9:15" ht="14.25" customHeight="1" x14ac:dyDescent="0.2">
      <c r="I117" s="50" t="s">
        <v>182</v>
      </c>
      <c r="J117" s="81">
        <v>19.013698630099999</v>
      </c>
      <c r="K117" s="55">
        <v>1.9770677598761444E-2</v>
      </c>
      <c r="M117" s="39">
        <f t="shared" si="2"/>
        <v>0.68666158555188461</v>
      </c>
      <c r="N117" s="1">
        <f t="shared" si="3"/>
        <v>1.9770677598761444E-2</v>
      </c>
      <c r="O117" s="1">
        <v>1.9967411829227299E-2</v>
      </c>
    </row>
    <row r="118" spans="9:15" ht="14.25" customHeight="1" x14ac:dyDescent="0.2">
      <c r="I118" s="50" t="s">
        <v>182</v>
      </c>
      <c r="J118" s="81">
        <v>20.013698630099999</v>
      </c>
      <c r="K118" s="55">
        <v>2.0032490856157176E-2</v>
      </c>
      <c r="M118" s="39">
        <f t="shared" si="2"/>
        <v>0.6697007991272137</v>
      </c>
      <c r="N118" s="1">
        <f t="shared" si="3"/>
        <v>2.0032490856157176E-2</v>
      </c>
      <c r="O118" s="1">
        <v>2.0234487780242397E-2</v>
      </c>
    </row>
    <row r="119" spans="9:15" ht="14.25" customHeight="1" x14ac:dyDescent="0.2">
      <c r="I119" s="50" t="s">
        <v>182</v>
      </c>
      <c r="J119" s="81">
        <v>25.016438356199998</v>
      </c>
      <c r="K119" s="55">
        <v>1.994036258048287E-2</v>
      </c>
      <c r="M119" s="39">
        <f t="shared" si="2"/>
        <v>0.60723655551537503</v>
      </c>
      <c r="N119" s="1">
        <f t="shared" si="3"/>
        <v>1.994036258048287E-2</v>
      </c>
      <c r="O119" s="1">
        <v>2.0140499665647803E-2</v>
      </c>
    </row>
    <row r="120" spans="9:15" ht="14.25" customHeight="1" x14ac:dyDescent="0.2">
      <c r="I120" s="50" t="s">
        <v>182</v>
      </c>
      <c r="J120" s="81">
        <v>30.021917808200001</v>
      </c>
      <c r="K120" s="55">
        <v>1.9878987777719612E-2</v>
      </c>
      <c r="M120" s="39">
        <f t="shared" si="2"/>
        <v>0.55056770776184982</v>
      </c>
      <c r="N120" s="1">
        <f t="shared" si="3"/>
        <v>1.9878987777719612E-2</v>
      </c>
      <c r="O120" s="1">
        <v>2.0077890665017101E-2</v>
      </c>
    </row>
    <row r="121" spans="9:15" ht="14.25" customHeight="1" x14ac:dyDescent="0.2">
      <c r="I121" s="50" t="s">
        <v>180</v>
      </c>
      <c r="J121" s="81">
        <v>1.3698630099999999E-2</v>
      </c>
      <c r="K121" s="55">
        <v>-6.882095228860261E-3</v>
      </c>
      <c r="M121" s="39">
        <f t="shared" si="2"/>
        <v>1.0000942797209067</v>
      </c>
      <c r="N121" s="1">
        <f t="shared" si="3"/>
        <v>-6.882095228860261E-3</v>
      </c>
      <c r="O121" s="1">
        <v>-6.8584678445291506E-3</v>
      </c>
    </row>
    <row r="122" spans="9:15" ht="14.25" customHeight="1" x14ac:dyDescent="0.2">
      <c r="I122" s="50" t="s">
        <v>180</v>
      </c>
      <c r="J122" s="81">
        <v>1.9178082199999998E-2</v>
      </c>
      <c r="K122" s="55">
        <v>-6.4867576378464476E-3</v>
      </c>
      <c r="M122" s="39">
        <f t="shared" si="2"/>
        <v>1.0001244113096353</v>
      </c>
      <c r="N122" s="1">
        <f t="shared" si="3"/>
        <v>-6.4867576378464476E-3</v>
      </c>
      <c r="O122" s="1">
        <v>-6.4657640434978604E-3</v>
      </c>
    </row>
    <row r="123" spans="9:15" ht="14.25" customHeight="1" x14ac:dyDescent="0.2">
      <c r="I123" s="50" t="s">
        <v>180</v>
      </c>
      <c r="J123" s="81">
        <v>3.8356164399999997E-2</v>
      </c>
      <c r="K123" s="55">
        <v>-8.8084308857554246E-3</v>
      </c>
      <c r="M123" s="39">
        <f t="shared" si="2"/>
        <v>1.000337914703475</v>
      </c>
      <c r="N123" s="1">
        <f t="shared" si="3"/>
        <v>-8.8084308857554246E-3</v>
      </c>
      <c r="O123" s="1">
        <v>-8.7697503134511693E-3</v>
      </c>
    </row>
    <row r="124" spans="9:15" ht="14.25" customHeight="1" x14ac:dyDescent="0.2">
      <c r="I124" s="50" t="s">
        <v>180</v>
      </c>
      <c r="J124" s="81">
        <v>8.7671232900000007E-2</v>
      </c>
      <c r="K124" s="55">
        <v>-8.8201871214367775E-3</v>
      </c>
      <c r="M124" s="39">
        <f t="shared" si="2"/>
        <v>1.0007735757348357</v>
      </c>
      <c r="N124" s="1">
        <f t="shared" si="3"/>
        <v>-8.8201871214367775E-3</v>
      </c>
      <c r="O124" s="1">
        <v>-8.7814033813836696E-3</v>
      </c>
    </row>
    <row r="125" spans="9:15" ht="14.25" customHeight="1" x14ac:dyDescent="0.2">
      <c r="I125" s="50" t="s">
        <v>180</v>
      </c>
      <c r="J125" s="81">
        <v>0.16712328770000001</v>
      </c>
      <c r="K125" s="55">
        <v>-7.3731811409615605E-3</v>
      </c>
      <c r="M125" s="39">
        <f t="shared" si="2"/>
        <v>1.0012329897807388</v>
      </c>
      <c r="N125" s="1">
        <f t="shared" si="3"/>
        <v>-7.3731811409615605E-3</v>
      </c>
      <c r="O125" s="1">
        <v>-7.3460659236222999E-3</v>
      </c>
    </row>
    <row r="126" spans="9:15" ht="14.25" customHeight="1" x14ac:dyDescent="0.2">
      <c r="I126" s="50" t="s">
        <v>180</v>
      </c>
      <c r="J126" s="81">
        <v>0.25753424660000002</v>
      </c>
      <c r="K126" s="55">
        <v>-6.7446667946135814E-3</v>
      </c>
      <c r="M126" s="39">
        <f t="shared" si="2"/>
        <v>1.0017384921097605</v>
      </c>
      <c r="N126" s="1">
        <f t="shared" si="3"/>
        <v>-6.7446667946135814E-3</v>
      </c>
      <c r="O126" s="1">
        <v>-6.7219725798315401E-3</v>
      </c>
    </row>
    <row r="127" spans="9:15" ht="14.25" customHeight="1" x14ac:dyDescent="0.2">
      <c r="I127" s="50" t="s">
        <v>180</v>
      </c>
      <c r="J127" s="81">
        <v>0.33424657530000002</v>
      </c>
      <c r="K127" s="55">
        <v>-6.3813228606897513E-3</v>
      </c>
      <c r="M127" s="39">
        <f t="shared" si="2"/>
        <v>1.0021352116367219</v>
      </c>
      <c r="N127" s="1">
        <f t="shared" si="3"/>
        <v>-6.3813228606897513E-3</v>
      </c>
      <c r="O127" s="1">
        <v>-6.3610054602335495E-3</v>
      </c>
    </row>
    <row r="128" spans="9:15" ht="14.25" customHeight="1" x14ac:dyDescent="0.2">
      <c r="I128" s="50" t="s">
        <v>180</v>
      </c>
      <c r="J128" s="81">
        <v>0.41369863010000002</v>
      </c>
      <c r="K128" s="55">
        <v>-5.7401490395640698E-3</v>
      </c>
      <c r="M128" s="39">
        <f t="shared" si="2"/>
        <v>1.0023775136080002</v>
      </c>
      <c r="N128" s="1">
        <f t="shared" si="3"/>
        <v>-5.7401490395640698E-3</v>
      </c>
      <c r="O128" s="1">
        <v>-5.7237058612080701E-3</v>
      </c>
    </row>
    <row r="129" spans="9:15" ht="14.25" customHeight="1" x14ac:dyDescent="0.2">
      <c r="I129" s="50" t="s">
        <v>180</v>
      </c>
      <c r="J129" s="81">
        <v>0.49589041099999998</v>
      </c>
      <c r="K129" s="55">
        <v>-5.7934627323146057E-3</v>
      </c>
      <c r="M129" s="39">
        <f t="shared" si="2"/>
        <v>1.0028770534124907</v>
      </c>
      <c r="N129" s="1">
        <f t="shared" si="3"/>
        <v>-5.7934627323146057E-3</v>
      </c>
      <c r="O129" s="1">
        <v>-5.7767129890475798E-3</v>
      </c>
    </row>
    <row r="130" spans="9:15" ht="14.25" customHeight="1" x14ac:dyDescent="0.2">
      <c r="I130" s="50" t="s">
        <v>180</v>
      </c>
      <c r="J130" s="81">
        <v>0.58356164379999997</v>
      </c>
      <c r="K130" s="55">
        <v>-5.419584740174851E-3</v>
      </c>
      <c r="M130" s="39">
        <f t="shared" si="2"/>
        <v>1.0031676682710111</v>
      </c>
      <c r="N130" s="1">
        <f t="shared" si="3"/>
        <v>-5.419584740174851E-3</v>
      </c>
      <c r="O130" s="1">
        <v>-5.4049252854717596E-3</v>
      </c>
    </row>
    <row r="131" spans="9:15" ht="14.25" customHeight="1" x14ac:dyDescent="0.2">
      <c r="I131" s="50" t="s">
        <v>180</v>
      </c>
      <c r="J131" s="81">
        <v>0.66301369860000003</v>
      </c>
      <c r="K131" s="55">
        <v>-5.0452260981644964E-3</v>
      </c>
      <c r="M131" s="39">
        <f t="shared" si="2"/>
        <v>1.0033506549522049</v>
      </c>
      <c r="N131" s="1">
        <f t="shared" si="3"/>
        <v>-5.0452260981644964E-3</v>
      </c>
      <c r="O131" s="1">
        <v>-5.0325203217926892E-3</v>
      </c>
    </row>
    <row r="132" spans="9:15" ht="14.25" customHeight="1" x14ac:dyDescent="0.2">
      <c r="I132" s="50" t="s">
        <v>180</v>
      </c>
      <c r="J132" s="81">
        <v>0.74794520549999999</v>
      </c>
      <c r="K132" s="55">
        <v>-4.6708215304153084E-3</v>
      </c>
      <c r="M132" s="39">
        <f t="shared" si="2"/>
        <v>1.0034996280178365</v>
      </c>
      <c r="N132" s="1">
        <f t="shared" si="3"/>
        <v>-4.6708215304153084E-3</v>
      </c>
      <c r="O132" s="1">
        <v>-4.6599302072714002E-3</v>
      </c>
    </row>
    <row r="133" spans="9:15" ht="14.25" customHeight="1" x14ac:dyDescent="0.2">
      <c r="I133" s="50" t="s">
        <v>180</v>
      </c>
      <c r="J133" s="81">
        <v>0.83561643839999999</v>
      </c>
      <c r="K133" s="55">
        <v>-4.6708631810178916E-3</v>
      </c>
      <c r="M133" s="39">
        <f t="shared" si="2"/>
        <v>1.0039106768748349</v>
      </c>
      <c r="N133" s="1">
        <f t="shared" si="3"/>
        <v>-4.6708631810178916E-3</v>
      </c>
      <c r="O133" s="1">
        <v>-4.65997166378407E-3</v>
      </c>
    </row>
    <row r="134" spans="9:15" ht="14.25" customHeight="1" x14ac:dyDescent="0.2">
      <c r="I134" s="50" t="s">
        <v>180</v>
      </c>
      <c r="J134" s="81">
        <v>0.91506849320000005</v>
      </c>
      <c r="K134" s="55">
        <v>-4.6707129940716805E-3</v>
      </c>
      <c r="M134" s="39">
        <f t="shared" si="2"/>
        <v>1.004283168961339</v>
      </c>
      <c r="N134" s="1">
        <f t="shared" si="3"/>
        <v>-4.6707129940716805E-3</v>
      </c>
      <c r="O134" s="1">
        <v>-4.6598221766934698E-3</v>
      </c>
    </row>
    <row r="135" spans="9:15" ht="14.25" customHeight="1" x14ac:dyDescent="0.2">
      <c r="I135" s="50" t="s">
        <v>180</v>
      </c>
      <c r="J135" s="81">
        <v>1.0082191781000001</v>
      </c>
      <c r="K135" s="55">
        <v>-4.6509500395228677E-3</v>
      </c>
      <c r="M135" s="39">
        <f t="shared" si="2"/>
        <v>1.0047001884215565</v>
      </c>
      <c r="N135" s="1">
        <f t="shared" si="3"/>
        <v>-4.6509500395228677E-3</v>
      </c>
      <c r="O135" s="1">
        <v>-4.6401511196202403E-3</v>
      </c>
    </row>
    <row r="136" spans="9:15" ht="14.25" customHeight="1" x14ac:dyDescent="0.2">
      <c r="I136" s="50" t="s">
        <v>180</v>
      </c>
      <c r="J136" s="81">
        <v>2.0027397260000002</v>
      </c>
      <c r="K136" s="55">
        <v>-3.4266100574387275E-3</v>
      </c>
      <c r="M136" s="39">
        <f t="shared" si="2"/>
        <v>1.0068862097411684</v>
      </c>
      <c r="N136" s="1">
        <f t="shared" si="3"/>
        <v>-3.4266100574387275E-3</v>
      </c>
      <c r="O136" s="1">
        <v>-3.4207459291349901E-3</v>
      </c>
    </row>
    <row r="137" spans="9:15" ht="14.25" customHeight="1" x14ac:dyDescent="0.2">
      <c r="I137" s="50" t="s">
        <v>180</v>
      </c>
      <c r="J137" s="81">
        <v>3.0027397260000002</v>
      </c>
      <c r="K137" s="55">
        <v>-3.7781814595989013E-3</v>
      </c>
      <c r="M137" s="39">
        <f t="shared" si="2"/>
        <v>1.0114094929408046</v>
      </c>
      <c r="N137" s="1">
        <f t="shared" si="3"/>
        <v>-3.7781814595989013E-3</v>
      </c>
      <c r="O137" s="1">
        <v>-3.7710531122504597E-3</v>
      </c>
    </row>
    <row r="138" spans="9:15" ht="14.25" customHeight="1" x14ac:dyDescent="0.2">
      <c r="I138" s="50" t="s">
        <v>180</v>
      </c>
      <c r="J138" s="81">
        <v>4.0027397259999997</v>
      </c>
      <c r="K138" s="55">
        <v>-2.9294069010304259E-3</v>
      </c>
      <c r="M138" s="39">
        <f t="shared" ref="M138:M156" si="4">1/(1+O138)^J138</f>
        <v>1.0117946683346299</v>
      </c>
      <c r="N138" s="1">
        <f t="shared" ref="N138:N156" si="5">+-LN(M138)/J138</f>
        <v>-2.9294069010304259E-3</v>
      </c>
      <c r="O138" s="1">
        <v>-2.9251203753154899E-3</v>
      </c>
    </row>
    <row r="139" spans="9:15" ht="14.25" customHeight="1" x14ac:dyDescent="0.2">
      <c r="I139" s="50" t="s">
        <v>180</v>
      </c>
      <c r="J139" s="81">
        <v>5.0027397259999997</v>
      </c>
      <c r="K139" s="55">
        <v>-1.8852607935086433E-3</v>
      </c>
      <c r="M139" s="39">
        <f t="shared" si="4"/>
        <v>1.009476085525866</v>
      </c>
      <c r="N139" s="1">
        <f t="shared" si="5"/>
        <v>-1.8852607935086433E-3</v>
      </c>
      <c r="O139" s="1">
        <v>-1.88348480562099E-3</v>
      </c>
    </row>
    <row r="140" spans="9:15" ht="14.25" customHeight="1" x14ac:dyDescent="0.2">
      <c r="I140" s="50" t="s">
        <v>180</v>
      </c>
      <c r="J140" s="81">
        <v>6.0136986301000004</v>
      </c>
      <c r="K140" s="55">
        <v>5.0771880884953032E-4</v>
      </c>
      <c r="M140" s="39">
        <f t="shared" si="4"/>
        <v>0.99695138857682819</v>
      </c>
      <c r="N140" s="1">
        <f t="shared" si="5"/>
        <v>5.0771880884953032E-4</v>
      </c>
      <c r="O140" s="1">
        <v>5.0784771985993595E-4</v>
      </c>
    </row>
    <row r="141" spans="9:15" ht="14.25" customHeight="1" x14ac:dyDescent="0.2">
      <c r="I141" s="50" t="s">
        <v>180</v>
      </c>
      <c r="J141" s="81">
        <v>7.0082191781000001</v>
      </c>
      <c r="K141" s="55">
        <v>2.5602901722886506E-3</v>
      </c>
      <c r="M141" s="39">
        <f t="shared" si="4"/>
        <v>0.98221694377392099</v>
      </c>
      <c r="N141" s="1">
        <f t="shared" si="5"/>
        <v>2.5602901722886506E-3</v>
      </c>
      <c r="O141" s="1">
        <v>2.5635705141166497E-3</v>
      </c>
    </row>
    <row r="142" spans="9:15" ht="14.25" customHeight="1" x14ac:dyDescent="0.2">
      <c r="I142" s="50" t="s">
        <v>180</v>
      </c>
      <c r="J142" s="81">
        <v>8.0054794520999994</v>
      </c>
      <c r="K142" s="55">
        <v>4.3333187558618081E-3</v>
      </c>
      <c r="M142" s="39">
        <f t="shared" si="4"/>
        <v>0.96590451611216666</v>
      </c>
      <c r="N142" s="1">
        <f t="shared" si="5"/>
        <v>4.3333187558618081E-3</v>
      </c>
      <c r="O142" s="1">
        <v>4.3427211578777707E-3</v>
      </c>
    </row>
    <row r="143" spans="9:15" ht="14.25" customHeight="1" x14ac:dyDescent="0.2">
      <c r="I143" s="50" t="s">
        <v>180</v>
      </c>
      <c r="J143" s="81">
        <v>9.0054794520999994</v>
      </c>
      <c r="K143" s="55">
        <v>5.9430412866446755E-3</v>
      </c>
      <c r="M143" s="39">
        <f t="shared" si="4"/>
        <v>0.94788704355936548</v>
      </c>
      <c r="N143" s="1">
        <f t="shared" si="5"/>
        <v>5.9430412866446755E-3</v>
      </c>
      <c r="O143" s="1">
        <v>5.9607361929975896E-3</v>
      </c>
    </row>
    <row r="144" spans="9:15" ht="14.25" customHeight="1" x14ac:dyDescent="0.2">
      <c r="I144" s="50" t="s">
        <v>180</v>
      </c>
      <c r="J144" s="81">
        <v>10.008219178099999</v>
      </c>
      <c r="K144" s="55">
        <v>7.6870606472663611E-3</v>
      </c>
      <c r="M144" s="39">
        <f t="shared" si="4"/>
        <v>0.92595116084658802</v>
      </c>
      <c r="N144" s="1">
        <f t="shared" si="5"/>
        <v>7.6870606472663611E-3</v>
      </c>
      <c r="O144" s="1">
        <v>7.7166819495671102E-3</v>
      </c>
    </row>
    <row r="145" spans="9:15" ht="14.25" customHeight="1" x14ac:dyDescent="0.2">
      <c r="I145" s="50" t="s">
        <v>180</v>
      </c>
      <c r="J145" s="81">
        <v>11.008219178099999</v>
      </c>
      <c r="K145" s="55">
        <v>9.1324457980593368E-3</v>
      </c>
      <c r="M145" s="39">
        <f t="shared" si="4"/>
        <v>0.90435620422533958</v>
      </c>
      <c r="N145" s="1">
        <f t="shared" si="5"/>
        <v>9.1324457980593368E-3</v>
      </c>
      <c r="O145" s="1">
        <v>9.1742738149232003E-3</v>
      </c>
    </row>
    <row r="146" spans="9:15" ht="14.25" customHeight="1" x14ac:dyDescent="0.2">
      <c r="I146" s="50" t="s">
        <v>180</v>
      </c>
      <c r="J146" s="81">
        <v>12.0164383562</v>
      </c>
      <c r="K146" s="55">
        <v>1.0592858727724195E-2</v>
      </c>
      <c r="M146" s="39">
        <f t="shared" si="4"/>
        <v>0.88047967576598996</v>
      </c>
      <c r="N146" s="1">
        <f t="shared" si="5"/>
        <v>1.0592858727724195E-2</v>
      </c>
      <c r="O146" s="1">
        <v>1.0649161683206501E-2</v>
      </c>
    </row>
    <row r="147" spans="9:15" ht="14.25" customHeight="1" x14ac:dyDescent="0.2">
      <c r="I147" s="50" t="s">
        <v>180</v>
      </c>
      <c r="J147" s="81">
        <v>13.010958904100001</v>
      </c>
      <c r="K147" s="55">
        <v>1.1706671673738765E-2</v>
      </c>
      <c r="M147" s="39">
        <f t="shared" si="4"/>
        <v>0.8587177213919176</v>
      </c>
      <c r="N147" s="1">
        <f t="shared" si="5"/>
        <v>1.1706671673738765E-2</v>
      </c>
      <c r="O147" s="1">
        <v>1.17754629313848E-2</v>
      </c>
    </row>
    <row r="148" spans="9:15" ht="14.25" customHeight="1" x14ac:dyDescent="0.2">
      <c r="I148" s="50" t="s">
        <v>180</v>
      </c>
      <c r="J148" s="81">
        <v>14.010958904100001</v>
      </c>
      <c r="K148" s="55">
        <v>1.2833406259298645E-2</v>
      </c>
      <c r="M148" s="39">
        <f t="shared" si="4"/>
        <v>0.83543032491911184</v>
      </c>
      <c r="N148" s="1">
        <f t="shared" si="5"/>
        <v>1.2833406259298645E-2</v>
      </c>
      <c r="O148" s="1">
        <v>1.29161078196395E-2</v>
      </c>
    </row>
    <row r="149" spans="9:15" ht="14.25" customHeight="1" x14ac:dyDescent="0.2">
      <c r="I149" s="50" t="s">
        <v>180</v>
      </c>
      <c r="J149" s="81">
        <v>15.010958904100001</v>
      </c>
      <c r="K149" s="55">
        <v>1.3975368725665948E-2</v>
      </c>
      <c r="M149" s="39">
        <f t="shared" si="4"/>
        <v>0.81075960597216057</v>
      </c>
      <c r="N149" s="1">
        <f t="shared" si="5"/>
        <v>1.3975368725665948E-2</v>
      </c>
      <c r="O149" s="1">
        <v>1.4073480708772498E-2</v>
      </c>
    </row>
    <row r="150" spans="9:15" ht="14.25" customHeight="1" x14ac:dyDescent="0.2">
      <c r="I150" s="50" t="s">
        <v>180</v>
      </c>
      <c r="J150" s="81">
        <v>16.010958904100001</v>
      </c>
      <c r="K150" s="55">
        <v>1.4546939720629979E-2</v>
      </c>
      <c r="M150" s="39">
        <f t="shared" si="4"/>
        <v>0.79222451084666734</v>
      </c>
      <c r="N150" s="1">
        <f t="shared" si="5"/>
        <v>1.4546939720629979E-2</v>
      </c>
      <c r="O150" s="1">
        <v>1.46532613742297E-2</v>
      </c>
    </row>
    <row r="151" spans="9:15" ht="14.25" customHeight="1" x14ac:dyDescent="0.2">
      <c r="I151" s="50" t="s">
        <v>180</v>
      </c>
      <c r="J151" s="81">
        <v>17.010958904100001</v>
      </c>
      <c r="K151" s="55">
        <v>1.5125531423674723E-2</v>
      </c>
      <c r="M151" s="39">
        <f t="shared" si="4"/>
        <v>0.77313639779009413</v>
      </c>
      <c r="N151" s="1">
        <f t="shared" si="5"/>
        <v>1.5125531423674723E-2</v>
      </c>
      <c r="O151" s="1">
        <v>1.5240501202391801E-2</v>
      </c>
    </row>
    <row r="152" spans="9:15" ht="14.25" customHeight="1" x14ac:dyDescent="0.2">
      <c r="I152" s="50" t="s">
        <v>180</v>
      </c>
      <c r="J152" s="81">
        <v>18.016438356199998</v>
      </c>
      <c r="K152" s="55">
        <v>1.5711415450283431E-2</v>
      </c>
      <c r="M152" s="39">
        <f t="shared" si="4"/>
        <v>0.75347175404999633</v>
      </c>
      <c r="N152" s="1">
        <f t="shared" si="5"/>
        <v>1.5711415450283431E-2</v>
      </c>
      <c r="O152" s="1">
        <v>1.5835488675020899E-2</v>
      </c>
    </row>
    <row r="153" spans="9:15" ht="14.25" customHeight="1" x14ac:dyDescent="0.2">
      <c r="I153" s="50" t="s">
        <v>180</v>
      </c>
      <c r="J153" s="81">
        <v>19.013698630099999</v>
      </c>
      <c r="K153" s="55">
        <v>1.6305885043037139E-2</v>
      </c>
      <c r="M153" s="39">
        <f t="shared" si="4"/>
        <v>0.73342115100327254</v>
      </c>
      <c r="N153" s="1">
        <f t="shared" si="5"/>
        <v>1.6305885043037139E-2</v>
      </c>
      <c r="O153" s="1">
        <v>1.6439551514984201E-2</v>
      </c>
    </row>
    <row r="154" spans="9:15" ht="14.25" customHeight="1" x14ac:dyDescent="0.2">
      <c r="I154" s="50" t="s">
        <v>180</v>
      </c>
      <c r="J154" s="81">
        <v>20.013698630099999</v>
      </c>
      <c r="K154" s="55">
        <v>1.6908859160920883E-2</v>
      </c>
      <c r="M154" s="39">
        <f t="shared" si="4"/>
        <v>0.71290378510488983</v>
      </c>
      <c r="N154" s="1">
        <f t="shared" si="5"/>
        <v>1.6908859160920883E-2</v>
      </c>
      <c r="O154" s="1">
        <v>1.7052623071506602E-2</v>
      </c>
    </row>
    <row r="155" spans="9:15" ht="14.25" customHeight="1" x14ac:dyDescent="0.2">
      <c r="I155" s="50" t="s">
        <v>180</v>
      </c>
      <c r="J155" s="81">
        <v>25.016438356199998</v>
      </c>
      <c r="K155" s="55">
        <v>1.8061813174557892E-2</v>
      </c>
      <c r="M155" s="39">
        <f t="shared" si="4"/>
        <v>0.63645457149876339</v>
      </c>
      <c r="N155" s="1">
        <f t="shared" si="5"/>
        <v>1.8061813174557892E-2</v>
      </c>
      <c r="O155" s="1">
        <v>1.8225914220755198E-2</v>
      </c>
    </row>
    <row r="156" spans="9:15" ht="14.25" customHeight="1" x14ac:dyDescent="0.2">
      <c r="I156" s="50" t="s">
        <v>180</v>
      </c>
      <c r="J156" s="81">
        <v>30.021917808200001</v>
      </c>
      <c r="K156" s="55">
        <v>1.8591210630723397E-2</v>
      </c>
      <c r="M156" s="39">
        <f t="shared" si="4"/>
        <v>0.57227032819119195</v>
      </c>
      <c r="N156" s="1">
        <f t="shared" si="5"/>
        <v>1.8591210630723397E-2</v>
      </c>
      <c r="O156" s="1">
        <v>1.8765103139573601E-2</v>
      </c>
    </row>
  </sheetData>
  <sheetProtection selectLockedCells="1"/>
  <dataValidations count="3">
    <dataValidation type="list" allowBlank="1" showInputMessage="1" showErrorMessage="1" errorTitle="¡Atención!" error="FX Rate no válido." sqref="D9:D1048576">
      <formula1>fxDefinition</formula1>
    </dataValidation>
    <dataValidation type="list" allowBlank="1" showInputMessage="1" showErrorMessage="1" errorTitle="¡Atención!" error="Debes ingresar una curva váida (debe estar ingresada en la hoja Datos Estaticos)." sqref="F9:G1048576">
      <formula1>curveDefinition</formula1>
    </dataValidation>
    <dataValidation type="list" allowBlank="1" showInputMessage="1" showErrorMessage="1" errorTitle="¡Atención!" error="Nombre de curva no válido." sqref="I9:I300 I361:I1048576">
      <formula1>curveDefinition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XFC2257"/>
  <sheetViews>
    <sheetView showGridLines="0" topLeftCell="C3" workbookViewId="0">
      <selection activeCell="D8" sqref="D8"/>
    </sheetView>
  </sheetViews>
  <sheetFormatPr baseColWidth="10" defaultColWidth="2.125" defaultRowHeight="14.25" outlineLevelRow="1" outlineLevelCol="1" x14ac:dyDescent="0.2"/>
  <cols>
    <col min="1" max="1" width="24" style="2" hidden="1" customWidth="1" outlineLevel="1"/>
    <col min="2" max="2" width="13.75" style="2" hidden="1" customWidth="1" outlineLevel="1"/>
    <col min="3" max="3" width="2.625" style="49" customWidth="1" collapsed="1"/>
    <col min="4" max="4" width="12.625" style="17" customWidth="1"/>
    <col min="5" max="5" width="9.125" style="17" customWidth="1"/>
    <col min="6" max="6" width="2.625" style="6" customWidth="1"/>
    <col min="7" max="7" width="12.625" style="17" customWidth="1"/>
    <col min="8" max="8" width="9.125" style="17" customWidth="1"/>
    <col min="9" max="9" width="2.625" style="6" customWidth="1"/>
    <col min="10" max="10" width="22.25" style="17" customWidth="1"/>
    <col min="11" max="11" width="9.125" style="17" customWidth="1"/>
    <col min="12" max="12" width="9.125" style="1" customWidth="1"/>
    <col min="13" max="13" width="2.625" style="1" customWidth="1"/>
    <col min="14" max="16384" width="2.125" style="1"/>
  </cols>
  <sheetData>
    <row r="1" spans="1:16383" s="2" customFormat="1" hidden="1" outlineLevel="1" x14ac:dyDescent="0.2">
      <c r="A1" s="3" t="str">
        <f ca="1">"'"&amp;nameOfThisSheet()</f>
        <v>'Model Parameters</v>
      </c>
      <c r="B1" s="3"/>
      <c r="C1" s="4"/>
      <c r="E1" s="7"/>
      <c r="F1" s="4"/>
      <c r="H1" s="7"/>
      <c r="I1" s="4"/>
    </row>
    <row r="2" spans="1:16383" s="2" customFormat="1" hidden="1" outlineLevel="1" x14ac:dyDescent="0.2">
      <c r="C2" s="4"/>
      <c r="F2" s="4"/>
      <c r="I2" s="4"/>
    </row>
    <row r="3" spans="1:16383" s="16" customFormat="1" ht="10.5" customHeight="1" collapsed="1" x14ac:dyDescent="0.2">
      <c r="A3" s="44"/>
      <c r="B3" s="44"/>
      <c r="C3" s="30"/>
      <c r="D3" s="57"/>
      <c r="E3" s="29"/>
      <c r="F3" s="29"/>
      <c r="G3" s="29"/>
      <c r="H3" s="29"/>
      <c r="I3" s="29"/>
      <c r="J3" s="29"/>
      <c r="K3" s="29"/>
      <c r="L3" s="29"/>
      <c r="M3" s="63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  <c r="FM3" s="42"/>
      <c r="FN3" s="42"/>
      <c r="FO3" s="42"/>
      <c r="FP3" s="42"/>
      <c r="FQ3" s="42"/>
      <c r="FR3" s="42"/>
      <c r="FS3" s="42"/>
      <c r="FT3" s="42"/>
      <c r="FU3" s="42"/>
      <c r="FV3" s="42"/>
      <c r="FW3" s="42"/>
      <c r="FX3" s="42"/>
      <c r="FY3" s="42"/>
      <c r="FZ3" s="42"/>
      <c r="GA3" s="42"/>
      <c r="GB3" s="42"/>
      <c r="GC3" s="42"/>
      <c r="GD3" s="42"/>
      <c r="GE3" s="42"/>
      <c r="GF3" s="42"/>
      <c r="GG3" s="42"/>
      <c r="GH3" s="42"/>
      <c r="GI3" s="42"/>
      <c r="GJ3" s="42"/>
      <c r="GK3" s="42"/>
      <c r="GL3" s="42"/>
      <c r="GM3" s="42"/>
      <c r="GN3" s="42"/>
      <c r="GO3" s="42"/>
      <c r="GP3" s="42"/>
      <c r="GQ3" s="42"/>
      <c r="GR3" s="42"/>
      <c r="GS3" s="42"/>
      <c r="GT3" s="42"/>
      <c r="GU3" s="42"/>
      <c r="GV3" s="42"/>
      <c r="GW3" s="42"/>
      <c r="GX3" s="42"/>
      <c r="GY3" s="42"/>
      <c r="GZ3" s="42"/>
      <c r="HA3" s="42"/>
      <c r="HB3" s="42"/>
      <c r="HC3" s="42"/>
      <c r="HD3" s="42"/>
      <c r="HE3" s="42"/>
      <c r="HF3" s="42"/>
      <c r="HG3" s="42"/>
      <c r="HH3" s="42"/>
      <c r="HI3" s="42"/>
      <c r="HJ3" s="42"/>
      <c r="HK3" s="42"/>
      <c r="HL3" s="42"/>
      <c r="HM3" s="42"/>
      <c r="HN3" s="42"/>
      <c r="HO3" s="42"/>
      <c r="HP3" s="42"/>
      <c r="HQ3" s="42"/>
      <c r="HR3" s="42"/>
      <c r="HS3" s="42"/>
      <c r="HT3" s="42"/>
      <c r="HU3" s="42"/>
      <c r="HV3" s="42"/>
      <c r="HW3" s="42"/>
      <c r="HX3" s="42"/>
      <c r="HY3" s="42"/>
      <c r="HZ3" s="42"/>
      <c r="IA3" s="42"/>
      <c r="IB3" s="42"/>
      <c r="IC3" s="42"/>
      <c r="ID3" s="42"/>
      <c r="IE3" s="42"/>
      <c r="IF3" s="42"/>
      <c r="IG3" s="42"/>
      <c r="IH3" s="42"/>
      <c r="II3" s="42"/>
      <c r="IJ3" s="42"/>
      <c r="IK3" s="42"/>
      <c r="IL3" s="42"/>
      <c r="IM3" s="42"/>
      <c r="IN3" s="42"/>
      <c r="IO3" s="42"/>
      <c r="IP3" s="42"/>
      <c r="IQ3" s="42"/>
      <c r="IR3" s="42"/>
      <c r="IS3" s="42"/>
      <c r="IT3" s="42"/>
      <c r="IU3" s="42"/>
      <c r="IV3" s="42"/>
      <c r="IW3" s="42"/>
      <c r="IX3" s="42"/>
      <c r="IY3" s="42"/>
      <c r="IZ3" s="42"/>
      <c r="JA3" s="42"/>
      <c r="JB3" s="42"/>
      <c r="JC3" s="42"/>
      <c r="JD3" s="42"/>
      <c r="JE3" s="42"/>
      <c r="JF3" s="42"/>
      <c r="JG3" s="42"/>
      <c r="JH3" s="42"/>
      <c r="JI3" s="42"/>
      <c r="JJ3" s="42"/>
      <c r="JK3" s="42"/>
      <c r="JL3" s="42"/>
      <c r="JM3" s="42"/>
      <c r="JN3" s="42"/>
      <c r="JO3" s="42"/>
      <c r="JP3" s="42"/>
      <c r="JQ3" s="42"/>
      <c r="JR3" s="42"/>
      <c r="JS3" s="42"/>
      <c r="JT3" s="42"/>
      <c r="JU3" s="42"/>
      <c r="JV3" s="42"/>
      <c r="JW3" s="42"/>
      <c r="JX3" s="42"/>
      <c r="JY3" s="42"/>
      <c r="JZ3" s="42"/>
      <c r="KA3" s="42"/>
      <c r="KB3" s="42"/>
      <c r="KC3" s="42"/>
      <c r="KD3" s="42"/>
      <c r="KE3" s="42"/>
      <c r="KF3" s="42"/>
      <c r="KG3" s="42"/>
      <c r="KH3" s="42"/>
      <c r="KI3" s="42"/>
      <c r="KJ3" s="42"/>
      <c r="KK3" s="42"/>
      <c r="KL3" s="42"/>
      <c r="KM3" s="42"/>
      <c r="KN3" s="42"/>
      <c r="KO3" s="42"/>
      <c r="KP3" s="42"/>
      <c r="KQ3" s="42"/>
      <c r="KR3" s="42"/>
      <c r="KS3" s="42"/>
      <c r="KT3" s="42"/>
      <c r="KU3" s="42"/>
      <c r="KV3" s="42"/>
      <c r="KW3" s="42"/>
      <c r="KX3" s="42"/>
      <c r="KY3" s="42"/>
      <c r="KZ3" s="42"/>
      <c r="LA3" s="42"/>
      <c r="LB3" s="42"/>
      <c r="LC3" s="42"/>
      <c r="LD3" s="42"/>
      <c r="LE3" s="42"/>
      <c r="LF3" s="42"/>
      <c r="LG3" s="42"/>
      <c r="LH3" s="42"/>
      <c r="LI3" s="42"/>
      <c r="LJ3" s="42"/>
      <c r="LK3" s="42"/>
      <c r="LL3" s="42"/>
      <c r="LM3" s="42"/>
      <c r="LN3" s="42"/>
      <c r="LO3" s="42"/>
      <c r="LP3" s="42"/>
      <c r="LQ3" s="42"/>
      <c r="LR3" s="42"/>
      <c r="LS3" s="42"/>
      <c r="LT3" s="42"/>
      <c r="LU3" s="42"/>
      <c r="LV3" s="42"/>
      <c r="LW3" s="42"/>
      <c r="LX3" s="42"/>
      <c r="LY3" s="42"/>
      <c r="LZ3" s="42"/>
      <c r="MA3" s="42"/>
      <c r="MB3" s="42"/>
      <c r="MC3" s="42"/>
      <c r="MD3" s="42"/>
      <c r="ME3" s="42"/>
      <c r="MF3" s="42"/>
      <c r="MG3" s="42"/>
      <c r="MH3" s="42"/>
      <c r="MI3" s="42"/>
      <c r="MJ3" s="42"/>
      <c r="MK3" s="42"/>
      <c r="ML3" s="42"/>
      <c r="MM3" s="42"/>
      <c r="MN3" s="42"/>
      <c r="MO3" s="42"/>
      <c r="MP3" s="42"/>
      <c r="MQ3" s="42"/>
      <c r="MR3" s="42"/>
      <c r="MS3" s="42"/>
      <c r="MT3" s="42"/>
      <c r="MU3" s="42"/>
      <c r="MV3" s="42"/>
      <c r="MW3" s="42"/>
      <c r="MX3" s="42"/>
      <c r="MY3" s="42"/>
      <c r="MZ3" s="42"/>
      <c r="NA3" s="42"/>
      <c r="NB3" s="42"/>
      <c r="NC3" s="42"/>
      <c r="ND3" s="42"/>
      <c r="NE3" s="42"/>
      <c r="NF3" s="42"/>
      <c r="NG3" s="42"/>
      <c r="NH3" s="42"/>
      <c r="NI3" s="42"/>
      <c r="NJ3" s="42"/>
      <c r="NK3" s="42"/>
      <c r="NL3" s="42"/>
      <c r="NM3" s="42"/>
      <c r="NN3" s="42"/>
      <c r="NO3" s="42"/>
      <c r="NP3" s="42"/>
      <c r="NQ3" s="42"/>
      <c r="NR3" s="42"/>
      <c r="NS3" s="42"/>
      <c r="NT3" s="42"/>
      <c r="NU3" s="42"/>
      <c r="NV3" s="42"/>
      <c r="NW3" s="42"/>
      <c r="NX3" s="42"/>
      <c r="NY3" s="42"/>
      <c r="NZ3" s="42"/>
      <c r="OA3" s="42"/>
      <c r="OB3" s="42"/>
      <c r="OC3" s="42"/>
      <c r="OD3" s="42"/>
      <c r="OE3" s="42"/>
      <c r="OF3" s="42"/>
      <c r="OG3" s="42"/>
      <c r="OH3" s="42"/>
      <c r="OI3" s="42"/>
      <c r="OJ3" s="42"/>
      <c r="OK3" s="42"/>
      <c r="OL3" s="42"/>
      <c r="OM3" s="42"/>
      <c r="ON3" s="42"/>
      <c r="OO3" s="42"/>
      <c r="OP3" s="42"/>
      <c r="OQ3" s="42"/>
      <c r="OR3" s="42"/>
      <c r="OS3" s="42"/>
      <c r="OT3" s="42"/>
      <c r="OU3" s="42"/>
      <c r="OV3" s="42"/>
      <c r="OW3" s="42"/>
      <c r="OX3" s="42"/>
      <c r="OY3" s="42"/>
      <c r="OZ3" s="42"/>
      <c r="PA3" s="42"/>
      <c r="PB3" s="42"/>
      <c r="PC3" s="42"/>
      <c r="PD3" s="42"/>
      <c r="PE3" s="42"/>
      <c r="PF3" s="42"/>
      <c r="PG3" s="42"/>
      <c r="PH3" s="42"/>
      <c r="PI3" s="42"/>
      <c r="PJ3" s="42"/>
      <c r="PK3" s="42"/>
      <c r="PL3" s="42"/>
      <c r="PM3" s="42"/>
      <c r="PN3" s="42"/>
      <c r="PO3" s="42"/>
      <c r="PP3" s="42"/>
      <c r="PQ3" s="42"/>
      <c r="PR3" s="42"/>
      <c r="PS3" s="42"/>
      <c r="PT3" s="42"/>
      <c r="PU3" s="42"/>
      <c r="PV3" s="42"/>
      <c r="PW3" s="42"/>
      <c r="PX3" s="42"/>
      <c r="PY3" s="42"/>
      <c r="PZ3" s="42"/>
      <c r="QA3" s="42"/>
      <c r="QB3" s="42"/>
      <c r="QC3" s="42"/>
      <c r="QD3" s="42"/>
      <c r="QE3" s="42"/>
      <c r="QF3" s="42"/>
      <c r="QG3" s="42"/>
      <c r="QH3" s="42"/>
      <c r="QI3" s="42"/>
      <c r="QJ3" s="42"/>
      <c r="QK3" s="42"/>
      <c r="QL3" s="42"/>
      <c r="QM3" s="42"/>
      <c r="QN3" s="42"/>
      <c r="QO3" s="42"/>
      <c r="QP3" s="42"/>
      <c r="QQ3" s="42"/>
      <c r="QR3" s="42"/>
      <c r="QS3" s="42"/>
      <c r="QT3" s="42"/>
      <c r="QU3" s="42"/>
      <c r="QV3" s="42"/>
      <c r="QW3" s="42"/>
      <c r="QX3" s="42"/>
      <c r="QY3" s="42"/>
      <c r="QZ3" s="42"/>
      <c r="RA3" s="42"/>
      <c r="RB3" s="42"/>
      <c r="RC3" s="42"/>
      <c r="RD3" s="42"/>
      <c r="RE3" s="42"/>
      <c r="RF3" s="42"/>
      <c r="RG3" s="42"/>
      <c r="RH3" s="42"/>
      <c r="RI3" s="42"/>
      <c r="RJ3" s="42"/>
      <c r="RK3" s="42"/>
      <c r="RL3" s="42"/>
      <c r="RM3" s="42"/>
      <c r="RN3" s="42"/>
      <c r="RO3" s="42"/>
      <c r="RP3" s="42"/>
      <c r="RQ3" s="42"/>
      <c r="RR3" s="42"/>
      <c r="RS3" s="42"/>
      <c r="RT3" s="42"/>
      <c r="RU3" s="42"/>
      <c r="RV3" s="42"/>
      <c r="RW3" s="42"/>
      <c r="RX3" s="42"/>
      <c r="RY3" s="42"/>
      <c r="RZ3" s="42"/>
      <c r="SA3" s="42"/>
      <c r="SB3" s="42"/>
      <c r="SC3" s="42"/>
      <c r="SD3" s="42"/>
      <c r="SE3" s="42"/>
      <c r="SF3" s="42"/>
      <c r="SG3" s="42"/>
      <c r="SH3" s="42"/>
      <c r="SI3" s="42"/>
      <c r="SJ3" s="42"/>
      <c r="SK3" s="42"/>
      <c r="SL3" s="42"/>
      <c r="SM3" s="42"/>
      <c r="SN3" s="42"/>
      <c r="SO3" s="42"/>
      <c r="SP3" s="42"/>
      <c r="SQ3" s="42"/>
      <c r="SR3" s="42"/>
      <c r="SS3" s="42"/>
      <c r="ST3" s="42"/>
      <c r="SU3" s="42"/>
      <c r="SV3" s="42"/>
      <c r="SW3" s="42"/>
      <c r="SX3" s="42"/>
      <c r="SY3" s="42"/>
      <c r="SZ3" s="42"/>
      <c r="TA3" s="42"/>
      <c r="TB3" s="42"/>
      <c r="TC3" s="42"/>
      <c r="TD3" s="42"/>
      <c r="TE3" s="42"/>
      <c r="TF3" s="42"/>
      <c r="TG3" s="42"/>
      <c r="TH3" s="42"/>
      <c r="TI3" s="42"/>
      <c r="TJ3" s="42"/>
      <c r="TK3" s="42"/>
      <c r="TL3" s="42"/>
      <c r="TM3" s="42"/>
      <c r="TN3" s="42"/>
      <c r="TO3" s="42"/>
      <c r="TP3" s="42"/>
      <c r="TQ3" s="42"/>
      <c r="TR3" s="42"/>
      <c r="TS3" s="42"/>
      <c r="TT3" s="42"/>
      <c r="TU3" s="42"/>
      <c r="TV3" s="42"/>
      <c r="TW3" s="42"/>
      <c r="TX3" s="42"/>
      <c r="TY3" s="42"/>
      <c r="TZ3" s="42"/>
      <c r="UA3" s="42"/>
      <c r="UB3" s="42"/>
      <c r="UC3" s="42"/>
      <c r="UD3" s="42"/>
      <c r="UE3" s="42"/>
      <c r="UF3" s="42"/>
      <c r="UG3" s="42"/>
      <c r="UH3" s="42"/>
      <c r="UI3" s="42"/>
      <c r="UJ3" s="42"/>
      <c r="UK3" s="42"/>
      <c r="UL3" s="42"/>
      <c r="UM3" s="42"/>
      <c r="UN3" s="42"/>
      <c r="UO3" s="42"/>
      <c r="UP3" s="42"/>
      <c r="UQ3" s="42"/>
      <c r="UR3" s="42"/>
      <c r="US3" s="42"/>
      <c r="UT3" s="42"/>
      <c r="UU3" s="42"/>
      <c r="UV3" s="42"/>
      <c r="UW3" s="42"/>
      <c r="UX3" s="42"/>
      <c r="UY3" s="42"/>
      <c r="UZ3" s="42"/>
      <c r="VA3" s="42"/>
      <c r="VB3" s="42"/>
      <c r="VC3" s="42"/>
      <c r="VD3" s="42"/>
      <c r="VE3" s="42"/>
      <c r="VF3" s="42"/>
      <c r="VG3" s="42"/>
      <c r="VH3" s="42"/>
      <c r="VI3" s="42"/>
      <c r="VJ3" s="42"/>
      <c r="VK3" s="42"/>
      <c r="VL3" s="42"/>
      <c r="VM3" s="42"/>
      <c r="VN3" s="42"/>
      <c r="VO3" s="42"/>
      <c r="VP3" s="42"/>
      <c r="VQ3" s="42"/>
      <c r="VR3" s="42"/>
      <c r="VS3" s="42"/>
      <c r="VT3" s="42"/>
      <c r="VU3" s="42"/>
      <c r="VV3" s="42"/>
      <c r="VW3" s="42"/>
      <c r="VX3" s="42"/>
      <c r="VY3" s="42"/>
      <c r="VZ3" s="42"/>
      <c r="WA3" s="42"/>
      <c r="WB3" s="42"/>
      <c r="WC3" s="42"/>
      <c r="WD3" s="42"/>
      <c r="WE3" s="42"/>
      <c r="WF3" s="42"/>
      <c r="WG3" s="42"/>
      <c r="WH3" s="42"/>
      <c r="WI3" s="42"/>
      <c r="WJ3" s="42"/>
      <c r="WK3" s="42"/>
      <c r="WL3" s="42"/>
      <c r="WM3" s="42"/>
      <c r="WN3" s="42"/>
      <c r="WO3" s="42"/>
      <c r="WP3" s="42"/>
      <c r="WQ3" s="42"/>
      <c r="WR3" s="42"/>
      <c r="WS3" s="42"/>
      <c r="WT3" s="42"/>
      <c r="WU3" s="42"/>
      <c r="WV3" s="42"/>
      <c r="WW3" s="42"/>
      <c r="WX3" s="42"/>
      <c r="WY3" s="42"/>
      <c r="WZ3" s="42"/>
      <c r="XA3" s="42"/>
      <c r="XB3" s="42"/>
      <c r="XC3" s="42"/>
      <c r="XD3" s="42"/>
      <c r="XE3" s="42"/>
      <c r="XF3" s="42"/>
      <c r="XG3" s="42"/>
      <c r="XH3" s="42"/>
      <c r="XI3" s="42"/>
      <c r="XJ3" s="42"/>
      <c r="XK3" s="42"/>
      <c r="XL3" s="42"/>
      <c r="XM3" s="42"/>
      <c r="XN3" s="42"/>
      <c r="XO3" s="42"/>
      <c r="XP3" s="42"/>
      <c r="XQ3" s="42"/>
      <c r="XR3" s="42"/>
      <c r="XS3" s="42"/>
      <c r="XT3" s="42"/>
      <c r="XU3" s="42"/>
      <c r="XV3" s="42"/>
      <c r="XW3" s="42"/>
      <c r="XX3" s="42"/>
      <c r="XY3" s="42"/>
      <c r="XZ3" s="42"/>
      <c r="YA3" s="42"/>
      <c r="YB3" s="42"/>
      <c r="YC3" s="42"/>
      <c r="YD3" s="42"/>
      <c r="YE3" s="42"/>
      <c r="YF3" s="42"/>
      <c r="YG3" s="42"/>
      <c r="YH3" s="42"/>
      <c r="YI3" s="42"/>
      <c r="YJ3" s="42"/>
      <c r="YK3" s="42"/>
      <c r="YL3" s="42"/>
      <c r="YM3" s="42"/>
      <c r="YN3" s="42"/>
      <c r="YO3" s="42"/>
      <c r="YP3" s="42"/>
      <c r="YQ3" s="42"/>
      <c r="YR3" s="42"/>
      <c r="YS3" s="42"/>
      <c r="YT3" s="42"/>
      <c r="YU3" s="42"/>
      <c r="YV3" s="42"/>
      <c r="YW3" s="42"/>
      <c r="YX3" s="42"/>
      <c r="YY3" s="42"/>
      <c r="YZ3" s="42"/>
      <c r="ZA3" s="42"/>
      <c r="ZB3" s="42"/>
      <c r="ZC3" s="42"/>
      <c r="ZD3" s="42"/>
      <c r="ZE3" s="42"/>
      <c r="ZF3" s="42"/>
      <c r="ZG3" s="42"/>
      <c r="ZH3" s="42"/>
      <c r="ZI3" s="42"/>
      <c r="ZJ3" s="42"/>
      <c r="ZK3" s="42"/>
      <c r="ZL3" s="42"/>
      <c r="ZM3" s="42"/>
      <c r="ZN3" s="42"/>
      <c r="ZO3" s="42"/>
      <c r="ZP3" s="42"/>
      <c r="ZQ3" s="42"/>
      <c r="ZR3" s="42"/>
      <c r="ZS3" s="42"/>
      <c r="ZT3" s="42"/>
      <c r="ZU3" s="42"/>
      <c r="ZV3" s="42"/>
      <c r="ZW3" s="42"/>
      <c r="ZX3" s="42"/>
      <c r="ZY3" s="42"/>
      <c r="ZZ3" s="42"/>
      <c r="AAA3" s="42"/>
      <c r="AAB3" s="42"/>
      <c r="AAC3" s="42"/>
      <c r="AAD3" s="42"/>
      <c r="AAE3" s="42"/>
      <c r="AAF3" s="42"/>
      <c r="AAG3" s="42"/>
      <c r="AAH3" s="42"/>
      <c r="AAI3" s="42"/>
      <c r="AAJ3" s="42"/>
      <c r="AAK3" s="42"/>
      <c r="AAL3" s="42"/>
      <c r="AAM3" s="42"/>
      <c r="AAN3" s="42"/>
      <c r="AAO3" s="42"/>
      <c r="AAP3" s="42"/>
      <c r="AAQ3" s="42"/>
      <c r="AAR3" s="42"/>
      <c r="AAS3" s="42"/>
      <c r="AAT3" s="42"/>
      <c r="AAU3" s="42"/>
      <c r="AAV3" s="42"/>
      <c r="AAW3" s="42"/>
      <c r="AAX3" s="42"/>
      <c r="AAY3" s="42"/>
      <c r="AAZ3" s="42"/>
      <c r="ABA3" s="42"/>
      <c r="ABB3" s="42"/>
      <c r="ABC3" s="42"/>
      <c r="ABD3" s="42"/>
      <c r="ABE3" s="42"/>
      <c r="ABF3" s="42"/>
      <c r="ABG3" s="42"/>
      <c r="ABH3" s="42"/>
      <c r="ABI3" s="42"/>
      <c r="ABJ3" s="42"/>
      <c r="ABK3" s="42"/>
      <c r="ABL3" s="42"/>
      <c r="ABM3" s="42"/>
      <c r="ABN3" s="42"/>
      <c r="ABO3" s="42"/>
      <c r="ABP3" s="42"/>
      <c r="ABQ3" s="42"/>
      <c r="ABR3" s="42"/>
      <c r="ABS3" s="42"/>
      <c r="ABT3" s="42"/>
      <c r="ABU3" s="42"/>
      <c r="ABV3" s="42"/>
      <c r="ABW3" s="42"/>
      <c r="ABX3" s="42"/>
      <c r="ABY3" s="42"/>
      <c r="ABZ3" s="42"/>
      <c r="ACA3" s="42"/>
      <c r="ACB3" s="42"/>
      <c r="ACC3" s="42"/>
      <c r="ACD3" s="42"/>
      <c r="ACE3" s="42"/>
      <c r="ACF3" s="42"/>
      <c r="ACG3" s="42"/>
      <c r="ACH3" s="42"/>
      <c r="ACI3" s="42"/>
      <c r="ACJ3" s="42"/>
      <c r="ACK3" s="42"/>
      <c r="ACL3" s="42"/>
      <c r="ACM3" s="42"/>
      <c r="ACN3" s="42"/>
      <c r="ACO3" s="42"/>
      <c r="ACP3" s="42"/>
      <c r="ACQ3" s="42"/>
      <c r="ACR3" s="42"/>
      <c r="ACS3" s="42"/>
      <c r="ACT3" s="42"/>
      <c r="ACU3" s="42"/>
      <c r="ACV3" s="42"/>
      <c r="ACW3" s="42"/>
      <c r="ACX3" s="42"/>
      <c r="ACY3" s="42"/>
      <c r="ACZ3" s="42"/>
      <c r="ADA3" s="42"/>
      <c r="ADB3" s="42"/>
      <c r="ADC3" s="42"/>
      <c r="ADD3" s="42"/>
      <c r="ADE3" s="42"/>
      <c r="ADF3" s="42"/>
      <c r="ADG3" s="42"/>
      <c r="ADH3" s="42"/>
      <c r="ADI3" s="42"/>
      <c r="ADJ3" s="42"/>
      <c r="ADK3" s="42"/>
      <c r="ADL3" s="42"/>
      <c r="ADM3" s="42"/>
      <c r="ADN3" s="42"/>
      <c r="ADO3" s="42"/>
      <c r="ADP3" s="42"/>
      <c r="ADQ3" s="42"/>
      <c r="ADR3" s="42"/>
      <c r="ADS3" s="42"/>
      <c r="ADT3" s="42"/>
      <c r="ADU3" s="42"/>
      <c r="ADV3" s="42"/>
      <c r="ADW3" s="42"/>
      <c r="ADX3" s="42"/>
      <c r="ADY3" s="42"/>
      <c r="ADZ3" s="42"/>
      <c r="AEA3" s="42"/>
      <c r="AEB3" s="42"/>
      <c r="AEC3" s="42"/>
      <c r="AED3" s="42"/>
      <c r="AEE3" s="42"/>
      <c r="AEF3" s="42"/>
      <c r="AEG3" s="42"/>
      <c r="AEH3" s="42"/>
      <c r="AEI3" s="42"/>
      <c r="AEJ3" s="42"/>
      <c r="AEK3" s="42"/>
      <c r="AEL3" s="42"/>
      <c r="AEM3" s="42"/>
      <c r="AEN3" s="42"/>
      <c r="AEO3" s="42"/>
      <c r="AEP3" s="42"/>
      <c r="AEQ3" s="42"/>
      <c r="AER3" s="42"/>
      <c r="AES3" s="42"/>
      <c r="AET3" s="42"/>
      <c r="AEU3" s="42"/>
      <c r="AEV3" s="42"/>
      <c r="AEW3" s="42"/>
      <c r="AEX3" s="42"/>
      <c r="AEY3" s="42"/>
      <c r="AEZ3" s="42"/>
      <c r="AFA3" s="42"/>
      <c r="AFB3" s="42"/>
      <c r="AFC3" s="42"/>
      <c r="AFD3" s="42"/>
      <c r="AFE3" s="42"/>
      <c r="AFF3" s="42"/>
      <c r="AFG3" s="42"/>
      <c r="AFH3" s="42"/>
      <c r="AFI3" s="42"/>
      <c r="AFJ3" s="42"/>
      <c r="AFK3" s="42"/>
      <c r="AFL3" s="42"/>
      <c r="AFM3" s="42"/>
      <c r="AFN3" s="42"/>
      <c r="AFO3" s="42"/>
      <c r="AFP3" s="42"/>
      <c r="AFQ3" s="42"/>
      <c r="AFR3" s="42"/>
      <c r="AFS3" s="42"/>
      <c r="AFT3" s="42"/>
      <c r="AFU3" s="42"/>
      <c r="AFV3" s="42"/>
      <c r="AFW3" s="42"/>
      <c r="AFX3" s="42"/>
      <c r="AFY3" s="42"/>
      <c r="AFZ3" s="42"/>
      <c r="AGA3" s="42"/>
      <c r="AGB3" s="42"/>
      <c r="AGC3" s="42"/>
      <c r="AGD3" s="42"/>
      <c r="AGE3" s="42"/>
      <c r="AGF3" s="42"/>
      <c r="AGG3" s="42"/>
      <c r="AGH3" s="42"/>
      <c r="AGI3" s="42"/>
      <c r="AGJ3" s="42"/>
      <c r="AGK3" s="42"/>
      <c r="AGL3" s="42"/>
      <c r="AGM3" s="42"/>
      <c r="AGN3" s="42"/>
      <c r="AGO3" s="42"/>
      <c r="AGP3" s="42"/>
      <c r="AGQ3" s="42"/>
      <c r="AGR3" s="42"/>
      <c r="AGS3" s="42"/>
      <c r="AGT3" s="42"/>
      <c r="AGU3" s="42"/>
      <c r="AGV3" s="42"/>
      <c r="AGW3" s="42"/>
      <c r="AGX3" s="42"/>
      <c r="AGY3" s="42"/>
      <c r="AGZ3" s="42"/>
      <c r="AHA3" s="42"/>
      <c r="AHB3" s="42"/>
      <c r="AHC3" s="42"/>
      <c r="AHD3" s="42"/>
      <c r="AHE3" s="42"/>
      <c r="AHF3" s="42"/>
      <c r="AHG3" s="42"/>
      <c r="AHH3" s="42"/>
      <c r="AHI3" s="42"/>
      <c r="AHJ3" s="42"/>
      <c r="AHK3" s="42"/>
      <c r="AHL3" s="42"/>
      <c r="AHM3" s="42"/>
      <c r="AHN3" s="42"/>
      <c r="AHO3" s="42"/>
      <c r="AHP3" s="42"/>
      <c r="AHQ3" s="42"/>
      <c r="AHR3" s="42"/>
      <c r="AHS3" s="42"/>
      <c r="AHT3" s="42"/>
      <c r="AHU3" s="42"/>
      <c r="AHV3" s="42"/>
      <c r="AHW3" s="42"/>
      <c r="AHX3" s="42"/>
      <c r="AHY3" s="42"/>
      <c r="AHZ3" s="42"/>
      <c r="AIA3" s="42"/>
      <c r="AIB3" s="42"/>
      <c r="AIC3" s="42"/>
      <c r="AID3" s="42"/>
      <c r="AIE3" s="42"/>
      <c r="AIF3" s="42"/>
      <c r="AIG3" s="42"/>
      <c r="AIH3" s="42"/>
      <c r="AII3" s="42"/>
      <c r="AIJ3" s="42"/>
      <c r="AIK3" s="42"/>
      <c r="AIL3" s="42"/>
      <c r="AIM3" s="42"/>
      <c r="AIN3" s="42"/>
      <c r="AIO3" s="42"/>
      <c r="AIP3" s="42"/>
      <c r="AIQ3" s="42"/>
      <c r="AIR3" s="42"/>
      <c r="AIS3" s="42"/>
      <c r="AIT3" s="42"/>
      <c r="AIU3" s="42"/>
      <c r="AIV3" s="42"/>
      <c r="AIW3" s="42"/>
      <c r="AIX3" s="42"/>
      <c r="AIY3" s="42"/>
      <c r="AIZ3" s="42"/>
      <c r="AJA3" s="42"/>
      <c r="AJB3" s="42"/>
      <c r="AJC3" s="42"/>
      <c r="AJD3" s="42"/>
      <c r="AJE3" s="42"/>
      <c r="AJF3" s="42"/>
      <c r="AJG3" s="42"/>
      <c r="AJH3" s="42"/>
      <c r="AJI3" s="42"/>
      <c r="AJJ3" s="42"/>
      <c r="AJK3" s="42"/>
      <c r="AJL3" s="42"/>
      <c r="AJM3" s="42"/>
      <c r="AJN3" s="42"/>
      <c r="AJO3" s="42"/>
      <c r="AJP3" s="42"/>
      <c r="AJQ3" s="42"/>
      <c r="AJR3" s="42"/>
      <c r="AJS3" s="42"/>
      <c r="AJT3" s="42"/>
      <c r="AJU3" s="42"/>
      <c r="AJV3" s="42"/>
      <c r="AJW3" s="42"/>
      <c r="AJX3" s="42"/>
      <c r="AJY3" s="42"/>
      <c r="AJZ3" s="42"/>
      <c r="AKA3" s="42"/>
      <c r="AKB3" s="42"/>
      <c r="AKC3" s="42"/>
      <c r="AKD3" s="42"/>
      <c r="AKE3" s="42"/>
      <c r="AKF3" s="42"/>
      <c r="AKG3" s="42"/>
      <c r="AKH3" s="42"/>
      <c r="AKI3" s="42"/>
      <c r="AKJ3" s="42"/>
      <c r="AKK3" s="42"/>
      <c r="AKL3" s="42"/>
      <c r="AKM3" s="42"/>
      <c r="AKN3" s="42"/>
      <c r="AKO3" s="42"/>
      <c r="AKP3" s="42"/>
      <c r="AKQ3" s="42"/>
      <c r="AKR3" s="42"/>
      <c r="AKS3" s="42"/>
      <c r="AKT3" s="42"/>
      <c r="AKU3" s="42"/>
      <c r="AKV3" s="42"/>
      <c r="AKW3" s="42"/>
      <c r="AKX3" s="42"/>
      <c r="AKY3" s="42"/>
      <c r="AKZ3" s="42"/>
      <c r="ALA3" s="42"/>
      <c r="ALB3" s="42"/>
      <c r="ALC3" s="42"/>
      <c r="ALD3" s="42"/>
      <c r="ALE3" s="42"/>
      <c r="ALF3" s="42"/>
      <c r="ALG3" s="42"/>
      <c r="ALH3" s="42"/>
      <c r="ALI3" s="42"/>
      <c r="ALJ3" s="42"/>
      <c r="ALK3" s="42"/>
      <c r="ALL3" s="42"/>
      <c r="ALM3" s="42"/>
      <c r="ALN3" s="42"/>
      <c r="ALO3" s="42"/>
      <c r="ALP3" s="42"/>
      <c r="ALQ3" s="42"/>
      <c r="ALR3" s="42"/>
      <c r="ALS3" s="42"/>
      <c r="ALT3" s="42"/>
      <c r="ALU3" s="42"/>
      <c r="ALV3" s="42"/>
      <c r="ALW3" s="42"/>
      <c r="ALX3" s="42"/>
      <c r="ALY3" s="42"/>
      <c r="ALZ3" s="42"/>
      <c r="AMA3" s="42"/>
      <c r="AMB3" s="42"/>
      <c r="AMC3" s="42"/>
      <c r="AMD3" s="42"/>
      <c r="AME3" s="42"/>
      <c r="AMF3" s="42"/>
      <c r="AMG3" s="42"/>
      <c r="AMH3" s="42"/>
      <c r="AMI3" s="42"/>
      <c r="AMJ3" s="42"/>
      <c r="AMK3" s="42"/>
      <c r="AML3" s="42"/>
      <c r="AMM3" s="42"/>
      <c r="AMN3" s="42"/>
      <c r="AMO3" s="42"/>
      <c r="AMP3" s="42"/>
      <c r="AMQ3" s="42"/>
      <c r="AMR3" s="42"/>
      <c r="AMS3" s="42"/>
      <c r="AMT3" s="42"/>
      <c r="AMU3" s="42"/>
      <c r="AMV3" s="42"/>
      <c r="AMW3" s="42"/>
      <c r="AMX3" s="42"/>
      <c r="AMY3" s="42"/>
      <c r="AMZ3" s="42"/>
      <c r="ANA3" s="42"/>
      <c r="ANB3" s="42"/>
      <c r="ANC3" s="42"/>
      <c r="AND3" s="42"/>
      <c r="ANE3" s="42"/>
      <c r="ANF3" s="42"/>
      <c r="ANG3" s="42"/>
      <c r="ANH3" s="42"/>
      <c r="ANI3" s="42"/>
      <c r="ANJ3" s="42"/>
      <c r="ANK3" s="42"/>
      <c r="ANL3" s="42"/>
      <c r="ANM3" s="42"/>
      <c r="ANN3" s="42"/>
      <c r="ANO3" s="42"/>
      <c r="ANP3" s="42"/>
      <c r="ANQ3" s="42"/>
      <c r="ANR3" s="42"/>
      <c r="ANS3" s="42"/>
      <c r="ANT3" s="42"/>
      <c r="ANU3" s="42"/>
      <c r="ANV3" s="42"/>
      <c r="ANW3" s="42"/>
      <c r="ANX3" s="42"/>
      <c r="ANY3" s="42"/>
      <c r="ANZ3" s="42"/>
      <c r="AOA3" s="42"/>
      <c r="AOB3" s="42"/>
      <c r="AOC3" s="42"/>
      <c r="AOD3" s="42"/>
      <c r="AOE3" s="42"/>
      <c r="AOF3" s="42"/>
      <c r="AOG3" s="42"/>
      <c r="AOH3" s="42"/>
      <c r="AOI3" s="42"/>
      <c r="AOJ3" s="42"/>
      <c r="AOK3" s="42"/>
      <c r="AOL3" s="42"/>
      <c r="AOM3" s="42"/>
      <c r="AON3" s="42"/>
      <c r="AOO3" s="42"/>
      <c r="AOP3" s="42"/>
      <c r="AOQ3" s="42"/>
      <c r="AOR3" s="42"/>
      <c r="AOS3" s="42"/>
      <c r="AOT3" s="42"/>
      <c r="AOU3" s="42"/>
      <c r="AOV3" s="42"/>
      <c r="AOW3" s="42"/>
      <c r="AOX3" s="42"/>
      <c r="AOY3" s="42"/>
      <c r="AOZ3" s="42"/>
      <c r="APA3" s="42"/>
      <c r="APB3" s="42"/>
      <c r="APC3" s="42"/>
      <c r="APD3" s="42"/>
      <c r="APE3" s="42"/>
      <c r="APF3" s="42"/>
      <c r="APG3" s="42"/>
      <c r="APH3" s="42"/>
      <c r="API3" s="42"/>
      <c r="APJ3" s="42"/>
      <c r="APK3" s="42"/>
      <c r="APL3" s="42"/>
      <c r="APM3" s="42"/>
      <c r="APN3" s="42"/>
      <c r="APO3" s="42"/>
      <c r="APP3" s="42"/>
      <c r="APQ3" s="42"/>
      <c r="APR3" s="42"/>
      <c r="APS3" s="42"/>
      <c r="APT3" s="42"/>
      <c r="APU3" s="42"/>
      <c r="APV3" s="42"/>
      <c r="APW3" s="42"/>
      <c r="APX3" s="42"/>
      <c r="APY3" s="42"/>
      <c r="APZ3" s="42"/>
      <c r="AQA3" s="42"/>
      <c r="AQB3" s="42"/>
      <c r="AQC3" s="42"/>
      <c r="AQD3" s="42"/>
      <c r="AQE3" s="42"/>
      <c r="AQF3" s="42"/>
      <c r="AQG3" s="42"/>
      <c r="AQH3" s="42"/>
      <c r="AQI3" s="42"/>
      <c r="AQJ3" s="42"/>
      <c r="AQK3" s="42"/>
      <c r="AQL3" s="42"/>
      <c r="AQM3" s="42"/>
      <c r="AQN3" s="42"/>
      <c r="AQO3" s="42"/>
      <c r="AQP3" s="42"/>
      <c r="AQQ3" s="42"/>
      <c r="AQR3" s="42"/>
      <c r="AQS3" s="42"/>
      <c r="AQT3" s="42"/>
      <c r="AQU3" s="42"/>
      <c r="AQV3" s="42"/>
      <c r="AQW3" s="42"/>
      <c r="AQX3" s="42"/>
      <c r="AQY3" s="42"/>
      <c r="AQZ3" s="42"/>
      <c r="ARA3" s="42"/>
      <c r="ARB3" s="42"/>
      <c r="ARC3" s="42"/>
      <c r="ARD3" s="42"/>
      <c r="ARE3" s="42"/>
      <c r="ARF3" s="42"/>
      <c r="ARG3" s="42"/>
      <c r="ARH3" s="42"/>
      <c r="ARI3" s="42"/>
      <c r="ARJ3" s="42"/>
      <c r="ARK3" s="42"/>
      <c r="ARL3" s="42"/>
      <c r="ARM3" s="42"/>
      <c r="ARN3" s="42"/>
      <c r="ARO3" s="42"/>
      <c r="ARP3" s="42"/>
      <c r="ARQ3" s="42"/>
      <c r="ARR3" s="42"/>
      <c r="ARS3" s="42"/>
      <c r="ART3" s="42"/>
      <c r="ARU3" s="42"/>
      <c r="ARV3" s="42"/>
      <c r="ARW3" s="42"/>
      <c r="ARX3" s="42"/>
      <c r="ARY3" s="42"/>
      <c r="ARZ3" s="42"/>
      <c r="ASA3" s="42"/>
      <c r="ASB3" s="42"/>
      <c r="ASC3" s="42"/>
      <c r="ASD3" s="42"/>
      <c r="ASE3" s="42"/>
      <c r="ASF3" s="42"/>
      <c r="ASG3" s="42"/>
      <c r="ASH3" s="42"/>
      <c r="ASI3" s="42"/>
      <c r="ASJ3" s="42"/>
      <c r="ASK3" s="42"/>
      <c r="ASL3" s="42"/>
      <c r="ASM3" s="42"/>
      <c r="ASN3" s="42"/>
      <c r="ASO3" s="42"/>
      <c r="ASP3" s="42"/>
      <c r="ASQ3" s="42"/>
      <c r="ASR3" s="42"/>
      <c r="ASS3" s="42"/>
      <c r="AST3" s="42"/>
      <c r="ASU3" s="42"/>
      <c r="ASV3" s="42"/>
      <c r="ASW3" s="42"/>
      <c r="ASX3" s="42"/>
      <c r="ASY3" s="42"/>
      <c r="ASZ3" s="42"/>
      <c r="ATA3" s="42"/>
      <c r="ATB3" s="42"/>
      <c r="ATC3" s="42"/>
      <c r="ATD3" s="42"/>
      <c r="ATE3" s="42"/>
      <c r="ATF3" s="42"/>
      <c r="ATG3" s="42"/>
      <c r="ATH3" s="42"/>
      <c r="ATI3" s="42"/>
      <c r="ATJ3" s="42"/>
      <c r="ATK3" s="42"/>
      <c r="ATL3" s="42"/>
      <c r="ATM3" s="42"/>
      <c r="ATN3" s="42"/>
      <c r="ATO3" s="42"/>
      <c r="ATP3" s="42"/>
      <c r="ATQ3" s="42"/>
      <c r="ATR3" s="42"/>
      <c r="ATS3" s="42"/>
      <c r="ATT3" s="42"/>
      <c r="ATU3" s="42"/>
      <c r="ATV3" s="42"/>
      <c r="ATW3" s="42"/>
      <c r="ATX3" s="42"/>
      <c r="ATY3" s="42"/>
      <c r="ATZ3" s="42"/>
      <c r="AUA3" s="42"/>
      <c r="AUB3" s="42"/>
      <c r="AUC3" s="42"/>
      <c r="AUD3" s="42"/>
      <c r="AUE3" s="42"/>
      <c r="AUF3" s="42"/>
      <c r="AUG3" s="42"/>
      <c r="AUH3" s="42"/>
      <c r="AUI3" s="42"/>
      <c r="AUJ3" s="42"/>
      <c r="AUK3" s="42"/>
      <c r="AUL3" s="42"/>
      <c r="AUM3" s="42"/>
      <c r="AUN3" s="42"/>
      <c r="AUO3" s="42"/>
      <c r="AUP3" s="42"/>
      <c r="AUQ3" s="42"/>
      <c r="AUR3" s="42"/>
      <c r="AUS3" s="42"/>
      <c r="AUT3" s="42"/>
      <c r="AUU3" s="42"/>
      <c r="AUV3" s="42"/>
      <c r="AUW3" s="42"/>
      <c r="AUX3" s="42"/>
      <c r="AUY3" s="42"/>
      <c r="AUZ3" s="42"/>
      <c r="AVA3" s="42"/>
      <c r="AVB3" s="42"/>
      <c r="AVC3" s="42"/>
      <c r="AVD3" s="42"/>
      <c r="AVE3" s="42"/>
      <c r="AVF3" s="42"/>
      <c r="AVG3" s="42"/>
      <c r="AVH3" s="42"/>
      <c r="AVI3" s="42"/>
      <c r="AVJ3" s="42"/>
      <c r="AVK3" s="42"/>
      <c r="AVL3" s="42"/>
      <c r="AVM3" s="42"/>
      <c r="AVN3" s="42"/>
      <c r="AVO3" s="42"/>
      <c r="AVP3" s="42"/>
      <c r="AVQ3" s="42"/>
      <c r="AVR3" s="42"/>
      <c r="AVS3" s="42"/>
      <c r="AVT3" s="42"/>
      <c r="AVU3" s="42"/>
      <c r="AVV3" s="42"/>
      <c r="AVW3" s="42"/>
      <c r="AVX3" s="42"/>
      <c r="AVY3" s="42"/>
      <c r="AVZ3" s="42"/>
      <c r="AWA3" s="42"/>
      <c r="AWB3" s="42"/>
      <c r="AWC3" s="42"/>
      <c r="AWD3" s="42"/>
      <c r="AWE3" s="42"/>
      <c r="AWF3" s="42"/>
      <c r="AWG3" s="42"/>
      <c r="AWH3" s="42"/>
      <c r="AWI3" s="42"/>
      <c r="AWJ3" s="42"/>
      <c r="AWK3" s="42"/>
      <c r="AWL3" s="42"/>
      <c r="AWM3" s="42"/>
      <c r="AWN3" s="42"/>
      <c r="AWO3" s="42"/>
      <c r="AWP3" s="42"/>
      <c r="AWQ3" s="42"/>
      <c r="AWR3" s="42"/>
      <c r="AWS3" s="42"/>
      <c r="AWT3" s="42"/>
      <c r="AWU3" s="42"/>
      <c r="AWV3" s="42"/>
      <c r="AWW3" s="42"/>
      <c r="AWX3" s="42"/>
      <c r="AWY3" s="42"/>
      <c r="AWZ3" s="42"/>
      <c r="AXA3" s="42"/>
      <c r="AXB3" s="42"/>
      <c r="AXC3" s="42"/>
      <c r="AXD3" s="42"/>
      <c r="AXE3" s="42"/>
      <c r="AXF3" s="42"/>
      <c r="AXG3" s="42"/>
      <c r="AXH3" s="42"/>
      <c r="AXI3" s="42"/>
      <c r="AXJ3" s="42"/>
      <c r="AXK3" s="42"/>
      <c r="AXL3" s="42"/>
      <c r="AXM3" s="42"/>
      <c r="AXN3" s="42"/>
      <c r="AXO3" s="42"/>
      <c r="AXP3" s="42"/>
      <c r="AXQ3" s="42"/>
      <c r="AXR3" s="42"/>
      <c r="AXS3" s="42"/>
      <c r="AXT3" s="42"/>
      <c r="AXU3" s="42"/>
      <c r="AXV3" s="42"/>
      <c r="AXW3" s="42"/>
      <c r="AXX3" s="42"/>
      <c r="AXY3" s="42"/>
      <c r="AXZ3" s="42"/>
      <c r="AYA3" s="42"/>
      <c r="AYB3" s="42"/>
      <c r="AYC3" s="42"/>
      <c r="AYD3" s="42"/>
      <c r="AYE3" s="42"/>
      <c r="AYF3" s="42"/>
      <c r="AYG3" s="42"/>
      <c r="AYH3" s="42"/>
      <c r="AYI3" s="42"/>
      <c r="AYJ3" s="42"/>
      <c r="AYK3" s="42"/>
      <c r="AYL3" s="42"/>
      <c r="AYM3" s="42"/>
      <c r="AYN3" s="42"/>
      <c r="AYO3" s="42"/>
      <c r="AYP3" s="42"/>
      <c r="AYQ3" s="42"/>
      <c r="AYR3" s="42"/>
      <c r="AYS3" s="42"/>
      <c r="AYT3" s="42"/>
      <c r="AYU3" s="42"/>
      <c r="AYV3" s="42"/>
      <c r="AYW3" s="42"/>
      <c r="AYX3" s="42"/>
      <c r="AYY3" s="42"/>
      <c r="AYZ3" s="42"/>
      <c r="AZA3" s="42"/>
      <c r="AZB3" s="42"/>
      <c r="AZC3" s="42"/>
      <c r="AZD3" s="42"/>
      <c r="AZE3" s="42"/>
      <c r="AZF3" s="42"/>
      <c r="AZG3" s="42"/>
      <c r="AZH3" s="42"/>
      <c r="AZI3" s="42"/>
      <c r="AZJ3" s="42"/>
      <c r="AZK3" s="42"/>
      <c r="AZL3" s="42"/>
      <c r="AZM3" s="42"/>
      <c r="AZN3" s="42"/>
      <c r="AZO3" s="42"/>
      <c r="AZP3" s="42"/>
      <c r="AZQ3" s="42"/>
      <c r="AZR3" s="42"/>
      <c r="AZS3" s="42"/>
      <c r="AZT3" s="42"/>
      <c r="AZU3" s="42"/>
      <c r="AZV3" s="42"/>
      <c r="AZW3" s="42"/>
      <c r="AZX3" s="42"/>
      <c r="AZY3" s="42"/>
      <c r="AZZ3" s="42"/>
      <c r="BAA3" s="42"/>
      <c r="BAB3" s="42"/>
      <c r="BAC3" s="42"/>
      <c r="BAD3" s="42"/>
      <c r="BAE3" s="42"/>
      <c r="BAF3" s="42"/>
      <c r="BAG3" s="42"/>
      <c r="BAH3" s="42"/>
      <c r="BAI3" s="42"/>
      <c r="BAJ3" s="42"/>
      <c r="BAK3" s="42"/>
      <c r="BAL3" s="42"/>
      <c r="BAM3" s="42"/>
      <c r="BAN3" s="42"/>
      <c r="BAO3" s="42"/>
      <c r="BAP3" s="42"/>
      <c r="BAQ3" s="42"/>
      <c r="BAR3" s="42"/>
      <c r="BAS3" s="42"/>
      <c r="BAT3" s="42"/>
      <c r="BAU3" s="42"/>
      <c r="BAV3" s="42"/>
      <c r="BAW3" s="42"/>
      <c r="BAX3" s="42"/>
      <c r="BAY3" s="42"/>
      <c r="BAZ3" s="42"/>
      <c r="BBA3" s="42"/>
      <c r="BBB3" s="42"/>
      <c r="BBC3" s="42"/>
      <c r="BBD3" s="42"/>
      <c r="BBE3" s="42"/>
      <c r="BBF3" s="42"/>
      <c r="BBG3" s="42"/>
      <c r="BBH3" s="42"/>
      <c r="BBI3" s="42"/>
      <c r="BBJ3" s="42"/>
      <c r="BBK3" s="42"/>
      <c r="BBL3" s="42"/>
      <c r="BBM3" s="42"/>
      <c r="BBN3" s="42"/>
      <c r="BBO3" s="42"/>
      <c r="BBP3" s="42"/>
      <c r="BBQ3" s="42"/>
      <c r="BBR3" s="42"/>
      <c r="BBS3" s="42"/>
      <c r="BBT3" s="42"/>
      <c r="BBU3" s="42"/>
      <c r="BBV3" s="42"/>
      <c r="BBW3" s="42"/>
      <c r="BBX3" s="42"/>
      <c r="BBY3" s="42"/>
      <c r="BBZ3" s="42"/>
      <c r="BCA3" s="42"/>
      <c r="BCB3" s="42"/>
      <c r="BCC3" s="42"/>
      <c r="BCD3" s="42"/>
      <c r="BCE3" s="42"/>
      <c r="BCF3" s="42"/>
      <c r="BCG3" s="42"/>
      <c r="BCH3" s="42"/>
      <c r="BCI3" s="42"/>
      <c r="BCJ3" s="42"/>
      <c r="BCK3" s="42"/>
      <c r="BCL3" s="42"/>
      <c r="BCM3" s="42"/>
      <c r="BCN3" s="42"/>
      <c r="BCO3" s="42"/>
      <c r="BCP3" s="42"/>
      <c r="BCQ3" s="42"/>
      <c r="BCR3" s="42"/>
      <c r="BCS3" s="42"/>
      <c r="BCT3" s="42"/>
      <c r="BCU3" s="42"/>
      <c r="BCV3" s="42"/>
      <c r="BCW3" s="42"/>
      <c r="BCX3" s="42"/>
      <c r="BCY3" s="42"/>
      <c r="BCZ3" s="42"/>
      <c r="BDA3" s="42"/>
      <c r="BDB3" s="42"/>
      <c r="BDC3" s="42"/>
      <c r="BDD3" s="42"/>
      <c r="BDE3" s="42"/>
      <c r="BDF3" s="42"/>
      <c r="BDG3" s="42"/>
      <c r="BDH3" s="42"/>
      <c r="BDI3" s="42"/>
      <c r="BDJ3" s="42"/>
      <c r="BDK3" s="42"/>
      <c r="BDL3" s="42"/>
      <c r="BDM3" s="42"/>
      <c r="BDN3" s="42"/>
      <c r="BDO3" s="42"/>
      <c r="BDP3" s="42"/>
      <c r="BDQ3" s="42"/>
      <c r="BDR3" s="42"/>
      <c r="BDS3" s="42"/>
      <c r="BDT3" s="42"/>
      <c r="BDU3" s="42"/>
      <c r="BDV3" s="42"/>
      <c r="BDW3" s="42"/>
      <c r="BDX3" s="42"/>
      <c r="BDY3" s="42"/>
      <c r="BDZ3" s="42"/>
      <c r="BEA3" s="42"/>
      <c r="BEB3" s="42"/>
      <c r="BEC3" s="42"/>
      <c r="BED3" s="42"/>
      <c r="BEE3" s="42"/>
      <c r="BEF3" s="42"/>
      <c r="BEG3" s="42"/>
      <c r="BEH3" s="42"/>
      <c r="BEI3" s="42"/>
      <c r="BEJ3" s="42"/>
      <c r="BEK3" s="42"/>
      <c r="BEL3" s="42"/>
      <c r="BEM3" s="42"/>
      <c r="BEN3" s="42"/>
      <c r="BEO3" s="42"/>
      <c r="BEP3" s="42"/>
      <c r="BEQ3" s="42"/>
      <c r="BER3" s="42"/>
      <c r="BES3" s="42"/>
      <c r="BET3" s="42"/>
      <c r="BEU3" s="42"/>
      <c r="BEV3" s="42"/>
      <c r="BEW3" s="42"/>
      <c r="BEX3" s="42"/>
      <c r="BEY3" s="42"/>
      <c r="BEZ3" s="42"/>
      <c r="BFA3" s="42"/>
      <c r="BFB3" s="42"/>
      <c r="BFC3" s="42"/>
      <c r="BFD3" s="42"/>
      <c r="BFE3" s="42"/>
      <c r="BFF3" s="42"/>
      <c r="BFG3" s="42"/>
      <c r="BFH3" s="42"/>
      <c r="BFI3" s="42"/>
      <c r="BFJ3" s="42"/>
      <c r="BFK3" s="42"/>
      <c r="BFL3" s="42"/>
      <c r="BFM3" s="42"/>
      <c r="BFN3" s="42"/>
      <c r="BFO3" s="42"/>
      <c r="BFP3" s="42"/>
      <c r="BFQ3" s="42"/>
      <c r="BFR3" s="42"/>
      <c r="BFS3" s="42"/>
      <c r="BFT3" s="42"/>
      <c r="BFU3" s="42"/>
      <c r="BFV3" s="42"/>
      <c r="BFW3" s="42"/>
      <c r="BFX3" s="42"/>
      <c r="BFY3" s="42"/>
      <c r="BFZ3" s="42"/>
      <c r="BGA3" s="42"/>
      <c r="BGB3" s="42"/>
      <c r="BGC3" s="42"/>
      <c r="BGD3" s="42"/>
      <c r="BGE3" s="42"/>
      <c r="BGF3" s="42"/>
      <c r="BGG3" s="42"/>
      <c r="BGH3" s="42"/>
      <c r="BGI3" s="42"/>
      <c r="BGJ3" s="42"/>
      <c r="BGK3" s="42"/>
      <c r="BGL3" s="42"/>
      <c r="BGM3" s="42"/>
      <c r="BGN3" s="42"/>
      <c r="BGO3" s="42"/>
      <c r="BGP3" s="42"/>
      <c r="BGQ3" s="42"/>
      <c r="BGR3" s="42"/>
      <c r="BGS3" s="42"/>
      <c r="BGT3" s="42"/>
      <c r="BGU3" s="42"/>
      <c r="BGV3" s="42"/>
      <c r="BGW3" s="42"/>
      <c r="BGX3" s="42"/>
      <c r="BGY3" s="42"/>
      <c r="BGZ3" s="42"/>
      <c r="BHA3" s="42"/>
      <c r="BHB3" s="42"/>
      <c r="BHC3" s="42"/>
      <c r="BHD3" s="42"/>
      <c r="BHE3" s="42"/>
      <c r="BHF3" s="42"/>
      <c r="BHG3" s="42"/>
      <c r="BHH3" s="42"/>
      <c r="BHI3" s="42"/>
      <c r="BHJ3" s="42"/>
      <c r="BHK3" s="42"/>
      <c r="BHL3" s="42"/>
      <c r="BHM3" s="42"/>
      <c r="BHN3" s="42"/>
      <c r="BHO3" s="42"/>
      <c r="BHP3" s="42"/>
      <c r="BHQ3" s="42"/>
      <c r="BHR3" s="42"/>
      <c r="BHS3" s="42"/>
      <c r="BHT3" s="42"/>
      <c r="BHU3" s="42"/>
      <c r="BHV3" s="42"/>
      <c r="BHW3" s="42"/>
      <c r="BHX3" s="42"/>
      <c r="BHY3" s="42"/>
      <c r="BHZ3" s="42"/>
      <c r="BIA3" s="42"/>
      <c r="BIB3" s="42"/>
      <c r="BIC3" s="42"/>
      <c r="BID3" s="42"/>
      <c r="BIE3" s="42"/>
      <c r="BIF3" s="42"/>
      <c r="BIG3" s="42"/>
      <c r="BIH3" s="42"/>
      <c r="BII3" s="42"/>
      <c r="BIJ3" s="42"/>
      <c r="BIK3" s="42"/>
      <c r="BIL3" s="42"/>
      <c r="BIM3" s="42"/>
      <c r="BIN3" s="42"/>
      <c r="BIO3" s="42"/>
      <c r="BIP3" s="42"/>
      <c r="BIQ3" s="42"/>
      <c r="BIR3" s="42"/>
      <c r="BIS3" s="42"/>
      <c r="BIT3" s="42"/>
      <c r="BIU3" s="42"/>
      <c r="BIV3" s="42"/>
      <c r="BIW3" s="42"/>
      <c r="BIX3" s="42"/>
      <c r="BIY3" s="42"/>
      <c r="BIZ3" s="42"/>
      <c r="BJA3" s="42"/>
      <c r="BJB3" s="42"/>
      <c r="BJC3" s="42"/>
      <c r="BJD3" s="42"/>
      <c r="BJE3" s="42"/>
      <c r="BJF3" s="42"/>
      <c r="BJG3" s="42"/>
      <c r="BJH3" s="42"/>
      <c r="BJI3" s="42"/>
      <c r="BJJ3" s="42"/>
      <c r="BJK3" s="42"/>
      <c r="BJL3" s="42"/>
      <c r="BJM3" s="42"/>
      <c r="BJN3" s="42"/>
      <c r="BJO3" s="42"/>
      <c r="BJP3" s="42"/>
      <c r="BJQ3" s="42"/>
      <c r="BJR3" s="42"/>
      <c r="BJS3" s="42"/>
      <c r="BJT3" s="42"/>
      <c r="BJU3" s="42"/>
      <c r="BJV3" s="42"/>
      <c r="BJW3" s="42"/>
      <c r="BJX3" s="42"/>
      <c r="BJY3" s="42"/>
      <c r="BJZ3" s="42"/>
      <c r="BKA3" s="42"/>
      <c r="BKB3" s="42"/>
      <c r="BKC3" s="42"/>
      <c r="BKD3" s="42"/>
      <c r="BKE3" s="42"/>
      <c r="BKF3" s="42"/>
      <c r="BKG3" s="42"/>
      <c r="BKH3" s="42"/>
      <c r="BKI3" s="42"/>
      <c r="BKJ3" s="42"/>
      <c r="BKK3" s="42"/>
      <c r="BKL3" s="42"/>
      <c r="BKM3" s="42"/>
      <c r="BKN3" s="42"/>
      <c r="BKO3" s="42"/>
      <c r="BKP3" s="42"/>
      <c r="BKQ3" s="42"/>
      <c r="BKR3" s="42"/>
      <c r="BKS3" s="42"/>
      <c r="BKT3" s="42"/>
      <c r="BKU3" s="42"/>
      <c r="BKV3" s="42"/>
      <c r="BKW3" s="42"/>
      <c r="BKX3" s="42"/>
      <c r="BKY3" s="42"/>
      <c r="BKZ3" s="42"/>
      <c r="BLA3" s="42"/>
      <c r="BLB3" s="42"/>
      <c r="BLC3" s="42"/>
      <c r="BLD3" s="42"/>
      <c r="BLE3" s="42"/>
      <c r="BLF3" s="42"/>
      <c r="BLG3" s="42"/>
      <c r="BLH3" s="42"/>
      <c r="BLI3" s="42"/>
      <c r="BLJ3" s="42"/>
      <c r="BLK3" s="42"/>
      <c r="BLL3" s="42"/>
      <c r="BLM3" s="42"/>
      <c r="BLN3" s="42"/>
      <c r="BLO3" s="42"/>
      <c r="BLP3" s="42"/>
      <c r="BLQ3" s="42"/>
      <c r="BLR3" s="42"/>
      <c r="BLS3" s="42"/>
      <c r="BLT3" s="42"/>
      <c r="BLU3" s="42"/>
      <c r="BLV3" s="42"/>
      <c r="BLW3" s="42"/>
      <c r="BLX3" s="42"/>
      <c r="BLY3" s="42"/>
      <c r="BLZ3" s="42"/>
      <c r="BMA3" s="42"/>
      <c r="BMB3" s="42"/>
      <c r="BMC3" s="42"/>
      <c r="BMD3" s="42"/>
      <c r="BME3" s="42"/>
      <c r="BMF3" s="42"/>
      <c r="BMG3" s="42"/>
      <c r="BMH3" s="42"/>
      <c r="BMI3" s="42"/>
      <c r="BMJ3" s="42"/>
      <c r="BMK3" s="42"/>
      <c r="BML3" s="42"/>
      <c r="BMM3" s="42"/>
      <c r="BMN3" s="42"/>
      <c r="BMO3" s="42"/>
      <c r="BMP3" s="42"/>
      <c r="BMQ3" s="42"/>
      <c r="BMR3" s="42"/>
      <c r="BMS3" s="42"/>
      <c r="BMT3" s="42"/>
      <c r="BMU3" s="42"/>
      <c r="BMV3" s="42"/>
      <c r="BMW3" s="42"/>
      <c r="BMX3" s="42"/>
      <c r="BMY3" s="42"/>
      <c r="BMZ3" s="42"/>
      <c r="BNA3" s="42"/>
      <c r="BNB3" s="42"/>
      <c r="BNC3" s="42"/>
      <c r="BND3" s="42"/>
      <c r="BNE3" s="42"/>
      <c r="BNF3" s="42"/>
      <c r="BNG3" s="42"/>
      <c r="BNH3" s="42"/>
      <c r="BNI3" s="42"/>
      <c r="BNJ3" s="42"/>
      <c r="BNK3" s="42"/>
      <c r="BNL3" s="42"/>
      <c r="BNM3" s="42"/>
      <c r="BNN3" s="42"/>
      <c r="BNO3" s="42"/>
      <c r="BNP3" s="42"/>
      <c r="BNQ3" s="42"/>
      <c r="BNR3" s="42"/>
      <c r="BNS3" s="42"/>
      <c r="BNT3" s="42"/>
      <c r="BNU3" s="42"/>
      <c r="BNV3" s="42"/>
      <c r="BNW3" s="42"/>
      <c r="BNX3" s="42"/>
      <c r="BNY3" s="42"/>
      <c r="BNZ3" s="42"/>
      <c r="BOA3" s="42"/>
      <c r="BOB3" s="42"/>
      <c r="BOC3" s="42"/>
      <c r="BOD3" s="42"/>
      <c r="BOE3" s="42"/>
      <c r="BOF3" s="42"/>
      <c r="BOG3" s="42"/>
      <c r="BOH3" s="42"/>
      <c r="BOI3" s="42"/>
      <c r="BOJ3" s="42"/>
      <c r="BOK3" s="42"/>
      <c r="BOL3" s="42"/>
      <c r="BOM3" s="42"/>
      <c r="BON3" s="42"/>
      <c r="BOO3" s="42"/>
      <c r="BOP3" s="42"/>
      <c r="BOQ3" s="42"/>
      <c r="BOR3" s="42"/>
      <c r="BOS3" s="42"/>
      <c r="BOT3" s="42"/>
      <c r="BOU3" s="42"/>
      <c r="BOV3" s="42"/>
      <c r="BOW3" s="42"/>
      <c r="BOX3" s="42"/>
      <c r="BOY3" s="42"/>
      <c r="BOZ3" s="42"/>
      <c r="BPA3" s="42"/>
      <c r="BPB3" s="42"/>
      <c r="BPC3" s="42"/>
      <c r="BPD3" s="42"/>
      <c r="BPE3" s="42"/>
      <c r="BPF3" s="42"/>
      <c r="BPG3" s="42"/>
      <c r="BPH3" s="42"/>
      <c r="BPI3" s="42"/>
      <c r="BPJ3" s="42"/>
      <c r="BPK3" s="42"/>
      <c r="BPL3" s="42"/>
      <c r="BPM3" s="42"/>
      <c r="BPN3" s="42"/>
      <c r="BPO3" s="42"/>
      <c r="BPP3" s="42"/>
      <c r="BPQ3" s="42"/>
      <c r="BPR3" s="42"/>
      <c r="BPS3" s="42"/>
      <c r="BPT3" s="42"/>
      <c r="BPU3" s="42"/>
      <c r="BPV3" s="42"/>
      <c r="BPW3" s="42"/>
      <c r="BPX3" s="42"/>
      <c r="BPY3" s="42"/>
      <c r="BPZ3" s="42"/>
      <c r="BQA3" s="42"/>
      <c r="BQB3" s="42"/>
      <c r="BQC3" s="42"/>
      <c r="BQD3" s="42"/>
      <c r="BQE3" s="42"/>
      <c r="BQF3" s="42"/>
      <c r="BQG3" s="42"/>
      <c r="BQH3" s="42"/>
      <c r="BQI3" s="42"/>
      <c r="BQJ3" s="42"/>
      <c r="BQK3" s="42"/>
      <c r="BQL3" s="42"/>
      <c r="BQM3" s="42"/>
      <c r="BQN3" s="42"/>
      <c r="BQO3" s="42"/>
      <c r="BQP3" s="42"/>
      <c r="BQQ3" s="42"/>
      <c r="BQR3" s="42"/>
      <c r="BQS3" s="42"/>
      <c r="BQT3" s="42"/>
      <c r="BQU3" s="42"/>
      <c r="BQV3" s="42"/>
      <c r="BQW3" s="42"/>
      <c r="BQX3" s="42"/>
      <c r="BQY3" s="42"/>
      <c r="BQZ3" s="42"/>
      <c r="BRA3" s="42"/>
      <c r="BRB3" s="42"/>
      <c r="BRC3" s="42"/>
      <c r="BRD3" s="42"/>
      <c r="BRE3" s="42"/>
      <c r="BRF3" s="42"/>
      <c r="BRG3" s="42"/>
      <c r="BRH3" s="42"/>
      <c r="BRI3" s="42"/>
      <c r="BRJ3" s="42"/>
      <c r="BRK3" s="42"/>
      <c r="BRL3" s="42"/>
      <c r="BRM3" s="42"/>
      <c r="BRN3" s="42"/>
      <c r="BRO3" s="42"/>
      <c r="BRP3" s="42"/>
      <c r="BRQ3" s="42"/>
      <c r="BRR3" s="42"/>
      <c r="BRS3" s="42"/>
      <c r="BRT3" s="42"/>
      <c r="BRU3" s="42"/>
      <c r="BRV3" s="42"/>
      <c r="BRW3" s="42"/>
      <c r="BRX3" s="42"/>
      <c r="BRY3" s="42"/>
      <c r="BRZ3" s="42"/>
      <c r="BSA3" s="42"/>
      <c r="BSB3" s="42"/>
      <c r="BSC3" s="42"/>
      <c r="BSD3" s="42"/>
      <c r="BSE3" s="42"/>
      <c r="BSF3" s="42"/>
      <c r="BSG3" s="42"/>
      <c r="BSH3" s="42"/>
      <c r="BSI3" s="42"/>
      <c r="BSJ3" s="42"/>
      <c r="BSK3" s="42"/>
      <c r="BSL3" s="42"/>
      <c r="BSM3" s="42"/>
      <c r="BSN3" s="42"/>
      <c r="BSO3" s="42"/>
      <c r="BSP3" s="42"/>
      <c r="BSQ3" s="42"/>
      <c r="BSR3" s="42"/>
      <c r="BSS3" s="42"/>
      <c r="BST3" s="42"/>
      <c r="BSU3" s="42"/>
      <c r="BSV3" s="42"/>
      <c r="BSW3" s="42"/>
      <c r="BSX3" s="42"/>
      <c r="BSY3" s="42"/>
      <c r="BSZ3" s="42"/>
      <c r="BTA3" s="42"/>
      <c r="BTB3" s="42"/>
      <c r="BTC3" s="42"/>
      <c r="BTD3" s="42"/>
      <c r="BTE3" s="42"/>
      <c r="BTF3" s="42"/>
      <c r="BTG3" s="42"/>
      <c r="BTH3" s="42"/>
      <c r="BTI3" s="42"/>
      <c r="BTJ3" s="42"/>
      <c r="BTK3" s="42"/>
      <c r="BTL3" s="42"/>
      <c r="BTM3" s="42"/>
      <c r="BTN3" s="42"/>
      <c r="BTO3" s="42"/>
      <c r="BTP3" s="42"/>
      <c r="BTQ3" s="42"/>
      <c r="BTR3" s="42"/>
      <c r="BTS3" s="42"/>
      <c r="BTT3" s="42"/>
      <c r="BTU3" s="42"/>
      <c r="BTV3" s="42"/>
      <c r="BTW3" s="42"/>
      <c r="BTX3" s="42"/>
      <c r="BTY3" s="42"/>
      <c r="BTZ3" s="42"/>
      <c r="BUA3" s="42"/>
      <c r="BUB3" s="42"/>
      <c r="BUC3" s="42"/>
      <c r="BUD3" s="42"/>
      <c r="BUE3" s="42"/>
      <c r="BUF3" s="42"/>
      <c r="BUG3" s="42"/>
      <c r="BUH3" s="42"/>
      <c r="BUI3" s="42"/>
      <c r="BUJ3" s="42"/>
      <c r="BUK3" s="42"/>
      <c r="BUL3" s="42"/>
      <c r="BUM3" s="42"/>
      <c r="BUN3" s="42"/>
      <c r="BUO3" s="42"/>
      <c r="BUP3" s="42"/>
      <c r="BUQ3" s="42"/>
      <c r="BUR3" s="42"/>
      <c r="BUS3" s="42"/>
      <c r="BUT3" s="42"/>
      <c r="BUU3" s="42"/>
      <c r="BUV3" s="42"/>
      <c r="BUW3" s="42"/>
      <c r="BUX3" s="42"/>
      <c r="BUY3" s="42"/>
      <c r="BUZ3" s="42"/>
      <c r="BVA3" s="42"/>
      <c r="BVB3" s="42"/>
      <c r="BVC3" s="42"/>
      <c r="BVD3" s="42"/>
      <c r="BVE3" s="42"/>
      <c r="BVF3" s="42"/>
      <c r="BVG3" s="42"/>
      <c r="BVH3" s="42"/>
      <c r="BVI3" s="42"/>
      <c r="BVJ3" s="42"/>
      <c r="BVK3" s="42"/>
      <c r="BVL3" s="42"/>
      <c r="BVM3" s="42"/>
      <c r="BVN3" s="42"/>
      <c r="BVO3" s="42"/>
      <c r="BVP3" s="42"/>
      <c r="BVQ3" s="42"/>
      <c r="BVR3" s="42"/>
      <c r="BVS3" s="42"/>
      <c r="BVT3" s="42"/>
      <c r="BVU3" s="42"/>
      <c r="BVV3" s="42"/>
      <c r="BVW3" s="42"/>
      <c r="BVX3" s="42"/>
      <c r="BVY3" s="42"/>
      <c r="BVZ3" s="42"/>
      <c r="BWA3" s="42"/>
      <c r="BWB3" s="42"/>
      <c r="BWC3" s="42"/>
      <c r="BWD3" s="42"/>
      <c r="BWE3" s="42"/>
      <c r="BWF3" s="42"/>
      <c r="BWG3" s="42"/>
      <c r="BWH3" s="42"/>
      <c r="BWI3" s="42"/>
      <c r="BWJ3" s="42"/>
      <c r="BWK3" s="42"/>
      <c r="BWL3" s="42"/>
      <c r="BWM3" s="42"/>
      <c r="BWN3" s="42"/>
      <c r="BWO3" s="42"/>
      <c r="BWP3" s="42"/>
      <c r="BWQ3" s="42"/>
      <c r="BWR3" s="42"/>
      <c r="BWS3" s="42"/>
      <c r="BWT3" s="42"/>
      <c r="BWU3" s="42"/>
      <c r="BWV3" s="42"/>
      <c r="BWW3" s="42"/>
      <c r="BWX3" s="42"/>
      <c r="BWY3" s="42"/>
      <c r="BWZ3" s="42"/>
      <c r="BXA3" s="42"/>
      <c r="BXB3" s="42"/>
      <c r="BXC3" s="42"/>
      <c r="BXD3" s="42"/>
      <c r="BXE3" s="42"/>
      <c r="BXF3" s="42"/>
      <c r="BXG3" s="42"/>
      <c r="BXH3" s="42"/>
      <c r="BXI3" s="42"/>
      <c r="BXJ3" s="42"/>
      <c r="BXK3" s="42"/>
      <c r="BXL3" s="42"/>
      <c r="BXM3" s="42"/>
      <c r="BXN3" s="42"/>
      <c r="BXO3" s="42"/>
      <c r="BXP3" s="42"/>
      <c r="BXQ3" s="42"/>
      <c r="BXR3" s="42"/>
      <c r="BXS3" s="42"/>
      <c r="BXT3" s="42"/>
      <c r="BXU3" s="42"/>
      <c r="BXV3" s="42"/>
      <c r="BXW3" s="42"/>
      <c r="BXX3" s="42"/>
      <c r="BXY3" s="42"/>
      <c r="BXZ3" s="42"/>
      <c r="BYA3" s="42"/>
      <c r="BYB3" s="42"/>
      <c r="BYC3" s="42"/>
      <c r="BYD3" s="42"/>
      <c r="BYE3" s="42"/>
      <c r="BYF3" s="42"/>
      <c r="BYG3" s="42"/>
      <c r="BYH3" s="42"/>
      <c r="BYI3" s="42"/>
      <c r="BYJ3" s="42"/>
      <c r="BYK3" s="42"/>
      <c r="BYL3" s="42"/>
      <c r="BYM3" s="42"/>
      <c r="BYN3" s="42"/>
      <c r="BYO3" s="42"/>
      <c r="BYP3" s="42"/>
      <c r="BYQ3" s="42"/>
      <c r="BYR3" s="42"/>
      <c r="BYS3" s="42"/>
      <c r="BYT3" s="42"/>
      <c r="BYU3" s="42"/>
      <c r="BYV3" s="42"/>
      <c r="BYW3" s="42"/>
      <c r="BYX3" s="42"/>
      <c r="BYY3" s="42"/>
      <c r="BYZ3" s="42"/>
      <c r="BZA3" s="42"/>
      <c r="BZB3" s="42"/>
      <c r="BZC3" s="42"/>
      <c r="BZD3" s="42"/>
      <c r="BZE3" s="42"/>
      <c r="BZF3" s="42"/>
      <c r="BZG3" s="42"/>
      <c r="BZH3" s="42"/>
      <c r="BZI3" s="42"/>
      <c r="BZJ3" s="42"/>
      <c r="BZK3" s="42"/>
      <c r="BZL3" s="42"/>
      <c r="BZM3" s="42"/>
      <c r="BZN3" s="42"/>
      <c r="BZO3" s="42"/>
      <c r="BZP3" s="42"/>
      <c r="BZQ3" s="42"/>
      <c r="BZR3" s="42"/>
      <c r="BZS3" s="42"/>
      <c r="BZT3" s="42"/>
      <c r="BZU3" s="42"/>
      <c r="BZV3" s="42"/>
      <c r="BZW3" s="42"/>
      <c r="BZX3" s="42"/>
      <c r="BZY3" s="42"/>
      <c r="BZZ3" s="42"/>
      <c r="CAA3" s="42"/>
      <c r="CAB3" s="42"/>
      <c r="CAC3" s="42"/>
      <c r="CAD3" s="42"/>
      <c r="CAE3" s="42"/>
      <c r="CAF3" s="42"/>
      <c r="CAG3" s="42"/>
      <c r="CAH3" s="42"/>
      <c r="CAI3" s="42"/>
      <c r="CAJ3" s="42"/>
      <c r="CAK3" s="42"/>
      <c r="CAL3" s="42"/>
      <c r="CAM3" s="42"/>
      <c r="CAN3" s="42"/>
      <c r="CAO3" s="42"/>
      <c r="CAP3" s="42"/>
      <c r="CAQ3" s="42"/>
      <c r="CAR3" s="42"/>
      <c r="CAS3" s="42"/>
      <c r="CAT3" s="42"/>
      <c r="CAU3" s="42"/>
      <c r="CAV3" s="42"/>
      <c r="CAW3" s="42"/>
      <c r="CAX3" s="42"/>
      <c r="CAY3" s="42"/>
      <c r="CAZ3" s="42"/>
      <c r="CBA3" s="42"/>
      <c r="CBB3" s="42"/>
      <c r="CBC3" s="42"/>
      <c r="CBD3" s="42"/>
      <c r="CBE3" s="42"/>
      <c r="CBF3" s="42"/>
      <c r="CBG3" s="42"/>
      <c r="CBH3" s="42"/>
      <c r="CBI3" s="42"/>
      <c r="CBJ3" s="42"/>
      <c r="CBK3" s="42"/>
      <c r="CBL3" s="42"/>
      <c r="CBM3" s="42"/>
      <c r="CBN3" s="42"/>
      <c r="CBO3" s="42"/>
      <c r="CBP3" s="42"/>
      <c r="CBQ3" s="42"/>
      <c r="CBR3" s="42"/>
      <c r="CBS3" s="42"/>
      <c r="CBT3" s="42"/>
      <c r="CBU3" s="42"/>
      <c r="CBV3" s="42"/>
      <c r="CBW3" s="42"/>
      <c r="CBX3" s="42"/>
      <c r="CBY3" s="42"/>
      <c r="CBZ3" s="42"/>
      <c r="CCA3" s="42"/>
      <c r="CCB3" s="42"/>
      <c r="CCC3" s="42"/>
      <c r="CCD3" s="42"/>
      <c r="CCE3" s="42"/>
      <c r="CCF3" s="42"/>
      <c r="CCG3" s="42"/>
      <c r="CCH3" s="42"/>
      <c r="CCI3" s="42"/>
      <c r="CCJ3" s="42"/>
      <c r="CCK3" s="42"/>
      <c r="CCL3" s="42"/>
      <c r="CCM3" s="42"/>
      <c r="CCN3" s="42"/>
      <c r="CCO3" s="42"/>
      <c r="CCP3" s="42"/>
      <c r="CCQ3" s="42"/>
      <c r="CCR3" s="42"/>
      <c r="CCS3" s="42"/>
      <c r="CCT3" s="42"/>
      <c r="CCU3" s="42"/>
      <c r="CCV3" s="42"/>
      <c r="CCW3" s="42"/>
      <c r="CCX3" s="42"/>
      <c r="CCY3" s="42"/>
      <c r="CCZ3" s="42"/>
      <c r="CDA3" s="42"/>
      <c r="CDB3" s="42"/>
      <c r="CDC3" s="42"/>
      <c r="CDD3" s="42"/>
      <c r="CDE3" s="42"/>
      <c r="CDF3" s="42"/>
      <c r="CDG3" s="42"/>
      <c r="CDH3" s="42"/>
      <c r="CDI3" s="42"/>
      <c r="CDJ3" s="42"/>
      <c r="CDK3" s="42"/>
      <c r="CDL3" s="42"/>
      <c r="CDM3" s="42"/>
      <c r="CDN3" s="42"/>
      <c r="CDO3" s="42"/>
      <c r="CDP3" s="42"/>
      <c r="CDQ3" s="42"/>
      <c r="CDR3" s="42"/>
      <c r="CDS3" s="42"/>
      <c r="CDT3" s="42"/>
      <c r="CDU3" s="42"/>
      <c r="CDV3" s="42"/>
      <c r="CDW3" s="42"/>
      <c r="CDX3" s="42"/>
      <c r="CDY3" s="42"/>
      <c r="CDZ3" s="42"/>
      <c r="CEA3" s="42"/>
      <c r="CEB3" s="42"/>
      <c r="CEC3" s="42"/>
      <c r="CED3" s="42"/>
      <c r="CEE3" s="42"/>
      <c r="CEF3" s="42"/>
      <c r="CEG3" s="42"/>
      <c r="CEH3" s="42"/>
      <c r="CEI3" s="42"/>
      <c r="CEJ3" s="42"/>
      <c r="CEK3" s="42"/>
      <c r="CEL3" s="42"/>
      <c r="CEM3" s="42"/>
      <c r="CEN3" s="42"/>
      <c r="CEO3" s="42"/>
      <c r="CEP3" s="42"/>
      <c r="CEQ3" s="42"/>
      <c r="CER3" s="42"/>
      <c r="CES3" s="42"/>
      <c r="CET3" s="42"/>
      <c r="CEU3" s="42"/>
      <c r="CEV3" s="42"/>
      <c r="CEW3" s="42"/>
      <c r="CEX3" s="42"/>
      <c r="CEY3" s="42"/>
      <c r="CEZ3" s="42"/>
      <c r="CFA3" s="42"/>
      <c r="CFB3" s="42"/>
      <c r="CFC3" s="42"/>
      <c r="CFD3" s="42"/>
      <c r="CFE3" s="42"/>
      <c r="CFF3" s="42"/>
      <c r="CFG3" s="42"/>
      <c r="CFH3" s="42"/>
      <c r="CFI3" s="42"/>
      <c r="CFJ3" s="42"/>
      <c r="CFK3" s="42"/>
      <c r="CFL3" s="42"/>
      <c r="CFM3" s="42"/>
      <c r="CFN3" s="42"/>
      <c r="CFO3" s="42"/>
      <c r="CFP3" s="42"/>
      <c r="CFQ3" s="42"/>
      <c r="CFR3" s="42"/>
      <c r="CFS3" s="42"/>
      <c r="CFT3" s="42"/>
      <c r="CFU3" s="42"/>
      <c r="CFV3" s="42"/>
      <c r="CFW3" s="42"/>
      <c r="CFX3" s="42"/>
      <c r="CFY3" s="42"/>
      <c r="CFZ3" s="42"/>
      <c r="CGA3" s="42"/>
      <c r="CGB3" s="42"/>
      <c r="CGC3" s="42"/>
      <c r="CGD3" s="42"/>
      <c r="CGE3" s="42"/>
      <c r="CGF3" s="42"/>
      <c r="CGG3" s="42"/>
      <c r="CGH3" s="42"/>
      <c r="CGI3" s="42"/>
      <c r="CGJ3" s="42"/>
      <c r="CGK3" s="42"/>
      <c r="CGL3" s="42"/>
      <c r="CGM3" s="42"/>
      <c r="CGN3" s="42"/>
      <c r="CGO3" s="42"/>
      <c r="CGP3" s="42"/>
      <c r="CGQ3" s="42"/>
      <c r="CGR3" s="42"/>
      <c r="CGS3" s="42"/>
      <c r="CGT3" s="42"/>
      <c r="CGU3" s="42"/>
      <c r="CGV3" s="42"/>
      <c r="CGW3" s="42"/>
      <c r="CGX3" s="42"/>
      <c r="CGY3" s="42"/>
      <c r="CGZ3" s="42"/>
      <c r="CHA3" s="42"/>
      <c r="CHB3" s="42"/>
      <c r="CHC3" s="42"/>
      <c r="CHD3" s="42"/>
      <c r="CHE3" s="42"/>
      <c r="CHF3" s="42"/>
      <c r="CHG3" s="42"/>
      <c r="CHH3" s="42"/>
      <c r="CHI3" s="42"/>
      <c r="CHJ3" s="42"/>
      <c r="CHK3" s="42"/>
      <c r="CHL3" s="42"/>
      <c r="CHM3" s="42"/>
      <c r="CHN3" s="42"/>
      <c r="CHO3" s="42"/>
      <c r="CHP3" s="42"/>
      <c r="CHQ3" s="42"/>
      <c r="CHR3" s="42"/>
      <c r="CHS3" s="42"/>
      <c r="CHT3" s="42"/>
      <c r="CHU3" s="42"/>
      <c r="CHV3" s="42"/>
      <c r="CHW3" s="42"/>
      <c r="CHX3" s="42"/>
      <c r="CHY3" s="42"/>
      <c r="CHZ3" s="42"/>
      <c r="CIA3" s="42"/>
      <c r="CIB3" s="42"/>
      <c r="CIC3" s="42"/>
      <c r="CID3" s="42"/>
      <c r="CIE3" s="42"/>
      <c r="CIF3" s="42"/>
      <c r="CIG3" s="42"/>
      <c r="CIH3" s="42"/>
      <c r="CII3" s="42"/>
      <c r="CIJ3" s="42"/>
      <c r="CIK3" s="42"/>
      <c r="CIL3" s="42"/>
      <c r="CIM3" s="42"/>
      <c r="CIN3" s="42"/>
      <c r="CIO3" s="42"/>
      <c r="CIP3" s="42"/>
      <c r="CIQ3" s="42"/>
      <c r="CIR3" s="42"/>
      <c r="CIS3" s="42"/>
      <c r="CIT3" s="42"/>
      <c r="CIU3" s="42"/>
      <c r="CIV3" s="42"/>
      <c r="CIW3" s="42"/>
      <c r="CIX3" s="42"/>
      <c r="CIY3" s="42"/>
      <c r="CIZ3" s="42"/>
      <c r="CJA3" s="42"/>
      <c r="CJB3" s="42"/>
      <c r="CJC3" s="42"/>
      <c r="CJD3" s="42"/>
      <c r="CJE3" s="42"/>
      <c r="CJF3" s="42"/>
      <c r="CJG3" s="42"/>
      <c r="CJH3" s="42"/>
      <c r="CJI3" s="42"/>
      <c r="CJJ3" s="42"/>
      <c r="CJK3" s="42"/>
      <c r="CJL3" s="42"/>
      <c r="CJM3" s="42"/>
      <c r="CJN3" s="42"/>
      <c r="CJO3" s="42"/>
      <c r="CJP3" s="42"/>
      <c r="CJQ3" s="42"/>
      <c r="CJR3" s="42"/>
      <c r="CJS3" s="42"/>
      <c r="CJT3" s="42"/>
      <c r="CJU3" s="42"/>
      <c r="CJV3" s="42"/>
      <c r="CJW3" s="42"/>
      <c r="CJX3" s="42"/>
      <c r="CJY3" s="42"/>
      <c r="CJZ3" s="42"/>
      <c r="CKA3" s="42"/>
      <c r="CKB3" s="42"/>
      <c r="CKC3" s="42"/>
      <c r="CKD3" s="42"/>
      <c r="CKE3" s="42"/>
      <c r="CKF3" s="42"/>
      <c r="CKG3" s="42"/>
      <c r="CKH3" s="42"/>
      <c r="CKI3" s="42"/>
      <c r="CKJ3" s="42"/>
      <c r="CKK3" s="42"/>
      <c r="CKL3" s="42"/>
      <c r="CKM3" s="42"/>
      <c r="CKN3" s="42"/>
      <c r="CKO3" s="42"/>
      <c r="CKP3" s="42"/>
      <c r="CKQ3" s="42"/>
      <c r="CKR3" s="42"/>
      <c r="CKS3" s="42"/>
      <c r="CKT3" s="42"/>
      <c r="CKU3" s="42"/>
      <c r="CKV3" s="42"/>
      <c r="CKW3" s="42"/>
      <c r="CKX3" s="42"/>
      <c r="CKY3" s="42"/>
      <c r="CKZ3" s="42"/>
      <c r="CLA3" s="42"/>
      <c r="CLB3" s="42"/>
      <c r="CLC3" s="42"/>
      <c r="CLD3" s="42"/>
      <c r="CLE3" s="42"/>
      <c r="CLF3" s="42"/>
      <c r="CLG3" s="42"/>
      <c r="CLH3" s="42"/>
      <c r="CLI3" s="42"/>
      <c r="CLJ3" s="42"/>
      <c r="CLK3" s="42"/>
      <c r="CLL3" s="42"/>
      <c r="CLM3" s="42"/>
      <c r="CLN3" s="42"/>
      <c r="CLO3" s="42"/>
      <c r="CLP3" s="42"/>
      <c r="CLQ3" s="42"/>
      <c r="CLR3" s="42"/>
      <c r="CLS3" s="42"/>
      <c r="CLT3" s="42"/>
      <c r="CLU3" s="42"/>
      <c r="CLV3" s="42"/>
      <c r="CLW3" s="42"/>
      <c r="CLX3" s="42"/>
      <c r="CLY3" s="42"/>
      <c r="CLZ3" s="42"/>
      <c r="CMA3" s="42"/>
      <c r="CMB3" s="42"/>
      <c r="CMC3" s="42"/>
      <c r="CMD3" s="42"/>
      <c r="CME3" s="42"/>
      <c r="CMF3" s="42"/>
      <c r="CMG3" s="42"/>
      <c r="CMH3" s="42"/>
      <c r="CMI3" s="42"/>
      <c r="CMJ3" s="42"/>
      <c r="CMK3" s="42"/>
      <c r="CML3" s="42"/>
      <c r="CMM3" s="42"/>
      <c r="CMN3" s="42"/>
      <c r="CMO3" s="42"/>
      <c r="CMP3" s="42"/>
      <c r="CMQ3" s="42"/>
      <c r="CMR3" s="42"/>
      <c r="CMS3" s="42"/>
      <c r="CMT3" s="42"/>
      <c r="CMU3" s="42"/>
      <c r="CMV3" s="42"/>
      <c r="CMW3" s="42"/>
      <c r="CMX3" s="42"/>
      <c r="CMY3" s="42"/>
      <c r="CMZ3" s="42"/>
      <c r="CNA3" s="42"/>
      <c r="CNB3" s="42"/>
      <c r="CNC3" s="42"/>
      <c r="CND3" s="42"/>
      <c r="CNE3" s="42"/>
      <c r="CNF3" s="42"/>
      <c r="CNG3" s="42"/>
      <c r="CNH3" s="42"/>
      <c r="CNI3" s="42"/>
      <c r="CNJ3" s="42"/>
      <c r="CNK3" s="42"/>
      <c r="CNL3" s="42"/>
      <c r="CNM3" s="42"/>
      <c r="CNN3" s="42"/>
      <c r="CNO3" s="42"/>
      <c r="CNP3" s="42"/>
      <c r="CNQ3" s="42"/>
      <c r="CNR3" s="42"/>
      <c r="CNS3" s="42"/>
      <c r="CNT3" s="42"/>
      <c r="CNU3" s="42"/>
      <c r="CNV3" s="42"/>
      <c r="CNW3" s="42"/>
      <c r="CNX3" s="42"/>
      <c r="CNY3" s="42"/>
      <c r="CNZ3" s="42"/>
      <c r="COA3" s="42"/>
      <c r="COB3" s="42"/>
      <c r="COC3" s="42"/>
      <c r="COD3" s="42"/>
      <c r="COE3" s="42"/>
      <c r="COF3" s="42"/>
      <c r="COG3" s="42"/>
      <c r="COH3" s="42"/>
      <c r="COI3" s="42"/>
      <c r="COJ3" s="42"/>
      <c r="COK3" s="42"/>
      <c r="COL3" s="42"/>
      <c r="COM3" s="42"/>
      <c r="CON3" s="42"/>
      <c r="COO3" s="42"/>
      <c r="COP3" s="42"/>
      <c r="COQ3" s="42"/>
      <c r="COR3" s="42"/>
      <c r="COS3" s="42"/>
      <c r="COT3" s="42"/>
      <c r="COU3" s="42"/>
      <c r="COV3" s="42"/>
      <c r="COW3" s="42"/>
      <c r="COX3" s="42"/>
      <c r="COY3" s="42"/>
      <c r="COZ3" s="42"/>
      <c r="CPA3" s="42"/>
      <c r="CPB3" s="42"/>
      <c r="CPC3" s="42"/>
      <c r="CPD3" s="42"/>
      <c r="CPE3" s="42"/>
      <c r="CPF3" s="42"/>
      <c r="CPG3" s="42"/>
      <c r="CPH3" s="42"/>
      <c r="CPI3" s="42"/>
      <c r="CPJ3" s="42"/>
      <c r="CPK3" s="42"/>
      <c r="CPL3" s="42"/>
      <c r="CPM3" s="42"/>
      <c r="CPN3" s="42"/>
      <c r="CPO3" s="42"/>
      <c r="CPP3" s="42"/>
      <c r="CPQ3" s="42"/>
      <c r="CPR3" s="42"/>
      <c r="CPS3" s="42"/>
      <c r="CPT3" s="42"/>
      <c r="CPU3" s="42"/>
      <c r="CPV3" s="42"/>
      <c r="CPW3" s="42"/>
      <c r="CPX3" s="42"/>
      <c r="CPY3" s="42"/>
      <c r="CPZ3" s="42"/>
      <c r="CQA3" s="42"/>
      <c r="CQB3" s="42"/>
      <c r="CQC3" s="42"/>
      <c r="CQD3" s="42"/>
      <c r="CQE3" s="42"/>
      <c r="CQF3" s="42"/>
      <c r="CQG3" s="42"/>
      <c r="CQH3" s="42"/>
      <c r="CQI3" s="42"/>
      <c r="CQJ3" s="42"/>
      <c r="CQK3" s="42"/>
      <c r="CQL3" s="42"/>
      <c r="CQM3" s="42"/>
      <c r="CQN3" s="42"/>
      <c r="CQO3" s="42"/>
      <c r="CQP3" s="42"/>
      <c r="CQQ3" s="42"/>
      <c r="CQR3" s="42"/>
      <c r="CQS3" s="42"/>
      <c r="CQT3" s="42"/>
      <c r="CQU3" s="42"/>
      <c r="CQV3" s="42"/>
      <c r="CQW3" s="42"/>
      <c r="CQX3" s="42"/>
      <c r="CQY3" s="42"/>
      <c r="CQZ3" s="42"/>
      <c r="CRA3" s="42"/>
      <c r="CRB3" s="42"/>
      <c r="CRC3" s="42"/>
      <c r="CRD3" s="42"/>
      <c r="CRE3" s="42"/>
      <c r="CRF3" s="42"/>
      <c r="CRG3" s="42"/>
      <c r="CRH3" s="42"/>
      <c r="CRI3" s="42"/>
      <c r="CRJ3" s="42"/>
      <c r="CRK3" s="42"/>
      <c r="CRL3" s="42"/>
      <c r="CRM3" s="42"/>
      <c r="CRN3" s="42"/>
      <c r="CRO3" s="42"/>
      <c r="CRP3" s="42"/>
      <c r="CRQ3" s="42"/>
      <c r="CRR3" s="42"/>
      <c r="CRS3" s="42"/>
      <c r="CRT3" s="42"/>
      <c r="CRU3" s="42"/>
      <c r="CRV3" s="42"/>
      <c r="CRW3" s="42"/>
      <c r="CRX3" s="42"/>
      <c r="CRY3" s="42"/>
      <c r="CRZ3" s="42"/>
      <c r="CSA3" s="42"/>
      <c r="CSB3" s="42"/>
      <c r="CSC3" s="42"/>
      <c r="CSD3" s="42"/>
      <c r="CSE3" s="42"/>
      <c r="CSF3" s="42"/>
      <c r="CSG3" s="42"/>
      <c r="CSH3" s="42"/>
      <c r="CSI3" s="42"/>
      <c r="CSJ3" s="42"/>
      <c r="CSK3" s="42"/>
      <c r="CSL3" s="42"/>
      <c r="CSM3" s="42"/>
      <c r="CSN3" s="42"/>
      <c r="CSO3" s="42"/>
      <c r="CSP3" s="42"/>
      <c r="CSQ3" s="42"/>
      <c r="CSR3" s="42"/>
      <c r="CSS3" s="42"/>
      <c r="CST3" s="42"/>
      <c r="CSU3" s="42"/>
      <c r="CSV3" s="42"/>
      <c r="CSW3" s="42"/>
      <c r="CSX3" s="42"/>
      <c r="CSY3" s="42"/>
      <c r="CSZ3" s="42"/>
      <c r="CTA3" s="42"/>
      <c r="CTB3" s="42"/>
      <c r="CTC3" s="42"/>
      <c r="CTD3" s="42"/>
      <c r="CTE3" s="42"/>
      <c r="CTF3" s="42"/>
      <c r="CTG3" s="42"/>
      <c r="CTH3" s="42"/>
      <c r="CTI3" s="42"/>
      <c r="CTJ3" s="42"/>
      <c r="CTK3" s="42"/>
      <c r="CTL3" s="42"/>
      <c r="CTM3" s="42"/>
      <c r="CTN3" s="42"/>
      <c r="CTO3" s="42"/>
      <c r="CTP3" s="42"/>
      <c r="CTQ3" s="42"/>
      <c r="CTR3" s="42"/>
      <c r="CTS3" s="42"/>
      <c r="CTT3" s="42"/>
      <c r="CTU3" s="42"/>
      <c r="CTV3" s="42"/>
      <c r="CTW3" s="42"/>
      <c r="CTX3" s="42"/>
      <c r="CTY3" s="42"/>
      <c r="CTZ3" s="42"/>
      <c r="CUA3" s="42"/>
      <c r="CUB3" s="42"/>
      <c r="CUC3" s="42"/>
      <c r="CUD3" s="42"/>
      <c r="CUE3" s="42"/>
      <c r="CUF3" s="42"/>
      <c r="CUG3" s="42"/>
      <c r="CUH3" s="42"/>
      <c r="CUI3" s="42"/>
      <c r="CUJ3" s="42"/>
      <c r="CUK3" s="42"/>
      <c r="CUL3" s="42"/>
      <c r="CUM3" s="42"/>
      <c r="CUN3" s="42"/>
      <c r="CUO3" s="42"/>
      <c r="CUP3" s="42"/>
      <c r="CUQ3" s="42"/>
      <c r="CUR3" s="42"/>
      <c r="CUS3" s="42"/>
      <c r="CUT3" s="42"/>
      <c r="CUU3" s="42"/>
      <c r="CUV3" s="42"/>
      <c r="CUW3" s="42"/>
      <c r="CUX3" s="42"/>
      <c r="CUY3" s="42"/>
      <c r="CUZ3" s="42"/>
      <c r="CVA3" s="42"/>
      <c r="CVB3" s="42"/>
      <c r="CVC3" s="42"/>
      <c r="CVD3" s="42"/>
      <c r="CVE3" s="42"/>
      <c r="CVF3" s="42"/>
      <c r="CVG3" s="42"/>
      <c r="CVH3" s="42"/>
      <c r="CVI3" s="42"/>
      <c r="CVJ3" s="42"/>
      <c r="CVK3" s="42"/>
      <c r="CVL3" s="42"/>
      <c r="CVM3" s="42"/>
      <c r="CVN3" s="42"/>
      <c r="CVO3" s="42"/>
      <c r="CVP3" s="42"/>
      <c r="CVQ3" s="42"/>
      <c r="CVR3" s="42"/>
      <c r="CVS3" s="42"/>
      <c r="CVT3" s="42"/>
      <c r="CVU3" s="42"/>
      <c r="CVV3" s="42"/>
      <c r="CVW3" s="42"/>
      <c r="CVX3" s="42"/>
      <c r="CVY3" s="42"/>
      <c r="CVZ3" s="42"/>
      <c r="CWA3" s="42"/>
      <c r="CWB3" s="42"/>
      <c r="CWC3" s="42"/>
      <c r="CWD3" s="42"/>
      <c r="CWE3" s="42"/>
      <c r="CWF3" s="42"/>
      <c r="CWG3" s="42"/>
      <c r="CWH3" s="42"/>
      <c r="CWI3" s="42"/>
      <c r="CWJ3" s="42"/>
      <c r="CWK3" s="42"/>
      <c r="CWL3" s="42"/>
      <c r="CWM3" s="42"/>
      <c r="CWN3" s="42"/>
      <c r="CWO3" s="42"/>
      <c r="CWP3" s="42"/>
      <c r="CWQ3" s="42"/>
      <c r="CWR3" s="42"/>
      <c r="CWS3" s="42"/>
      <c r="CWT3" s="42"/>
      <c r="CWU3" s="42"/>
      <c r="CWV3" s="42"/>
      <c r="CWW3" s="42"/>
      <c r="CWX3" s="42"/>
      <c r="CWY3" s="42"/>
      <c r="CWZ3" s="42"/>
      <c r="CXA3" s="42"/>
      <c r="CXB3" s="42"/>
      <c r="CXC3" s="42"/>
      <c r="CXD3" s="42"/>
      <c r="CXE3" s="42"/>
      <c r="CXF3" s="42"/>
      <c r="CXG3" s="42"/>
      <c r="CXH3" s="42"/>
      <c r="CXI3" s="42"/>
      <c r="CXJ3" s="42"/>
      <c r="CXK3" s="42"/>
      <c r="CXL3" s="42"/>
      <c r="CXM3" s="42"/>
      <c r="CXN3" s="42"/>
      <c r="CXO3" s="42"/>
      <c r="CXP3" s="42"/>
      <c r="CXQ3" s="42"/>
      <c r="CXR3" s="42"/>
      <c r="CXS3" s="42"/>
      <c r="CXT3" s="42"/>
      <c r="CXU3" s="42"/>
      <c r="CXV3" s="42"/>
      <c r="CXW3" s="42"/>
      <c r="CXX3" s="42"/>
      <c r="CXY3" s="42"/>
      <c r="CXZ3" s="42"/>
      <c r="CYA3" s="42"/>
      <c r="CYB3" s="42"/>
      <c r="CYC3" s="42"/>
      <c r="CYD3" s="42"/>
      <c r="CYE3" s="42"/>
      <c r="CYF3" s="42"/>
      <c r="CYG3" s="42"/>
      <c r="CYH3" s="42"/>
      <c r="CYI3" s="42"/>
      <c r="CYJ3" s="42"/>
      <c r="CYK3" s="42"/>
      <c r="CYL3" s="42"/>
      <c r="CYM3" s="42"/>
      <c r="CYN3" s="42"/>
      <c r="CYO3" s="42"/>
      <c r="CYP3" s="42"/>
      <c r="CYQ3" s="42"/>
      <c r="CYR3" s="42"/>
      <c r="CYS3" s="42"/>
      <c r="CYT3" s="42"/>
      <c r="CYU3" s="42"/>
      <c r="CYV3" s="42"/>
      <c r="CYW3" s="42"/>
      <c r="CYX3" s="42"/>
      <c r="CYY3" s="42"/>
      <c r="CYZ3" s="42"/>
      <c r="CZA3" s="42"/>
      <c r="CZB3" s="42"/>
      <c r="CZC3" s="42"/>
      <c r="CZD3" s="42"/>
      <c r="CZE3" s="42"/>
      <c r="CZF3" s="42"/>
      <c r="CZG3" s="42"/>
      <c r="CZH3" s="42"/>
      <c r="CZI3" s="42"/>
      <c r="CZJ3" s="42"/>
      <c r="CZK3" s="42"/>
      <c r="CZL3" s="42"/>
      <c r="CZM3" s="42"/>
      <c r="CZN3" s="42"/>
      <c r="CZO3" s="42"/>
      <c r="CZP3" s="42"/>
      <c r="CZQ3" s="42"/>
      <c r="CZR3" s="42"/>
      <c r="CZS3" s="42"/>
      <c r="CZT3" s="42"/>
      <c r="CZU3" s="42"/>
      <c r="CZV3" s="42"/>
      <c r="CZW3" s="42"/>
      <c r="CZX3" s="42"/>
      <c r="CZY3" s="42"/>
      <c r="CZZ3" s="42"/>
      <c r="DAA3" s="42"/>
      <c r="DAB3" s="42"/>
      <c r="DAC3" s="42"/>
      <c r="DAD3" s="42"/>
      <c r="DAE3" s="42"/>
      <c r="DAF3" s="42"/>
      <c r="DAG3" s="42"/>
      <c r="DAH3" s="42"/>
      <c r="DAI3" s="42"/>
      <c r="DAJ3" s="42"/>
      <c r="DAK3" s="42"/>
      <c r="DAL3" s="42"/>
      <c r="DAM3" s="42"/>
      <c r="DAN3" s="42"/>
      <c r="DAO3" s="42"/>
      <c r="DAP3" s="42"/>
      <c r="DAQ3" s="42"/>
      <c r="DAR3" s="42"/>
      <c r="DAS3" s="42"/>
      <c r="DAT3" s="42"/>
      <c r="DAU3" s="42"/>
      <c r="DAV3" s="42"/>
      <c r="DAW3" s="42"/>
      <c r="DAX3" s="42"/>
      <c r="DAY3" s="42"/>
      <c r="DAZ3" s="42"/>
      <c r="DBA3" s="42"/>
      <c r="DBB3" s="42"/>
      <c r="DBC3" s="42"/>
      <c r="DBD3" s="42"/>
      <c r="DBE3" s="42"/>
      <c r="DBF3" s="42"/>
      <c r="DBG3" s="42"/>
      <c r="DBH3" s="42"/>
      <c r="DBI3" s="42"/>
      <c r="DBJ3" s="42"/>
      <c r="DBK3" s="42"/>
      <c r="DBL3" s="42"/>
      <c r="DBM3" s="42"/>
      <c r="DBN3" s="42"/>
      <c r="DBO3" s="42"/>
      <c r="DBP3" s="42"/>
      <c r="DBQ3" s="42"/>
      <c r="DBR3" s="42"/>
      <c r="DBS3" s="42"/>
      <c r="DBT3" s="42"/>
      <c r="DBU3" s="42"/>
      <c r="DBV3" s="42"/>
      <c r="DBW3" s="42"/>
      <c r="DBX3" s="42"/>
      <c r="DBY3" s="42"/>
      <c r="DBZ3" s="42"/>
      <c r="DCA3" s="42"/>
      <c r="DCB3" s="42"/>
      <c r="DCC3" s="42"/>
      <c r="DCD3" s="42"/>
      <c r="DCE3" s="42"/>
      <c r="DCF3" s="42"/>
      <c r="DCG3" s="42"/>
      <c r="DCH3" s="42"/>
      <c r="DCI3" s="42"/>
      <c r="DCJ3" s="42"/>
      <c r="DCK3" s="42"/>
      <c r="DCL3" s="42"/>
      <c r="DCM3" s="42"/>
      <c r="DCN3" s="42"/>
      <c r="DCO3" s="42"/>
      <c r="DCP3" s="42"/>
      <c r="DCQ3" s="42"/>
      <c r="DCR3" s="42"/>
      <c r="DCS3" s="42"/>
      <c r="DCT3" s="42"/>
      <c r="DCU3" s="42"/>
      <c r="DCV3" s="42"/>
      <c r="DCW3" s="42"/>
      <c r="DCX3" s="42"/>
      <c r="DCY3" s="42"/>
      <c r="DCZ3" s="42"/>
      <c r="DDA3" s="42"/>
      <c r="DDB3" s="42"/>
      <c r="DDC3" s="42"/>
      <c r="DDD3" s="42"/>
      <c r="DDE3" s="42"/>
      <c r="DDF3" s="42"/>
      <c r="DDG3" s="42"/>
      <c r="DDH3" s="42"/>
      <c r="DDI3" s="42"/>
      <c r="DDJ3" s="42"/>
      <c r="DDK3" s="42"/>
      <c r="DDL3" s="42"/>
      <c r="DDM3" s="42"/>
      <c r="DDN3" s="42"/>
      <c r="DDO3" s="42"/>
      <c r="DDP3" s="42"/>
      <c r="DDQ3" s="42"/>
      <c r="DDR3" s="42"/>
      <c r="DDS3" s="42"/>
      <c r="DDT3" s="42"/>
      <c r="DDU3" s="42"/>
      <c r="DDV3" s="42"/>
      <c r="DDW3" s="42"/>
      <c r="DDX3" s="42"/>
      <c r="DDY3" s="42"/>
      <c r="DDZ3" s="42"/>
      <c r="DEA3" s="42"/>
      <c r="DEB3" s="42"/>
      <c r="DEC3" s="42"/>
      <c r="DED3" s="42"/>
      <c r="DEE3" s="42"/>
      <c r="DEF3" s="42"/>
      <c r="DEG3" s="42"/>
      <c r="DEH3" s="42"/>
      <c r="DEI3" s="42"/>
      <c r="DEJ3" s="42"/>
      <c r="DEK3" s="42"/>
      <c r="DEL3" s="42"/>
      <c r="DEM3" s="42"/>
      <c r="DEN3" s="42"/>
      <c r="DEO3" s="42"/>
      <c r="DEP3" s="42"/>
      <c r="DEQ3" s="42"/>
      <c r="DER3" s="42"/>
      <c r="DES3" s="42"/>
      <c r="DET3" s="42"/>
      <c r="DEU3" s="42"/>
      <c r="DEV3" s="42"/>
      <c r="DEW3" s="42"/>
      <c r="DEX3" s="42"/>
      <c r="DEY3" s="42"/>
      <c r="DEZ3" s="42"/>
      <c r="DFA3" s="42"/>
      <c r="DFB3" s="42"/>
      <c r="DFC3" s="42"/>
      <c r="DFD3" s="42"/>
      <c r="DFE3" s="42"/>
      <c r="DFF3" s="42"/>
      <c r="DFG3" s="42"/>
      <c r="DFH3" s="42"/>
      <c r="DFI3" s="42"/>
      <c r="DFJ3" s="42"/>
      <c r="DFK3" s="42"/>
      <c r="DFL3" s="42"/>
      <c r="DFM3" s="42"/>
      <c r="DFN3" s="42"/>
      <c r="DFO3" s="42"/>
      <c r="DFP3" s="42"/>
      <c r="DFQ3" s="42"/>
      <c r="DFR3" s="42"/>
      <c r="DFS3" s="42"/>
      <c r="DFT3" s="42"/>
      <c r="DFU3" s="42"/>
      <c r="DFV3" s="42"/>
      <c r="DFW3" s="42"/>
      <c r="DFX3" s="42"/>
      <c r="DFY3" s="42"/>
      <c r="DFZ3" s="42"/>
      <c r="DGA3" s="42"/>
      <c r="DGB3" s="42"/>
      <c r="DGC3" s="42"/>
      <c r="DGD3" s="42"/>
      <c r="DGE3" s="42"/>
      <c r="DGF3" s="42"/>
      <c r="DGG3" s="42"/>
      <c r="DGH3" s="42"/>
      <c r="DGI3" s="42"/>
      <c r="DGJ3" s="42"/>
      <c r="DGK3" s="42"/>
      <c r="DGL3" s="42"/>
      <c r="DGM3" s="42"/>
      <c r="DGN3" s="42"/>
      <c r="DGO3" s="42"/>
      <c r="DGP3" s="42"/>
      <c r="DGQ3" s="42"/>
      <c r="DGR3" s="42"/>
      <c r="DGS3" s="42"/>
      <c r="DGT3" s="42"/>
      <c r="DGU3" s="42"/>
      <c r="DGV3" s="42"/>
      <c r="DGW3" s="42"/>
      <c r="DGX3" s="42"/>
      <c r="DGY3" s="42"/>
      <c r="DGZ3" s="42"/>
      <c r="DHA3" s="42"/>
      <c r="DHB3" s="42"/>
      <c r="DHC3" s="42"/>
      <c r="DHD3" s="42"/>
      <c r="DHE3" s="42"/>
      <c r="DHF3" s="42"/>
      <c r="DHG3" s="42"/>
      <c r="DHH3" s="42"/>
      <c r="DHI3" s="42"/>
      <c r="DHJ3" s="42"/>
      <c r="DHK3" s="42"/>
      <c r="DHL3" s="42"/>
      <c r="DHM3" s="42"/>
      <c r="DHN3" s="42"/>
      <c r="DHO3" s="42"/>
      <c r="DHP3" s="42"/>
      <c r="DHQ3" s="42"/>
      <c r="DHR3" s="42"/>
      <c r="DHS3" s="42"/>
      <c r="DHT3" s="42"/>
      <c r="DHU3" s="42"/>
      <c r="DHV3" s="42"/>
      <c r="DHW3" s="42"/>
      <c r="DHX3" s="42"/>
      <c r="DHY3" s="42"/>
      <c r="DHZ3" s="42"/>
      <c r="DIA3" s="42"/>
      <c r="DIB3" s="42"/>
      <c r="DIC3" s="42"/>
      <c r="DID3" s="42"/>
      <c r="DIE3" s="42"/>
      <c r="DIF3" s="42"/>
      <c r="DIG3" s="42"/>
      <c r="DIH3" s="42"/>
      <c r="DII3" s="42"/>
      <c r="DIJ3" s="42"/>
      <c r="DIK3" s="42"/>
      <c r="DIL3" s="42"/>
      <c r="DIM3" s="42"/>
      <c r="DIN3" s="42"/>
      <c r="DIO3" s="42"/>
      <c r="DIP3" s="42"/>
      <c r="DIQ3" s="42"/>
      <c r="DIR3" s="42"/>
      <c r="DIS3" s="42"/>
      <c r="DIT3" s="42"/>
      <c r="DIU3" s="42"/>
      <c r="DIV3" s="42"/>
      <c r="DIW3" s="42"/>
      <c r="DIX3" s="42"/>
      <c r="DIY3" s="42"/>
      <c r="DIZ3" s="42"/>
      <c r="DJA3" s="42"/>
      <c r="DJB3" s="42"/>
      <c r="DJC3" s="42"/>
      <c r="DJD3" s="42"/>
      <c r="DJE3" s="42"/>
      <c r="DJF3" s="42"/>
      <c r="DJG3" s="42"/>
      <c r="DJH3" s="42"/>
      <c r="DJI3" s="42"/>
      <c r="DJJ3" s="42"/>
      <c r="DJK3" s="42"/>
      <c r="DJL3" s="42"/>
      <c r="DJM3" s="42"/>
      <c r="DJN3" s="42"/>
      <c r="DJO3" s="42"/>
      <c r="DJP3" s="42"/>
      <c r="DJQ3" s="42"/>
      <c r="DJR3" s="42"/>
      <c r="DJS3" s="42"/>
      <c r="DJT3" s="42"/>
      <c r="DJU3" s="42"/>
      <c r="DJV3" s="42"/>
      <c r="DJW3" s="42"/>
      <c r="DJX3" s="42"/>
      <c r="DJY3" s="42"/>
      <c r="DJZ3" s="42"/>
      <c r="DKA3" s="42"/>
      <c r="DKB3" s="42"/>
      <c r="DKC3" s="42"/>
      <c r="DKD3" s="42"/>
      <c r="DKE3" s="42"/>
      <c r="DKF3" s="42"/>
      <c r="DKG3" s="42"/>
      <c r="DKH3" s="42"/>
      <c r="DKI3" s="42"/>
      <c r="DKJ3" s="42"/>
      <c r="DKK3" s="42"/>
      <c r="DKL3" s="42"/>
      <c r="DKM3" s="42"/>
      <c r="DKN3" s="42"/>
      <c r="DKO3" s="42"/>
      <c r="DKP3" s="42"/>
      <c r="DKQ3" s="42"/>
      <c r="DKR3" s="42"/>
      <c r="DKS3" s="42"/>
      <c r="DKT3" s="42"/>
      <c r="DKU3" s="42"/>
      <c r="DKV3" s="42"/>
      <c r="DKW3" s="42"/>
      <c r="DKX3" s="42"/>
      <c r="DKY3" s="42"/>
      <c r="DKZ3" s="42"/>
      <c r="DLA3" s="42"/>
      <c r="DLB3" s="42"/>
      <c r="DLC3" s="42"/>
      <c r="DLD3" s="42"/>
      <c r="DLE3" s="42"/>
      <c r="DLF3" s="42"/>
      <c r="DLG3" s="42"/>
      <c r="DLH3" s="42"/>
      <c r="DLI3" s="42"/>
      <c r="DLJ3" s="42"/>
      <c r="DLK3" s="42"/>
      <c r="DLL3" s="42"/>
      <c r="DLM3" s="42"/>
      <c r="DLN3" s="42"/>
      <c r="DLO3" s="42"/>
      <c r="DLP3" s="42"/>
      <c r="DLQ3" s="42"/>
      <c r="DLR3" s="42"/>
      <c r="DLS3" s="42"/>
      <c r="DLT3" s="42"/>
      <c r="DLU3" s="42"/>
      <c r="DLV3" s="42"/>
      <c r="DLW3" s="42"/>
      <c r="DLX3" s="42"/>
      <c r="DLY3" s="42"/>
      <c r="DLZ3" s="42"/>
      <c r="DMA3" s="42"/>
      <c r="DMB3" s="42"/>
      <c r="DMC3" s="42"/>
      <c r="DMD3" s="42"/>
      <c r="DME3" s="42"/>
      <c r="DMF3" s="42"/>
      <c r="DMG3" s="42"/>
      <c r="DMH3" s="42"/>
      <c r="DMI3" s="42"/>
      <c r="DMJ3" s="42"/>
      <c r="DMK3" s="42"/>
      <c r="DML3" s="42"/>
      <c r="DMM3" s="42"/>
      <c r="DMN3" s="42"/>
      <c r="DMO3" s="42"/>
      <c r="DMP3" s="42"/>
      <c r="DMQ3" s="42"/>
      <c r="DMR3" s="42"/>
      <c r="DMS3" s="42"/>
      <c r="DMT3" s="42"/>
      <c r="DMU3" s="42"/>
      <c r="DMV3" s="42"/>
      <c r="DMW3" s="42"/>
      <c r="DMX3" s="42"/>
      <c r="DMY3" s="42"/>
      <c r="DMZ3" s="42"/>
      <c r="DNA3" s="42"/>
      <c r="DNB3" s="42"/>
      <c r="DNC3" s="42"/>
      <c r="DND3" s="42"/>
      <c r="DNE3" s="42"/>
      <c r="DNF3" s="42"/>
      <c r="DNG3" s="42"/>
      <c r="DNH3" s="42"/>
      <c r="DNI3" s="42"/>
      <c r="DNJ3" s="42"/>
      <c r="DNK3" s="42"/>
      <c r="DNL3" s="42"/>
      <c r="DNM3" s="42"/>
      <c r="DNN3" s="42"/>
      <c r="DNO3" s="42"/>
      <c r="DNP3" s="42"/>
      <c r="DNQ3" s="42"/>
      <c r="DNR3" s="42"/>
      <c r="DNS3" s="42"/>
      <c r="DNT3" s="42"/>
      <c r="DNU3" s="42"/>
      <c r="DNV3" s="42"/>
      <c r="DNW3" s="42"/>
      <c r="DNX3" s="42"/>
      <c r="DNY3" s="42"/>
      <c r="DNZ3" s="42"/>
      <c r="DOA3" s="42"/>
      <c r="DOB3" s="42"/>
      <c r="DOC3" s="42"/>
      <c r="DOD3" s="42"/>
      <c r="DOE3" s="42"/>
      <c r="DOF3" s="42"/>
      <c r="DOG3" s="42"/>
      <c r="DOH3" s="42"/>
      <c r="DOI3" s="42"/>
      <c r="DOJ3" s="42"/>
      <c r="DOK3" s="42"/>
      <c r="DOL3" s="42"/>
      <c r="DOM3" s="42"/>
      <c r="DON3" s="42"/>
      <c r="DOO3" s="42"/>
      <c r="DOP3" s="42"/>
      <c r="DOQ3" s="42"/>
      <c r="DOR3" s="42"/>
      <c r="DOS3" s="42"/>
      <c r="DOT3" s="42"/>
      <c r="DOU3" s="42"/>
      <c r="DOV3" s="42"/>
      <c r="DOW3" s="42"/>
      <c r="DOX3" s="42"/>
      <c r="DOY3" s="42"/>
      <c r="DOZ3" s="42"/>
      <c r="DPA3" s="42"/>
      <c r="DPB3" s="42"/>
      <c r="DPC3" s="42"/>
      <c r="DPD3" s="42"/>
      <c r="DPE3" s="42"/>
      <c r="DPF3" s="42"/>
      <c r="DPG3" s="42"/>
      <c r="DPH3" s="42"/>
      <c r="DPI3" s="42"/>
      <c r="DPJ3" s="42"/>
      <c r="DPK3" s="42"/>
      <c r="DPL3" s="42"/>
      <c r="DPM3" s="42"/>
      <c r="DPN3" s="42"/>
      <c r="DPO3" s="42"/>
      <c r="DPP3" s="42"/>
      <c r="DPQ3" s="42"/>
      <c r="DPR3" s="42"/>
      <c r="DPS3" s="42"/>
      <c r="DPT3" s="42"/>
      <c r="DPU3" s="42"/>
      <c r="DPV3" s="42"/>
      <c r="DPW3" s="42"/>
      <c r="DPX3" s="42"/>
      <c r="DPY3" s="42"/>
      <c r="DPZ3" s="42"/>
      <c r="DQA3" s="42"/>
      <c r="DQB3" s="42"/>
      <c r="DQC3" s="42"/>
      <c r="DQD3" s="42"/>
      <c r="DQE3" s="42"/>
      <c r="DQF3" s="42"/>
      <c r="DQG3" s="42"/>
      <c r="DQH3" s="42"/>
      <c r="DQI3" s="42"/>
      <c r="DQJ3" s="42"/>
      <c r="DQK3" s="42"/>
      <c r="DQL3" s="42"/>
      <c r="DQM3" s="42"/>
      <c r="DQN3" s="42"/>
      <c r="DQO3" s="42"/>
      <c r="DQP3" s="42"/>
      <c r="DQQ3" s="42"/>
      <c r="DQR3" s="42"/>
      <c r="DQS3" s="42"/>
      <c r="DQT3" s="42"/>
      <c r="DQU3" s="42"/>
      <c r="DQV3" s="42"/>
      <c r="DQW3" s="42"/>
      <c r="DQX3" s="42"/>
      <c r="DQY3" s="42"/>
      <c r="DQZ3" s="42"/>
      <c r="DRA3" s="42"/>
      <c r="DRB3" s="42"/>
      <c r="DRC3" s="42"/>
      <c r="DRD3" s="42"/>
      <c r="DRE3" s="42"/>
      <c r="DRF3" s="42"/>
      <c r="DRG3" s="42"/>
      <c r="DRH3" s="42"/>
      <c r="DRI3" s="42"/>
      <c r="DRJ3" s="42"/>
      <c r="DRK3" s="42"/>
      <c r="DRL3" s="42"/>
      <c r="DRM3" s="42"/>
      <c r="DRN3" s="42"/>
      <c r="DRO3" s="42"/>
      <c r="DRP3" s="42"/>
      <c r="DRQ3" s="42"/>
      <c r="DRR3" s="42"/>
      <c r="DRS3" s="42"/>
      <c r="DRT3" s="42"/>
      <c r="DRU3" s="42"/>
      <c r="DRV3" s="42"/>
      <c r="DRW3" s="42"/>
      <c r="DRX3" s="42"/>
      <c r="DRY3" s="42"/>
      <c r="DRZ3" s="42"/>
      <c r="DSA3" s="42"/>
      <c r="DSB3" s="42"/>
      <c r="DSC3" s="42"/>
      <c r="DSD3" s="42"/>
      <c r="DSE3" s="42"/>
      <c r="DSF3" s="42"/>
      <c r="DSG3" s="42"/>
      <c r="DSH3" s="42"/>
      <c r="DSI3" s="42"/>
      <c r="DSJ3" s="42"/>
      <c r="DSK3" s="42"/>
      <c r="DSL3" s="42"/>
      <c r="DSM3" s="42"/>
      <c r="DSN3" s="42"/>
      <c r="DSO3" s="42"/>
      <c r="DSP3" s="42"/>
      <c r="DSQ3" s="42"/>
      <c r="DSR3" s="42"/>
      <c r="DSS3" s="42"/>
      <c r="DST3" s="42"/>
      <c r="DSU3" s="42"/>
      <c r="DSV3" s="42"/>
      <c r="DSW3" s="42"/>
      <c r="DSX3" s="42"/>
      <c r="DSY3" s="42"/>
      <c r="DSZ3" s="42"/>
      <c r="DTA3" s="42"/>
      <c r="DTB3" s="42"/>
      <c r="DTC3" s="42"/>
      <c r="DTD3" s="42"/>
      <c r="DTE3" s="42"/>
      <c r="DTF3" s="42"/>
      <c r="DTG3" s="42"/>
      <c r="DTH3" s="42"/>
      <c r="DTI3" s="42"/>
      <c r="DTJ3" s="42"/>
      <c r="DTK3" s="42"/>
      <c r="DTL3" s="42"/>
      <c r="DTM3" s="42"/>
      <c r="DTN3" s="42"/>
      <c r="DTO3" s="42"/>
      <c r="DTP3" s="42"/>
      <c r="DTQ3" s="42"/>
      <c r="DTR3" s="42"/>
      <c r="DTS3" s="42"/>
      <c r="DTT3" s="42"/>
      <c r="DTU3" s="42"/>
      <c r="DTV3" s="42"/>
      <c r="DTW3" s="42"/>
      <c r="DTX3" s="42"/>
      <c r="DTY3" s="42"/>
      <c r="DTZ3" s="42"/>
      <c r="DUA3" s="42"/>
      <c r="DUB3" s="42"/>
      <c r="DUC3" s="42"/>
      <c r="DUD3" s="42"/>
      <c r="DUE3" s="42"/>
      <c r="DUF3" s="42"/>
      <c r="DUG3" s="42"/>
      <c r="DUH3" s="42"/>
      <c r="DUI3" s="42"/>
      <c r="DUJ3" s="42"/>
      <c r="DUK3" s="42"/>
      <c r="DUL3" s="42"/>
      <c r="DUM3" s="42"/>
      <c r="DUN3" s="42"/>
      <c r="DUO3" s="42"/>
      <c r="DUP3" s="42"/>
      <c r="DUQ3" s="42"/>
      <c r="DUR3" s="42"/>
      <c r="DUS3" s="42"/>
      <c r="DUT3" s="42"/>
      <c r="DUU3" s="42"/>
      <c r="DUV3" s="42"/>
      <c r="DUW3" s="42"/>
      <c r="DUX3" s="42"/>
      <c r="DUY3" s="42"/>
      <c r="DUZ3" s="42"/>
      <c r="DVA3" s="42"/>
      <c r="DVB3" s="42"/>
      <c r="DVC3" s="42"/>
      <c r="DVD3" s="42"/>
      <c r="DVE3" s="42"/>
      <c r="DVF3" s="42"/>
      <c r="DVG3" s="42"/>
      <c r="DVH3" s="42"/>
      <c r="DVI3" s="42"/>
      <c r="DVJ3" s="42"/>
      <c r="DVK3" s="42"/>
      <c r="DVL3" s="42"/>
      <c r="DVM3" s="42"/>
      <c r="DVN3" s="42"/>
      <c r="DVO3" s="42"/>
      <c r="DVP3" s="42"/>
      <c r="DVQ3" s="42"/>
      <c r="DVR3" s="42"/>
      <c r="DVS3" s="42"/>
      <c r="DVT3" s="42"/>
      <c r="DVU3" s="42"/>
      <c r="DVV3" s="42"/>
      <c r="DVW3" s="42"/>
      <c r="DVX3" s="42"/>
      <c r="DVY3" s="42"/>
      <c r="DVZ3" s="42"/>
      <c r="DWA3" s="42"/>
      <c r="DWB3" s="42"/>
      <c r="DWC3" s="42"/>
      <c r="DWD3" s="42"/>
      <c r="DWE3" s="42"/>
      <c r="DWF3" s="42"/>
      <c r="DWG3" s="42"/>
      <c r="DWH3" s="42"/>
      <c r="DWI3" s="42"/>
      <c r="DWJ3" s="42"/>
      <c r="DWK3" s="42"/>
      <c r="DWL3" s="42"/>
      <c r="DWM3" s="42"/>
      <c r="DWN3" s="42"/>
      <c r="DWO3" s="42"/>
      <c r="DWP3" s="42"/>
      <c r="DWQ3" s="42"/>
      <c r="DWR3" s="42"/>
      <c r="DWS3" s="42"/>
      <c r="DWT3" s="42"/>
      <c r="DWU3" s="42"/>
      <c r="DWV3" s="42"/>
      <c r="DWW3" s="42"/>
      <c r="DWX3" s="42"/>
      <c r="DWY3" s="42"/>
      <c r="DWZ3" s="42"/>
      <c r="DXA3" s="42"/>
      <c r="DXB3" s="42"/>
      <c r="DXC3" s="42"/>
      <c r="DXD3" s="42"/>
      <c r="DXE3" s="42"/>
      <c r="DXF3" s="42"/>
      <c r="DXG3" s="42"/>
      <c r="DXH3" s="42"/>
      <c r="DXI3" s="42"/>
      <c r="DXJ3" s="42"/>
      <c r="DXK3" s="42"/>
      <c r="DXL3" s="42"/>
      <c r="DXM3" s="42"/>
      <c r="DXN3" s="42"/>
      <c r="DXO3" s="42"/>
      <c r="DXP3" s="42"/>
      <c r="DXQ3" s="42"/>
      <c r="DXR3" s="42"/>
      <c r="DXS3" s="42"/>
      <c r="DXT3" s="42"/>
      <c r="DXU3" s="42"/>
      <c r="DXV3" s="42"/>
      <c r="DXW3" s="42"/>
      <c r="DXX3" s="42"/>
      <c r="DXY3" s="42"/>
      <c r="DXZ3" s="42"/>
      <c r="DYA3" s="42"/>
      <c r="DYB3" s="42"/>
      <c r="DYC3" s="42"/>
      <c r="DYD3" s="42"/>
      <c r="DYE3" s="42"/>
      <c r="DYF3" s="42"/>
      <c r="DYG3" s="42"/>
      <c r="DYH3" s="42"/>
      <c r="DYI3" s="42"/>
      <c r="DYJ3" s="42"/>
      <c r="DYK3" s="42"/>
      <c r="DYL3" s="42"/>
      <c r="DYM3" s="42"/>
      <c r="DYN3" s="42"/>
      <c r="DYO3" s="42"/>
      <c r="DYP3" s="42"/>
      <c r="DYQ3" s="42"/>
      <c r="DYR3" s="42"/>
      <c r="DYS3" s="42"/>
      <c r="DYT3" s="42"/>
      <c r="DYU3" s="42"/>
      <c r="DYV3" s="42"/>
      <c r="DYW3" s="42"/>
      <c r="DYX3" s="42"/>
      <c r="DYY3" s="42"/>
      <c r="DYZ3" s="42"/>
      <c r="DZA3" s="42"/>
      <c r="DZB3" s="42"/>
      <c r="DZC3" s="42"/>
      <c r="DZD3" s="42"/>
      <c r="DZE3" s="42"/>
      <c r="DZF3" s="42"/>
      <c r="DZG3" s="42"/>
      <c r="DZH3" s="42"/>
      <c r="DZI3" s="42"/>
      <c r="DZJ3" s="42"/>
      <c r="DZK3" s="42"/>
      <c r="DZL3" s="42"/>
      <c r="DZM3" s="42"/>
      <c r="DZN3" s="42"/>
      <c r="DZO3" s="42"/>
      <c r="DZP3" s="42"/>
      <c r="DZQ3" s="42"/>
      <c r="DZR3" s="42"/>
      <c r="DZS3" s="42"/>
      <c r="DZT3" s="42"/>
      <c r="DZU3" s="42"/>
      <c r="DZV3" s="42"/>
      <c r="DZW3" s="42"/>
      <c r="DZX3" s="42"/>
      <c r="DZY3" s="42"/>
      <c r="DZZ3" s="42"/>
      <c r="EAA3" s="42"/>
      <c r="EAB3" s="42"/>
      <c r="EAC3" s="42"/>
      <c r="EAD3" s="42"/>
      <c r="EAE3" s="42"/>
      <c r="EAF3" s="42"/>
      <c r="EAG3" s="42"/>
      <c r="EAH3" s="42"/>
      <c r="EAI3" s="42"/>
      <c r="EAJ3" s="42"/>
      <c r="EAK3" s="42"/>
      <c r="EAL3" s="42"/>
      <c r="EAM3" s="42"/>
      <c r="EAN3" s="42"/>
      <c r="EAO3" s="42"/>
      <c r="EAP3" s="42"/>
      <c r="EAQ3" s="42"/>
      <c r="EAR3" s="42"/>
      <c r="EAS3" s="42"/>
      <c r="EAT3" s="42"/>
      <c r="EAU3" s="42"/>
      <c r="EAV3" s="42"/>
      <c r="EAW3" s="42"/>
      <c r="EAX3" s="42"/>
      <c r="EAY3" s="42"/>
      <c r="EAZ3" s="42"/>
      <c r="EBA3" s="42"/>
      <c r="EBB3" s="42"/>
      <c r="EBC3" s="42"/>
      <c r="EBD3" s="42"/>
      <c r="EBE3" s="42"/>
      <c r="EBF3" s="42"/>
      <c r="EBG3" s="42"/>
      <c r="EBH3" s="42"/>
      <c r="EBI3" s="42"/>
      <c r="EBJ3" s="42"/>
      <c r="EBK3" s="42"/>
      <c r="EBL3" s="42"/>
      <c r="EBM3" s="42"/>
      <c r="EBN3" s="42"/>
      <c r="EBO3" s="42"/>
      <c r="EBP3" s="42"/>
      <c r="EBQ3" s="42"/>
      <c r="EBR3" s="42"/>
      <c r="EBS3" s="42"/>
      <c r="EBT3" s="42"/>
      <c r="EBU3" s="42"/>
      <c r="EBV3" s="42"/>
      <c r="EBW3" s="42"/>
      <c r="EBX3" s="42"/>
      <c r="EBY3" s="42"/>
      <c r="EBZ3" s="42"/>
      <c r="ECA3" s="42"/>
      <c r="ECB3" s="42"/>
      <c r="ECC3" s="42"/>
      <c r="ECD3" s="42"/>
      <c r="ECE3" s="42"/>
      <c r="ECF3" s="42"/>
      <c r="ECG3" s="42"/>
      <c r="ECH3" s="42"/>
      <c r="ECI3" s="42"/>
      <c r="ECJ3" s="42"/>
      <c r="ECK3" s="42"/>
      <c r="ECL3" s="42"/>
      <c r="ECM3" s="42"/>
      <c r="ECN3" s="42"/>
      <c r="ECO3" s="42"/>
      <c r="ECP3" s="42"/>
      <c r="ECQ3" s="42"/>
      <c r="ECR3" s="42"/>
      <c r="ECS3" s="42"/>
      <c r="ECT3" s="42"/>
      <c r="ECU3" s="42"/>
      <c r="ECV3" s="42"/>
      <c r="ECW3" s="42"/>
      <c r="ECX3" s="42"/>
      <c r="ECY3" s="42"/>
      <c r="ECZ3" s="42"/>
      <c r="EDA3" s="42"/>
      <c r="EDB3" s="42"/>
      <c r="EDC3" s="42"/>
      <c r="EDD3" s="42"/>
      <c r="EDE3" s="42"/>
      <c r="EDF3" s="42"/>
      <c r="EDG3" s="42"/>
      <c r="EDH3" s="42"/>
      <c r="EDI3" s="42"/>
      <c r="EDJ3" s="42"/>
      <c r="EDK3" s="42"/>
      <c r="EDL3" s="42"/>
      <c r="EDM3" s="42"/>
      <c r="EDN3" s="42"/>
      <c r="EDO3" s="42"/>
      <c r="EDP3" s="42"/>
      <c r="EDQ3" s="42"/>
      <c r="EDR3" s="42"/>
      <c r="EDS3" s="42"/>
      <c r="EDT3" s="42"/>
      <c r="EDU3" s="42"/>
      <c r="EDV3" s="42"/>
      <c r="EDW3" s="42"/>
      <c r="EDX3" s="42"/>
      <c r="EDY3" s="42"/>
      <c r="EDZ3" s="42"/>
      <c r="EEA3" s="42"/>
      <c r="EEB3" s="42"/>
      <c r="EEC3" s="42"/>
      <c r="EED3" s="42"/>
      <c r="EEE3" s="42"/>
      <c r="EEF3" s="42"/>
      <c r="EEG3" s="42"/>
      <c r="EEH3" s="42"/>
      <c r="EEI3" s="42"/>
      <c r="EEJ3" s="42"/>
      <c r="EEK3" s="42"/>
      <c r="EEL3" s="42"/>
      <c r="EEM3" s="42"/>
      <c r="EEN3" s="42"/>
      <c r="EEO3" s="42"/>
      <c r="EEP3" s="42"/>
      <c r="EEQ3" s="42"/>
      <c r="EER3" s="42"/>
      <c r="EES3" s="42"/>
      <c r="EET3" s="42"/>
      <c r="EEU3" s="42"/>
      <c r="EEV3" s="42"/>
      <c r="EEW3" s="42"/>
      <c r="EEX3" s="42"/>
      <c r="EEY3" s="42"/>
      <c r="EEZ3" s="42"/>
      <c r="EFA3" s="42"/>
      <c r="EFB3" s="42"/>
      <c r="EFC3" s="42"/>
      <c r="EFD3" s="42"/>
      <c r="EFE3" s="42"/>
      <c r="EFF3" s="42"/>
      <c r="EFG3" s="42"/>
      <c r="EFH3" s="42"/>
      <c r="EFI3" s="42"/>
      <c r="EFJ3" s="42"/>
      <c r="EFK3" s="42"/>
      <c r="EFL3" s="42"/>
      <c r="EFM3" s="42"/>
      <c r="EFN3" s="42"/>
      <c r="EFO3" s="42"/>
      <c r="EFP3" s="42"/>
      <c r="EFQ3" s="42"/>
      <c r="EFR3" s="42"/>
      <c r="EFS3" s="42"/>
      <c r="EFT3" s="42"/>
      <c r="EFU3" s="42"/>
      <c r="EFV3" s="42"/>
      <c r="EFW3" s="42"/>
      <c r="EFX3" s="42"/>
      <c r="EFY3" s="42"/>
      <c r="EFZ3" s="42"/>
      <c r="EGA3" s="42"/>
      <c r="EGB3" s="42"/>
      <c r="EGC3" s="42"/>
      <c r="EGD3" s="42"/>
      <c r="EGE3" s="42"/>
      <c r="EGF3" s="42"/>
      <c r="EGG3" s="42"/>
      <c r="EGH3" s="42"/>
      <c r="EGI3" s="42"/>
      <c r="EGJ3" s="42"/>
      <c r="EGK3" s="42"/>
      <c r="EGL3" s="42"/>
      <c r="EGM3" s="42"/>
      <c r="EGN3" s="42"/>
      <c r="EGO3" s="42"/>
      <c r="EGP3" s="42"/>
      <c r="EGQ3" s="42"/>
      <c r="EGR3" s="42"/>
      <c r="EGS3" s="42"/>
      <c r="EGT3" s="42"/>
      <c r="EGU3" s="42"/>
      <c r="EGV3" s="42"/>
      <c r="EGW3" s="42"/>
      <c r="EGX3" s="42"/>
      <c r="EGY3" s="42"/>
      <c r="EGZ3" s="42"/>
      <c r="EHA3" s="42"/>
      <c r="EHB3" s="42"/>
      <c r="EHC3" s="42"/>
      <c r="EHD3" s="42"/>
      <c r="EHE3" s="42"/>
      <c r="EHF3" s="42"/>
      <c r="EHG3" s="42"/>
      <c r="EHH3" s="42"/>
      <c r="EHI3" s="42"/>
      <c r="EHJ3" s="42"/>
      <c r="EHK3" s="42"/>
      <c r="EHL3" s="42"/>
      <c r="EHM3" s="42"/>
      <c r="EHN3" s="42"/>
      <c r="EHO3" s="42"/>
      <c r="EHP3" s="42"/>
      <c r="EHQ3" s="42"/>
      <c r="EHR3" s="42"/>
      <c r="EHS3" s="42"/>
      <c r="EHT3" s="42"/>
      <c r="EHU3" s="42"/>
      <c r="EHV3" s="42"/>
      <c r="EHW3" s="42"/>
      <c r="EHX3" s="42"/>
      <c r="EHY3" s="42"/>
      <c r="EHZ3" s="42"/>
      <c r="EIA3" s="42"/>
      <c r="EIB3" s="42"/>
      <c r="EIC3" s="42"/>
      <c r="EID3" s="42"/>
      <c r="EIE3" s="42"/>
      <c r="EIF3" s="42"/>
      <c r="EIG3" s="42"/>
      <c r="EIH3" s="42"/>
      <c r="EII3" s="42"/>
      <c r="EIJ3" s="42"/>
      <c r="EIK3" s="42"/>
      <c r="EIL3" s="42"/>
      <c r="EIM3" s="42"/>
      <c r="EIN3" s="42"/>
      <c r="EIO3" s="42"/>
      <c r="EIP3" s="42"/>
      <c r="EIQ3" s="42"/>
      <c r="EIR3" s="42"/>
      <c r="EIS3" s="42"/>
      <c r="EIT3" s="42"/>
      <c r="EIU3" s="42"/>
      <c r="EIV3" s="42"/>
      <c r="EIW3" s="42"/>
      <c r="EIX3" s="42"/>
      <c r="EIY3" s="42"/>
      <c r="EIZ3" s="42"/>
      <c r="EJA3" s="42"/>
      <c r="EJB3" s="42"/>
      <c r="EJC3" s="42"/>
      <c r="EJD3" s="42"/>
      <c r="EJE3" s="42"/>
      <c r="EJF3" s="42"/>
      <c r="EJG3" s="42"/>
      <c r="EJH3" s="42"/>
      <c r="EJI3" s="42"/>
      <c r="EJJ3" s="42"/>
      <c r="EJK3" s="42"/>
      <c r="EJL3" s="42"/>
      <c r="EJM3" s="42"/>
      <c r="EJN3" s="42"/>
      <c r="EJO3" s="42"/>
      <c r="EJP3" s="42"/>
      <c r="EJQ3" s="42"/>
      <c r="EJR3" s="42"/>
      <c r="EJS3" s="42"/>
      <c r="EJT3" s="42"/>
      <c r="EJU3" s="42"/>
      <c r="EJV3" s="42"/>
      <c r="EJW3" s="42"/>
      <c r="EJX3" s="42"/>
      <c r="EJY3" s="42"/>
      <c r="EJZ3" s="42"/>
      <c r="EKA3" s="42"/>
      <c r="EKB3" s="42"/>
      <c r="EKC3" s="42"/>
      <c r="EKD3" s="42"/>
      <c r="EKE3" s="42"/>
      <c r="EKF3" s="42"/>
      <c r="EKG3" s="42"/>
      <c r="EKH3" s="42"/>
      <c r="EKI3" s="42"/>
      <c r="EKJ3" s="42"/>
      <c r="EKK3" s="42"/>
      <c r="EKL3" s="42"/>
      <c r="EKM3" s="42"/>
      <c r="EKN3" s="42"/>
      <c r="EKO3" s="42"/>
      <c r="EKP3" s="42"/>
      <c r="EKQ3" s="42"/>
      <c r="EKR3" s="42"/>
      <c r="EKS3" s="42"/>
      <c r="EKT3" s="42"/>
      <c r="EKU3" s="42"/>
      <c r="EKV3" s="42"/>
      <c r="EKW3" s="42"/>
      <c r="EKX3" s="42"/>
      <c r="EKY3" s="42"/>
      <c r="EKZ3" s="42"/>
      <c r="ELA3" s="42"/>
      <c r="ELB3" s="42"/>
      <c r="ELC3" s="42"/>
      <c r="ELD3" s="42"/>
      <c r="ELE3" s="42"/>
      <c r="ELF3" s="42"/>
      <c r="ELG3" s="42"/>
      <c r="ELH3" s="42"/>
      <c r="ELI3" s="42"/>
      <c r="ELJ3" s="42"/>
      <c r="ELK3" s="42"/>
      <c r="ELL3" s="42"/>
      <c r="ELM3" s="42"/>
      <c r="ELN3" s="42"/>
      <c r="ELO3" s="42"/>
      <c r="ELP3" s="42"/>
      <c r="ELQ3" s="42"/>
      <c r="ELR3" s="42"/>
      <c r="ELS3" s="42"/>
      <c r="ELT3" s="42"/>
      <c r="ELU3" s="42"/>
      <c r="ELV3" s="42"/>
      <c r="ELW3" s="42"/>
      <c r="ELX3" s="42"/>
      <c r="ELY3" s="42"/>
      <c r="ELZ3" s="42"/>
      <c r="EMA3" s="42"/>
      <c r="EMB3" s="42"/>
      <c r="EMC3" s="42"/>
      <c r="EMD3" s="42"/>
      <c r="EME3" s="42"/>
      <c r="EMF3" s="42"/>
      <c r="EMG3" s="42"/>
      <c r="EMH3" s="42"/>
      <c r="EMI3" s="42"/>
      <c r="EMJ3" s="42"/>
      <c r="EMK3" s="42"/>
      <c r="EML3" s="42"/>
      <c r="EMM3" s="42"/>
      <c r="EMN3" s="42"/>
      <c r="EMO3" s="42"/>
      <c r="EMP3" s="42"/>
      <c r="EMQ3" s="42"/>
      <c r="EMR3" s="42"/>
      <c r="EMS3" s="42"/>
      <c r="EMT3" s="42"/>
      <c r="EMU3" s="42"/>
      <c r="EMV3" s="42"/>
      <c r="EMW3" s="42"/>
      <c r="EMX3" s="42"/>
      <c r="EMY3" s="42"/>
      <c r="EMZ3" s="42"/>
      <c r="ENA3" s="42"/>
      <c r="ENB3" s="42"/>
      <c r="ENC3" s="42"/>
      <c r="END3" s="42"/>
      <c r="ENE3" s="42"/>
      <c r="ENF3" s="42"/>
      <c r="ENG3" s="42"/>
      <c r="ENH3" s="42"/>
      <c r="ENI3" s="42"/>
      <c r="ENJ3" s="42"/>
      <c r="ENK3" s="42"/>
      <c r="ENL3" s="42"/>
      <c r="ENM3" s="42"/>
      <c r="ENN3" s="42"/>
      <c r="ENO3" s="42"/>
      <c r="ENP3" s="42"/>
      <c r="ENQ3" s="42"/>
      <c r="ENR3" s="42"/>
      <c r="ENS3" s="42"/>
      <c r="ENT3" s="42"/>
      <c r="ENU3" s="42"/>
      <c r="ENV3" s="42"/>
      <c r="ENW3" s="42"/>
      <c r="ENX3" s="42"/>
      <c r="ENY3" s="42"/>
      <c r="ENZ3" s="42"/>
      <c r="EOA3" s="42"/>
      <c r="EOB3" s="42"/>
      <c r="EOC3" s="42"/>
      <c r="EOD3" s="42"/>
      <c r="EOE3" s="42"/>
      <c r="EOF3" s="42"/>
      <c r="EOG3" s="42"/>
      <c r="EOH3" s="42"/>
      <c r="EOI3" s="42"/>
      <c r="EOJ3" s="42"/>
      <c r="EOK3" s="42"/>
      <c r="EOL3" s="42"/>
      <c r="EOM3" s="42"/>
      <c r="EON3" s="42"/>
      <c r="EOO3" s="42"/>
      <c r="EOP3" s="42"/>
      <c r="EOQ3" s="42"/>
      <c r="EOR3" s="42"/>
      <c r="EOS3" s="42"/>
      <c r="EOT3" s="42"/>
      <c r="EOU3" s="42"/>
      <c r="EOV3" s="42"/>
      <c r="EOW3" s="42"/>
      <c r="EOX3" s="42"/>
      <c r="EOY3" s="42"/>
      <c r="EOZ3" s="42"/>
      <c r="EPA3" s="42"/>
      <c r="EPB3" s="42"/>
      <c r="EPC3" s="42"/>
      <c r="EPD3" s="42"/>
      <c r="EPE3" s="42"/>
      <c r="EPF3" s="42"/>
      <c r="EPG3" s="42"/>
      <c r="EPH3" s="42"/>
      <c r="EPI3" s="42"/>
      <c r="EPJ3" s="42"/>
      <c r="EPK3" s="42"/>
      <c r="EPL3" s="42"/>
      <c r="EPM3" s="42"/>
      <c r="EPN3" s="42"/>
      <c r="EPO3" s="42"/>
      <c r="EPP3" s="42"/>
      <c r="EPQ3" s="42"/>
      <c r="EPR3" s="42"/>
      <c r="EPS3" s="42"/>
      <c r="EPT3" s="42"/>
      <c r="EPU3" s="42"/>
      <c r="EPV3" s="42"/>
      <c r="EPW3" s="42"/>
      <c r="EPX3" s="42"/>
      <c r="EPY3" s="42"/>
      <c r="EPZ3" s="42"/>
      <c r="EQA3" s="42"/>
      <c r="EQB3" s="42"/>
      <c r="EQC3" s="42"/>
      <c r="EQD3" s="42"/>
      <c r="EQE3" s="42"/>
      <c r="EQF3" s="42"/>
      <c r="EQG3" s="42"/>
      <c r="EQH3" s="42"/>
      <c r="EQI3" s="42"/>
      <c r="EQJ3" s="42"/>
      <c r="EQK3" s="42"/>
      <c r="EQL3" s="42"/>
      <c r="EQM3" s="42"/>
      <c r="EQN3" s="42"/>
      <c r="EQO3" s="42"/>
      <c r="EQP3" s="42"/>
      <c r="EQQ3" s="42"/>
      <c r="EQR3" s="42"/>
      <c r="EQS3" s="42"/>
      <c r="EQT3" s="42"/>
      <c r="EQU3" s="42"/>
      <c r="EQV3" s="42"/>
      <c r="EQW3" s="42"/>
      <c r="EQX3" s="42"/>
      <c r="EQY3" s="42"/>
      <c r="EQZ3" s="42"/>
      <c r="ERA3" s="42"/>
      <c r="ERB3" s="42"/>
      <c r="ERC3" s="42"/>
      <c r="ERD3" s="42"/>
      <c r="ERE3" s="42"/>
      <c r="ERF3" s="42"/>
      <c r="ERG3" s="42"/>
      <c r="ERH3" s="42"/>
      <c r="ERI3" s="42"/>
      <c r="ERJ3" s="42"/>
      <c r="ERK3" s="42"/>
      <c r="ERL3" s="42"/>
      <c r="ERM3" s="42"/>
      <c r="ERN3" s="42"/>
      <c r="ERO3" s="42"/>
      <c r="ERP3" s="42"/>
      <c r="ERQ3" s="42"/>
      <c r="ERR3" s="42"/>
      <c r="ERS3" s="42"/>
      <c r="ERT3" s="42"/>
      <c r="ERU3" s="42"/>
      <c r="ERV3" s="42"/>
      <c r="ERW3" s="42"/>
      <c r="ERX3" s="42"/>
      <c r="ERY3" s="42"/>
      <c r="ERZ3" s="42"/>
      <c r="ESA3" s="42"/>
      <c r="ESB3" s="42"/>
      <c r="ESC3" s="42"/>
      <c r="ESD3" s="42"/>
      <c r="ESE3" s="42"/>
      <c r="ESF3" s="42"/>
      <c r="ESG3" s="42"/>
      <c r="ESH3" s="42"/>
      <c r="ESI3" s="42"/>
      <c r="ESJ3" s="42"/>
      <c r="ESK3" s="42"/>
      <c r="ESL3" s="42"/>
      <c r="ESM3" s="42"/>
      <c r="ESN3" s="42"/>
      <c r="ESO3" s="42"/>
      <c r="ESP3" s="42"/>
      <c r="ESQ3" s="42"/>
      <c r="ESR3" s="42"/>
      <c r="ESS3" s="42"/>
      <c r="EST3" s="42"/>
      <c r="ESU3" s="42"/>
      <c r="ESV3" s="42"/>
      <c r="ESW3" s="42"/>
      <c r="ESX3" s="42"/>
      <c r="ESY3" s="42"/>
      <c r="ESZ3" s="42"/>
      <c r="ETA3" s="42"/>
      <c r="ETB3" s="42"/>
      <c r="ETC3" s="42"/>
      <c r="ETD3" s="42"/>
      <c r="ETE3" s="42"/>
      <c r="ETF3" s="42"/>
      <c r="ETG3" s="42"/>
      <c r="ETH3" s="42"/>
      <c r="ETI3" s="42"/>
      <c r="ETJ3" s="42"/>
      <c r="ETK3" s="42"/>
      <c r="ETL3" s="42"/>
      <c r="ETM3" s="42"/>
      <c r="ETN3" s="42"/>
      <c r="ETO3" s="42"/>
      <c r="ETP3" s="42"/>
      <c r="ETQ3" s="42"/>
      <c r="ETR3" s="42"/>
      <c r="ETS3" s="42"/>
      <c r="ETT3" s="42"/>
      <c r="ETU3" s="42"/>
      <c r="ETV3" s="42"/>
      <c r="ETW3" s="42"/>
      <c r="ETX3" s="42"/>
      <c r="ETY3" s="42"/>
      <c r="ETZ3" s="42"/>
      <c r="EUA3" s="42"/>
      <c r="EUB3" s="42"/>
      <c r="EUC3" s="42"/>
      <c r="EUD3" s="42"/>
      <c r="EUE3" s="42"/>
      <c r="EUF3" s="42"/>
      <c r="EUG3" s="42"/>
      <c r="EUH3" s="42"/>
      <c r="EUI3" s="42"/>
      <c r="EUJ3" s="42"/>
      <c r="EUK3" s="42"/>
      <c r="EUL3" s="42"/>
      <c r="EUM3" s="42"/>
      <c r="EUN3" s="42"/>
      <c r="EUO3" s="42"/>
      <c r="EUP3" s="42"/>
      <c r="EUQ3" s="42"/>
      <c r="EUR3" s="42"/>
      <c r="EUS3" s="42"/>
      <c r="EUT3" s="42"/>
      <c r="EUU3" s="42"/>
      <c r="EUV3" s="42"/>
      <c r="EUW3" s="42"/>
      <c r="EUX3" s="42"/>
      <c r="EUY3" s="42"/>
      <c r="EUZ3" s="42"/>
      <c r="EVA3" s="42"/>
      <c r="EVB3" s="42"/>
      <c r="EVC3" s="42"/>
      <c r="EVD3" s="42"/>
      <c r="EVE3" s="42"/>
      <c r="EVF3" s="42"/>
      <c r="EVG3" s="42"/>
      <c r="EVH3" s="42"/>
      <c r="EVI3" s="42"/>
      <c r="EVJ3" s="42"/>
      <c r="EVK3" s="42"/>
      <c r="EVL3" s="42"/>
      <c r="EVM3" s="42"/>
      <c r="EVN3" s="42"/>
      <c r="EVO3" s="42"/>
      <c r="EVP3" s="42"/>
      <c r="EVQ3" s="42"/>
      <c r="EVR3" s="42"/>
      <c r="EVS3" s="42"/>
      <c r="EVT3" s="42"/>
      <c r="EVU3" s="42"/>
      <c r="EVV3" s="42"/>
      <c r="EVW3" s="42"/>
      <c r="EVX3" s="42"/>
      <c r="EVY3" s="42"/>
      <c r="EVZ3" s="42"/>
      <c r="EWA3" s="42"/>
      <c r="EWB3" s="42"/>
      <c r="EWC3" s="42"/>
      <c r="EWD3" s="42"/>
      <c r="EWE3" s="42"/>
      <c r="EWF3" s="42"/>
      <c r="EWG3" s="42"/>
      <c r="EWH3" s="42"/>
      <c r="EWI3" s="42"/>
      <c r="EWJ3" s="42"/>
      <c r="EWK3" s="42"/>
      <c r="EWL3" s="42"/>
      <c r="EWM3" s="42"/>
      <c r="EWN3" s="42"/>
      <c r="EWO3" s="42"/>
      <c r="EWP3" s="42"/>
      <c r="EWQ3" s="42"/>
      <c r="EWR3" s="42"/>
      <c r="EWS3" s="42"/>
      <c r="EWT3" s="42"/>
      <c r="EWU3" s="42"/>
      <c r="EWV3" s="42"/>
      <c r="EWW3" s="42"/>
      <c r="EWX3" s="42"/>
      <c r="EWY3" s="42"/>
      <c r="EWZ3" s="42"/>
      <c r="EXA3" s="42"/>
      <c r="EXB3" s="42"/>
      <c r="EXC3" s="42"/>
      <c r="EXD3" s="42"/>
      <c r="EXE3" s="42"/>
      <c r="EXF3" s="42"/>
      <c r="EXG3" s="42"/>
      <c r="EXH3" s="42"/>
      <c r="EXI3" s="42"/>
      <c r="EXJ3" s="42"/>
      <c r="EXK3" s="42"/>
      <c r="EXL3" s="42"/>
      <c r="EXM3" s="42"/>
      <c r="EXN3" s="42"/>
      <c r="EXO3" s="42"/>
      <c r="EXP3" s="42"/>
      <c r="EXQ3" s="42"/>
      <c r="EXR3" s="42"/>
      <c r="EXS3" s="42"/>
      <c r="EXT3" s="42"/>
      <c r="EXU3" s="42"/>
      <c r="EXV3" s="42"/>
      <c r="EXW3" s="42"/>
      <c r="EXX3" s="42"/>
      <c r="EXY3" s="42"/>
      <c r="EXZ3" s="42"/>
      <c r="EYA3" s="42"/>
      <c r="EYB3" s="42"/>
      <c r="EYC3" s="42"/>
      <c r="EYD3" s="42"/>
      <c r="EYE3" s="42"/>
      <c r="EYF3" s="42"/>
      <c r="EYG3" s="42"/>
      <c r="EYH3" s="42"/>
      <c r="EYI3" s="42"/>
      <c r="EYJ3" s="42"/>
      <c r="EYK3" s="42"/>
      <c r="EYL3" s="42"/>
      <c r="EYM3" s="42"/>
      <c r="EYN3" s="42"/>
      <c r="EYO3" s="42"/>
      <c r="EYP3" s="42"/>
      <c r="EYQ3" s="42"/>
      <c r="EYR3" s="42"/>
      <c r="EYS3" s="42"/>
      <c r="EYT3" s="42"/>
      <c r="EYU3" s="42"/>
      <c r="EYV3" s="42"/>
      <c r="EYW3" s="42"/>
      <c r="EYX3" s="42"/>
      <c r="EYY3" s="42"/>
      <c r="EYZ3" s="42"/>
      <c r="EZA3" s="42"/>
      <c r="EZB3" s="42"/>
      <c r="EZC3" s="42"/>
      <c r="EZD3" s="42"/>
      <c r="EZE3" s="42"/>
      <c r="EZF3" s="42"/>
      <c r="EZG3" s="42"/>
      <c r="EZH3" s="42"/>
      <c r="EZI3" s="42"/>
      <c r="EZJ3" s="42"/>
      <c r="EZK3" s="42"/>
      <c r="EZL3" s="42"/>
      <c r="EZM3" s="42"/>
      <c r="EZN3" s="42"/>
      <c r="EZO3" s="42"/>
      <c r="EZP3" s="42"/>
      <c r="EZQ3" s="42"/>
      <c r="EZR3" s="42"/>
      <c r="EZS3" s="42"/>
      <c r="EZT3" s="42"/>
      <c r="EZU3" s="42"/>
      <c r="EZV3" s="42"/>
      <c r="EZW3" s="42"/>
      <c r="EZX3" s="42"/>
      <c r="EZY3" s="42"/>
      <c r="EZZ3" s="42"/>
      <c r="FAA3" s="42"/>
      <c r="FAB3" s="42"/>
      <c r="FAC3" s="42"/>
      <c r="FAD3" s="42"/>
      <c r="FAE3" s="42"/>
      <c r="FAF3" s="42"/>
      <c r="FAG3" s="42"/>
      <c r="FAH3" s="42"/>
      <c r="FAI3" s="42"/>
      <c r="FAJ3" s="42"/>
      <c r="FAK3" s="42"/>
      <c r="FAL3" s="42"/>
      <c r="FAM3" s="42"/>
      <c r="FAN3" s="42"/>
      <c r="FAO3" s="42"/>
      <c r="FAP3" s="42"/>
      <c r="FAQ3" s="42"/>
      <c r="FAR3" s="42"/>
      <c r="FAS3" s="42"/>
      <c r="FAT3" s="42"/>
      <c r="FAU3" s="42"/>
      <c r="FAV3" s="42"/>
      <c r="FAW3" s="42"/>
      <c r="FAX3" s="42"/>
      <c r="FAY3" s="42"/>
      <c r="FAZ3" s="42"/>
      <c r="FBA3" s="42"/>
      <c r="FBB3" s="42"/>
      <c r="FBC3" s="42"/>
      <c r="FBD3" s="42"/>
      <c r="FBE3" s="42"/>
      <c r="FBF3" s="42"/>
      <c r="FBG3" s="42"/>
      <c r="FBH3" s="42"/>
      <c r="FBI3" s="42"/>
      <c r="FBJ3" s="42"/>
      <c r="FBK3" s="42"/>
      <c r="FBL3" s="42"/>
      <c r="FBM3" s="42"/>
      <c r="FBN3" s="42"/>
      <c r="FBO3" s="42"/>
      <c r="FBP3" s="42"/>
      <c r="FBQ3" s="42"/>
      <c r="FBR3" s="42"/>
      <c r="FBS3" s="42"/>
      <c r="FBT3" s="42"/>
      <c r="FBU3" s="42"/>
      <c r="FBV3" s="42"/>
      <c r="FBW3" s="42"/>
      <c r="FBX3" s="42"/>
      <c r="FBY3" s="42"/>
      <c r="FBZ3" s="42"/>
      <c r="FCA3" s="42"/>
      <c r="FCB3" s="42"/>
      <c r="FCC3" s="42"/>
      <c r="FCD3" s="42"/>
      <c r="FCE3" s="42"/>
      <c r="FCF3" s="42"/>
      <c r="FCG3" s="42"/>
      <c r="FCH3" s="42"/>
      <c r="FCI3" s="42"/>
      <c r="FCJ3" s="42"/>
      <c r="FCK3" s="42"/>
      <c r="FCL3" s="42"/>
      <c r="FCM3" s="42"/>
      <c r="FCN3" s="42"/>
      <c r="FCO3" s="42"/>
      <c r="FCP3" s="42"/>
      <c r="FCQ3" s="42"/>
      <c r="FCR3" s="42"/>
      <c r="FCS3" s="42"/>
      <c r="FCT3" s="42"/>
      <c r="FCU3" s="42"/>
      <c r="FCV3" s="42"/>
      <c r="FCW3" s="42"/>
      <c r="FCX3" s="42"/>
      <c r="FCY3" s="42"/>
      <c r="FCZ3" s="42"/>
      <c r="FDA3" s="42"/>
      <c r="FDB3" s="42"/>
      <c r="FDC3" s="42"/>
      <c r="FDD3" s="42"/>
      <c r="FDE3" s="42"/>
      <c r="FDF3" s="42"/>
      <c r="FDG3" s="42"/>
      <c r="FDH3" s="42"/>
      <c r="FDI3" s="42"/>
      <c r="FDJ3" s="42"/>
      <c r="FDK3" s="42"/>
      <c r="FDL3" s="42"/>
      <c r="FDM3" s="42"/>
      <c r="FDN3" s="42"/>
      <c r="FDO3" s="42"/>
      <c r="FDP3" s="42"/>
      <c r="FDQ3" s="42"/>
      <c r="FDR3" s="42"/>
      <c r="FDS3" s="42"/>
      <c r="FDT3" s="42"/>
      <c r="FDU3" s="42"/>
      <c r="FDV3" s="42"/>
      <c r="FDW3" s="42"/>
      <c r="FDX3" s="42"/>
      <c r="FDY3" s="42"/>
      <c r="FDZ3" s="42"/>
      <c r="FEA3" s="42"/>
      <c r="FEB3" s="42"/>
      <c r="FEC3" s="42"/>
      <c r="FED3" s="42"/>
      <c r="FEE3" s="42"/>
      <c r="FEF3" s="42"/>
      <c r="FEG3" s="42"/>
      <c r="FEH3" s="42"/>
      <c r="FEI3" s="42"/>
      <c r="FEJ3" s="42"/>
      <c r="FEK3" s="42"/>
      <c r="FEL3" s="42"/>
      <c r="FEM3" s="42"/>
      <c r="FEN3" s="42"/>
      <c r="FEO3" s="42"/>
      <c r="FEP3" s="42"/>
      <c r="FEQ3" s="42"/>
      <c r="FER3" s="42"/>
      <c r="FES3" s="42"/>
      <c r="FET3" s="42"/>
      <c r="FEU3" s="42"/>
      <c r="FEV3" s="42"/>
      <c r="FEW3" s="42"/>
      <c r="FEX3" s="42"/>
      <c r="FEY3" s="42"/>
      <c r="FEZ3" s="42"/>
      <c r="FFA3" s="42"/>
      <c r="FFB3" s="42"/>
      <c r="FFC3" s="42"/>
      <c r="FFD3" s="42"/>
      <c r="FFE3" s="42"/>
      <c r="FFF3" s="42"/>
      <c r="FFG3" s="42"/>
      <c r="FFH3" s="42"/>
      <c r="FFI3" s="42"/>
      <c r="FFJ3" s="42"/>
      <c r="FFK3" s="42"/>
      <c r="FFL3" s="42"/>
      <c r="FFM3" s="42"/>
      <c r="FFN3" s="42"/>
      <c r="FFO3" s="42"/>
      <c r="FFP3" s="42"/>
      <c r="FFQ3" s="42"/>
      <c r="FFR3" s="42"/>
      <c r="FFS3" s="42"/>
      <c r="FFT3" s="42"/>
      <c r="FFU3" s="42"/>
      <c r="FFV3" s="42"/>
      <c r="FFW3" s="42"/>
      <c r="FFX3" s="42"/>
      <c r="FFY3" s="42"/>
      <c r="FFZ3" s="42"/>
      <c r="FGA3" s="42"/>
      <c r="FGB3" s="42"/>
      <c r="FGC3" s="42"/>
      <c r="FGD3" s="42"/>
      <c r="FGE3" s="42"/>
      <c r="FGF3" s="42"/>
      <c r="FGG3" s="42"/>
      <c r="FGH3" s="42"/>
      <c r="FGI3" s="42"/>
      <c r="FGJ3" s="42"/>
      <c r="FGK3" s="42"/>
      <c r="FGL3" s="42"/>
      <c r="FGM3" s="42"/>
      <c r="FGN3" s="42"/>
      <c r="FGO3" s="42"/>
      <c r="FGP3" s="42"/>
      <c r="FGQ3" s="42"/>
      <c r="FGR3" s="42"/>
      <c r="FGS3" s="42"/>
      <c r="FGT3" s="42"/>
      <c r="FGU3" s="42"/>
      <c r="FGV3" s="42"/>
      <c r="FGW3" s="42"/>
      <c r="FGX3" s="42"/>
      <c r="FGY3" s="42"/>
      <c r="FGZ3" s="42"/>
      <c r="FHA3" s="42"/>
      <c r="FHB3" s="42"/>
      <c r="FHC3" s="42"/>
      <c r="FHD3" s="42"/>
      <c r="FHE3" s="42"/>
      <c r="FHF3" s="42"/>
      <c r="FHG3" s="42"/>
      <c r="FHH3" s="42"/>
      <c r="FHI3" s="42"/>
      <c r="FHJ3" s="42"/>
      <c r="FHK3" s="42"/>
      <c r="FHL3" s="42"/>
      <c r="FHM3" s="42"/>
      <c r="FHN3" s="42"/>
      <c r="FHO3" s="42"/>
      <c r="FHP3" s="42"/>
      <c r="FHQ3" s="42"/>
      <c r="FHR3" s="42"/>
      <c r="FHS3" s="42"/>
      <c r="FHT3" s="42"/>
      <c r="FHU3" s="42"/>
      <c r="FHV3" s="42"/>
      <c r="FHW3" s="42"/>
      <c r="FHX3" s="42"/>
      <c r="FHY3" s="42"/>
      <c r="FHZ3" s="42"/>
      <c r="FIA3" s="42"/>
      <c r="FIB3" s="42"/>
      <c r="FIC3" s="42"/>
      <c r="FID3" s="42"/>
      <c r="FIE3" s="42"/>
      <c r="FIF3" s="42"/>
      <c r="FIG3" s="42"/>
      <c r="FIH3" s="42"/>
      <c r="FII3" s="42"/>
      <c r="FIJ3" s="42"/>
      <c r="FIK3" s="42"/>
      <c r="FIL3" s="42"/>
      <c r="FIM3" s="42"/>
      <c r="FIN3" s="42"/>
      <c r="FIO3" s="42"/>
      <c r="FIP3" s="42"/>
      <c r="FIQ3" s="42"/>
      <c r="FIR3" s="42"/>
      <c r="FIS3" s="42"/>
      <c r="FIT3" s="42"/>
      <c r="FIU3" s="42"/>
      <c r="FIV3" s="42"/>
      <c r="FIW3" s="42"/>
      <c r="FIX3" s="42"/>
      <c r="FIY3" s="42"/>
      <c r="FIZ3" s="42"/>
      <c r="FJA3" s="42"/>
      <c r="FJB3" s="42"/>
      <c r="FJC3" s="42"/>
      <c r="FJD3" s="42"/>
      <c r="FJE3" s="42"/>
      <c r="FJF3" s="42"/>
      <c r="FJG3" s="42"/>
      <c r="FJH3" s="42"/>
      <c r="FJI3" s="42"/>
      <c r="FJJ3" s="42"/>
      <c r="FJK3" s="42"/>
      <c r="FJL3" s="42"/>
      <c r="FJM3" s="42"/>
      <c r="FJN3" s="42"/>
      <c r="FJO3" s="42"/>
      <c r="FJP3" s="42"/>
      <c r="FJQ3" s="42"/>
      <c r="FJR3" s="42"/>
      <c r="FJS3" s="42"/>
      <c r="FJT3" s="42"/>
      <c r="FJU3" s="42"/>
      <c r="FJV3" s="42"/>
      <c r="FJW3" s="42"/>
      <c r="FJX3" s="42"/>
      <c r="FJY3" s="42"/>
      <c r="FJZ3" s="42"/>
      <c r="FKA3" s="42"/>
      <c r="FKB3" s="42"/>
      <c r="FKC3" s="42"/>
      <c r="FKD3" s="42"/>
      <c r="FKE3" s="42"/>
      <c r="FKF3" s="42"/>
      <c r="FKG3" s="42"/>
      <c r="FKH3" s="42"/>
      <c r="FKI3" s="42"/>
      <c r="FKJ3" s="42"/>
      <c r="FKK3" s="42"/>
      <c r="FKL3" s="42"/>
      <c r="FKM3" s="42"/>
      <c r="FKN3" s="42"/>
      <c r="FKO3" s="42"/>
      <c r="FKP3" s="42"/>
      <c r="FKQ3" s="42"/>
      <c r="FKR3" s="42"/>
      <c r="FKS3" s="42"/>
      <c r="FKT3" s="42"/>
      <c r="FKU3" s="42"/>
      <c r="FKV3" s="42"/>
      <c r="FKW3" s="42"/>
      <c r="FKX3" s="42"/>
      <c r="FKY3" s="42"/>
      <c r="FKZ3" s="42"/>
      <c r="FLA3" s="42"/>
      <c r="FLB3" s="42"/>
      <c r="FLC3" s="42"/>
      <c r="FLD3" s="42"/>
      <c r="FLE3" s="42"/>
      <c r="FLF3" s="42"/>
      <c r="FLG3" s="42"/>
      <c r="FLH3" s="42"/>
      <c r="FLI3" s="42"/>
      <c r="FLJ3" s="42"/>
      <c r="FLK3" s="42"/>
      <c r="FLL3" s="42"/>
      <c r="FLM3" s="42"/>
      <c r="FLN3" s="42"/>
      <c r="FLO3" s="42"/>
      <c r="FLP3" s="42"/>
      <c r="FLQ3" s="42"/>
      <c r="FLR3" s="42"/>
      <c r="FLS3" s="42"/>
      <c r="FLT3" s="42"/>
      <c r="FLU3" s="42"/>
      <c r="FLV3" s="42"/>
      <c r="FLW3" s="42"/>
      <c r="FLX3" s="42"/>
      <c r="FLY3" s="42"/>
      <c r="FLZ3" s="42"/>
      <c r="FMA3" s="42"/>
      <c r="FMB3" s="42"/>
      <c r="FMC3" s="42"/>
      <c r="FMD3" s="42"/>
      <c r="FME3" s="42"/>
      <c r="FMF3" s="42"/>
      <c r="FMG3" s="42"/>
      <c r="FMH3" s="42"/>
      <c r="FMI3" s="42"/>
      <c r="FMJ3" s="42"/>
      <c r="FMK3" s="42"/>
      <c r="FML3" s="42"/>
      <c r="FMM3" s="42"/>
      <c r="FMN3" s="42"/>
      <c r="FMO3" s="42"/>
      <c r="FMP3" s="42"/>
      <c r="FMQ3" s="42"/>
      <c r="FMR3" s="42"/>
      <c r="FMS3" s="42"/>
      <c r="FMT3" s="42"/>
      <c r="FMU3" s="42"/>
      <c r="FMV3" s="42"/>
      <c r="FMW3" s="42"/>
      <c r="FMX3" s="42"/>
      <c r="FMY3" s="42"/>
      <c r="FMZ3" s="42"/>
      <c r="FNA3" s="42"/>
      <c r="FNB3" s="42"/>
      <c r="FNC3" s="42"/>
      <c r="FND3" s="42"/>
      <c r="FNE3" s="42"/>
      <c r="FNF3" s="42"/>
      <c r="FNG3" s="42"/>
      <c r="FNH3" s="42"/>
      <c r="FNI3" s="42"/>
      <c r="FNJ3" s="42"/>
      <c r="FNK3" s="42"/>
      <c r="FNL3" s="42"/>
      <c r="FNM3" s="42"/>
      <c r="FNN3" s="42"/>
      <c r="FNO3" s="42"/>
      <c r="FNP3" s="42"/>
      <c r="FNQ3" s="42"/>
      <c r="FNR3" s="42"/>
      <c r="FNS3" s="42"/>
      <c r="FNT3" s="42"/>
      <c r="FNU3" s="42"/>
      <c r="FNV3" s="42"/>
      <c r="FNW3" s="42"/>
      <c r="FNX3" s="42"/>
      <c r="FNY3" s="42"/>
      <c r="FNZ3" s="42"/>
      <c r="FOA3" s="42"/>
      <c r="FOB3" s="42"/>
      <c r="FOC3" s="42"/>
      <c r="FOD3" s="42"/>
      <c r="FOE3" s="42"/>
      <c r="FOF3" s="42"/>
      <c r="FOG3" s="42"/>
      <c r="FOH3" s="42"/>
      <c r="FOI3" s="42"/>
      <c r="FOJ3" s="42"/>
      <c r="FOK3" s="42"/>
      <c r="FOL3" s="42"/>
      <c r="FOM3" s="42"/>
      <c r="FON3" s="42"/>
      <c r="FOO3" s="42"/>
      <c r="FOP3" s="42"/>
      <c r="FOQ3" s="42"/>
      <c r="FOR3" s="42"/>
      <c r="FOS3" s="42"/>
      <c r="FOT3" s="42"/>
      <c r="FOU3" s="42"/>
      <c r="FOV3" s="42"/>
      <c r="FOW3" s="42"/>
      <c r="FOX3" s="42"/>
      <c r="FOY3" s="42"/>
      <c r="FOZ3" s="42"/>
      <c r="FPA3" s="42"/>
      <c r="FPB3" s="42"/>
      <c r="FPC3" s="42"/>
      <c r="FPD3" s="42"/>
      <c r="FPE3" s="42"/>
      <c r="FPF3" s="42"/>
      <c r="FPG3" s="42"/>
      <c r="FPH3" s="42"/>
      <c r="FPI3" s="42"/>
      <c r="FPJ3" s="42"/>
      <c r="FPK3" s="42"/>
      <c r="FPL3" s="42"/>
      <c r="FPM3" s="42"/>
      <c r="FPN3" s="42"/>
      <c r="FPO3" s="42"/>
      <c r="FPP3" s="42"/>
      <c r="FPQ3" s="42"/>
      <c r="FPR3" s="42"/>
      <c r="FPS3" s="42"/>
      <c r="FPT3" s="42"/>
      <c r="FPU3" s="42"/>
      <c r="FPV3" s="42"/>
      <c r="FPW3" s="42"/>
      <c r="FPX3" s="42"/>
      <c r="FPY3" s="42"/>
      <c r="FPZ3" s="42"/>
      <c r="FQA3" s="42"/>
      <c r="FQB3" s="42"/>
      <c r="FQC3" s="42"/>
      <c r="FQD3" s="42"/>
      <c r="FQE3" s="42"/>
      <c r="FQF3" s="42"/>
      <c r="FQG3" s="42"/>
      <c r="FQH3" s="42"/>
      <c r="FQI3" s="42"/>
      <c r="FQJ3" s="42"/>
      <c r="FQK3" s="42"/>
      <c r="FQL3" s="42"/>
      <c r="FQM3" s="42"/>
      <c r="FQN3" s="42"/>
      <c r="FQO3" s="42"/>
      <c r="FQP3" s="42"/>
      <c r="FQQ3" s="42"/>
      <c r="FQR3" s="42"/>
      <c r="FQS3" s="42"/>
      <c r="FQT3" s="42"/>
      <c r="FQU3" s="42"/>
      <c r="FQV3" s="42"/>
      <c r="FQW3" s="42"/>
      <c r="FQX3" s="42"/>
      <c r="FQY3" s="42"/>
      <c r="FQZ3" s="42"/>
      <c r="FRA3" s="42"/>
      <c r="FRB3" s="42"/>
      <c r="FRC3" s="42"/>
      <c r="FRD3" s="42"/>
      <c r="FRE3" s="42"/>
      <c r="FRF3" s="42"/>
      <c r="FRG3" s="42"/>
      <c r="FRH3" s="42"/>
      <c r="FRI3" s="42"/>
      <c r="FRJ3" s="42"/>
      <c r="FRK3" s="42"/>
      <c r="FRL3" s="42"/>
      <c r="FRM3" s="42"/>
      <c r="FRN3" s="42"/>
      <c r="FRO3" s="42"/>
      <c r="FRP3" s="42"/>
      <c r="FRQ3" s="42"/>
      <c r="FRR3" s="42"/>
      <c r="FRS3" s="42"/>
      <c r="FRT3" s="42"/>
      <c r="FRU3" s="42"/>
      <c r="FRV3" s="42"/>
      <c r="FRW3" s="42"/>
      <c r="FRX3" s="42"/>
      <c r="FRY3" s="42"/>
      <c r="FRZ3" s="42"/>
      <c r="FSA3" s="42"/>
      <c r="FSB3" s="42"/>
      <c r="FSC3" s="42"/>
      <c r="FSD3" s="42"/>
      <c r="FSE3" s="42"/>
      <c r="FSF3" s="42"/>
      <c r="FSG3" s="42"/>
      <c r="FSH3" s="42"/>
      <c r="FSI3" s="42"/>
      <c r="FSJ3" s="42"/>
      <c r="FSK3" s="42"/>
      <c r="FSL3" s="42"/>
      <c r="FSM3" s="42"/>
      <c r="FSN3" s="42"/>
      <c r="FSO3" s="42"/>
      <c r="FSP3" s="42"/>
      <c r="FSQ3" s="42"/>
      <c r="FSR3" s="42"/>
      <c r="FSS3" s="42"/>
      <c r="FST3" s="42"/>
      <c r="FSU3" s="42"/>
      <c r="FSV3" s="42"/>
      <c r="FSW3" s="42"/>
      <c r="FSX3" s="42"/>
      <c r="FSY3" s="42"/>
      <c r="FSZ3" s="42"/>
      <c r="FTA3" s="42"/>
      <c r="FTB3" s="42"/>
      <c r="FTC3" s="42"/>
      <c r="FTD3" s="42"/>
      <c r="FTE3" s="42"/>
      <c r="FTF3" s="42"/>
      <c r="FTG3" s="42"/>
      <c r="FTH3" s="42"/>
      <c r="FTI3" s="42"/>
      <c r="FTJ3" s="42"/>
      <c r="FTK3" s="42"/>
      <c r="FTL3" s="42"/>
      <c r="FTM3" s="42"/>
      <c r="FTN3" s="42"/>
      <c r="FTO3" s="42"/>
      <c r="FTP3" s="42"/>
      <c r="FTQ3" s="42"/>
      <c r="FTR3" s="42"/>
      <c r="FTS3" s="42"/>
      <c r="FTT3" s="42"/>
      <c r="FTU3" s="42"/>
      <c r="FTV3" s="42"/>
      <c r="FTW3" s="42"/>
      <c r="FTX3" s="42"/>
      <c r="FTY3" s="42"/>
      <c r="FTZ3" s="42"/>
      <c r="FUA3" s="42"/>
      <c r="FUB3" s="42"/>
      <c r="FUC3" s="42"/>
      <c r="FUD3" s="42"/>
      <c r="FUE3" s="42"/>
      <c r="FUF3" s="42"/>
      <c r="FUG3" s="42"/>
      <c r="FUH3" s="42"/>
      <c r="FUI3" s="42"/>
      <c r="FUJ3" s="42"/>
      <c r="FUK3" s="42"/>
      <c r="FUL3" s="42"/>
      <c r="FUM3" s="42"/>
      <c r="FUN3" s="42"/>
      <c r="FUO3" s="42"/>
      <c r="FUP3" s="42"/>
      <c r="FUQ3" s="42"/>
      <c r="FUR3" s="42"/>
      <c r="FUS3" s="42"/>
      <c r="FUT3" s="42"/>
      <c r="FUU3" s="42"/>
      <c r="FUV3" s="42"/>
      <c r="FUW3" s="42"/>
      <c r="FUX3" s="42"/>
      <c r="FUY3" s="42"/>
      <c r="FUZ3" s="42"/>
      <c r="FVA3" s="42"/>
      <c r="FVB3" s="42"/>
      <c r="FVC3" s="42"/>
      <c r="FVD3" s="42"/>
      <c r="FVE3" s="42"/>
      <c r="FVF3" s="42"/>
      <c r="FVG3" s="42"/>
      <c r="FVH3" s="42"/>
      <c r="FVI3" s="42"/>
      <c r="FVJ3" s="42"/>
      <c r="FVK3" s="42"/>
      <c r="FVL3" s="42"/>
      <c r="FVM3" s="42"/>
      <c r="FVN3" s="42"/>
      <c r="FVO3" s="42"/>
      <c r="FVP3" s="42"/>
      <c r="FVQ3" s="42"/>
      <c r="FVR3" s="42"/>
      <c r="FVS3" s="42"/>
      <c r="FVT3" s="42"/>
      <c r="FVU3" s="42"/>
      <c r="FVV3" s="42"/>
      <c r="FVW3" s="42"/>
      <c r="FVX3" s="42"/>
      <c r="FVY3" s="42"/>
      <c r="FVZ3" s="42"/>
      <c r="FWA3" s="42"/>
      <c r="FWB3" s="42"/>
      <c r="FWC3" s="42"/>
      <c r="FWD3" s="42"/>
      <c r="FWE3" s="42"/>
      <c r="FWF3" s="42"/>
      <c r="FWG3" s="42"/>
      <c r="FWH3" s="42"/>
      <c r="FWI3" s="42"/>
      <c r="FWJ3" s="42"/>
      <c r="FWK3" s="42"/>
      <c r="FWL3" s="42"/>
      <c r="FWM3" s="42"/>
      <c r="FWN3" s="42"/>
      <c r="FWO3" s="42"/>
      <c r="FWP3" s="42"/>
      <c r="FWQ3" s="42"/>
      <c r="FWR3" s="42"/>
      <c r="FWS3" s="42"/>
      <c r="FWT3" s="42"/>
      <c r="FWU3" s="42"/>
      <c r="FWV3" s="42"/>
      <c r="FWW3" s="42"/>
      <c r="FWX3" s="42"/>
      <c r="FWY3" s="42"/>
      <c r="FWZ3" s="42"/>
      <c r="FXA3" s="42"/>
      <c r="FXB3" s="42"/>
      <c r="FXC3" s="42"/>
      <c r="FXD3" s="42"/>
      <c r="FXE3" s="42"/>
      <c r="FXF3" s="42"/>
      <c r="FXG3" s="42"/>
      <c r="FXH3" s="42"/>
      <c r="FXI3" s="42"/>
      <c r="FXJ3" s="42"/>
      <c r="FXK3" s="42"/>
      <c r="FXL3" s="42"/>
      <c r="FXM3" s="42"/>
      <c r="FXN3" s="42"/>
      <c r="FXO3" s="42"/>
      <c r="FXP3" s="42"/>
      <c r="FXQ3" s="42"/>
      <c r="FXR3" s="42"/>
      <c r="FXS3" s="42"/>
      <c r="FXT3" s="42"/>
      <c r="FXU3" s="42"/>
      <c r="FXV3" s="42"/>
      <c r="FXW3" s="42"/>
      <c r="FXX3" s="42"/>
      <c r="FXY3" s="42"/>
      <c r="FXZ3" s="42"/>
      <c r="FYA3" s="42"/>
      <c r="FYB3" s="42"/>
      <c r="FYC3" s="42"/>
      <c r="FYD3" s="42"/>
      <c r="FYE3" s="42"/>
      <c r="FYF3" s="42"/>
      <c r="FYG3" s="42"/>
      <c r="FYH3" s="42"/>
      <c r="FYI3" s="42"/>
      <c r="FYJ3" s="42"/>
      <c r="FYK3" s="42"/>
      <c r="FYL3" s="42"/>
      <c r="FYM3" s="42"/>
      <c r="FYN3" s="42"/>
      <c r="FYO3" s="42"/>
      <c r="FYP3" s="42"/>
      <c r="FYQ3" s="42"/>
      <c r="FYR3" s="42"/>
      <c r="FYS3" s="42"/>
      <c r="FYT3" s="42"/>
      <c r="FYU3" s="42"/>
      <c r="FYV3" s="42"/>
      <c r="FYW3" s="42"/>
      <c r="FYX3" s="42"/>
      <c r="FYY3" s="42"/>
      <c r="FYZ3" s="42"/>
      <c r="FZA3" s="42"/>
      <c r="FZB3" s="42"/>
      <c r="FZC3" s="42"/>
      <c r="FZD3" s="42"/>
      <c r="FZE3" s="42"/>
      <c r="FZF3" s="42"/>
      <c r="FZG3" s="42"/>
      <c r="FZH3" s="42"/>
      <c r="FZI3" s="42"/>
      <c r="FZJ3" s="42"/>
      <c r="FZK3" s="42"/>
      <c r="FZL3" s="42"/>
      <c r="FZM3" s="42"/>
      <c r="FZN3" s="42"/>
      <c r="FZO3" s="42"/>
      <c r="FZP3" s="42"/>
      <c r="FZQ3" s="42"/>
      <c r="FZR3" s="42"/>
      <c r="FZS3" s="42"/>
      <c r="FZT3" s="42"/>
      <c r="FZU3" s="42"/>
      <c r="FZV3" s="42"/>
      <c r="FZW3" s="42"/>
      <c r="FZX3" s="42"/>
      <c r="FZY3" s="42"/>
      <c r="FZZ3" s="42"/>
      <c r="GAA3" s="42"/>
      <c r="GAB3" s="42"/>
      <c r="GAC3" s="42"/>
      <c r="GAD3" s="42"/>
      <c r="GAE3" s="42"/>
      <c r="GAF3" s="42"/>
      <c r="GAG3" s="42"/>
      <c r="GAH3" s="42"/>
      <c r="GAI3" s="42"/>
      <c r="GAJ3" s="42"/>
      <c r="GAK3" s="42"/>
      <c r="GAL3" s="42"/>
      <c r="GAM3" s="42"/>
      <c r="GAN3" s="42"/>
      <c r="GAO3" s="42"/>
      <c r="GAP3" s="42"/>
      <c r="GAQ3" s="42"/>
      <c r="GAR3" s="42"/>
      <c r="GAS3" s="42"/>
      <c r="GAT3" s="42"/>
      <c r="GAU3" s="42"/>
      <c r="GAV3" s="42"/>
      <c r="GAW3" s="42"/>
      <c r="GAX3" s="42"/>
      <c r="GAY3" s="42"/>
      <c r="GAZ3" s="42"/>
      <c r="GBA3" s="42"/>
      <c r="GBB3" s="42"/>
      <c r="GBC3" s="42"/>
      <c r="GBD3" s="42"/>
      <c r="GBE3" s="42"/>
      <c r="GBF3" s="42"/>
      <c r="GBG3" s="42"/>
      <c r="GBH3" s="42"/>
      <c r="GBI3" s="42"/>
      <c r="GBJ3" s="42"/>
      <c r="GBK3" s="42"/>
      <c r="GBL3" s="42"/>
      <c r="GBM3" s="42"/>
      <c r="GBN3" s="42"/>
      <c r="GBO3" s="42"/>
      <c r="GBP3" s="42"/>
      <c r="GBQ3" s="42"/>
      <c r="GBR3" s="42"/>
      <c r="GBS3" s="42"/>
      <c r="GBT3" s="42"/>
      <c r="GBU3" s="42"/>
      <c r="GBV3" s="42"/>
      <c r="GBW3" s="42"/>
      <c r="GBX3" s="42"/>
      <c r="GBY3" s="42"/>
      <c r="GBZ3" s="42"/>
      <c r="GCA3" s="42"/>
      <c r="GCB3" s="42"/>
      <c r="GCC3" s="42"/>
      <c r="GCD3" s="42"/>
      <c r="GCE3" s="42"/>
      <c r="GCF3" s="42"/>
      <c r="GCG3" s="42"/>
      <c r="GCH3" s="42"/>
      <c r="GCI3" s="42"/>
      <c r="GCJ3" s="42"/>
      <c r="GCK3" s="42"/>
      <c r="GCL3" s="42"/>
      <c r="GCM3" s="42"/>
      <c r="GCN3" s="42"/>
      <c r="GCO3" s="42"/>
      <c r="GCP3" s="42"/>
      <c r="GCQ3" s="42"/>
      <c r="GCR3" s="42"/>
      <c r="GCS3" s="42"/>
      <c r="GCT3" s="42"/>
      <c r="GCU3" s="42"/>
      <c r="GCV3" s="42"/>
      <c r="GCW3" s="42"/>
      <c r="GCX3" s="42"/>
      <c r="GCY3" s="42"/>
      <c r="GCZ3" s="42"/>
      <c r="GDA3" s="42"/>
      <c r="GDB3" s="42"/>
      <c r="GDC3" s="42"/>
      <c r="GDD3" s="42"/>
      <c r="GDE3" s="42"/>
      <c r="GDF3" s="42"/>
      <c r="GDG3" s="42"/>
      <c r="GDH3" s="42"/>
      <c r="GDI3" s="42"/>
      <c r="GDJ3" s="42"/>
      <c r="GDK3" s="42"/>
      <c r="GDL3" s="42"/>
      <c r="GDM3" s="42"/>
      <c r="GDN3" s="42"/>
      <c r="GDO3" s="42"/>
      <c r="GDP3" s="42"/>
      <c r="GDQ3" s="42"/>
      <c r="GDR3" s="42"/>
      <c r="GDS3" s="42"/>
      <c r="GDT3" s="42"/>
      <c r="GDU3" s="42"/>
      <c r="GDV3" s="42"/>
      <c r="GDW3" s="42"/>
      <c r="GDX3" s="42"/>
      <c r="GDY3" s="42"/>
      <c r="GDZ3" s="42"/>
      <c r="GEA3" s="42"/>
      <c r="GEB3" s="42"/>
      <c r="GEC3" s="42"/>
      <c r="GED3" s="42"/>
      <c r="GEE3" s="42"/>
      <c r="GEF3" s="42"/>
      <c r="GEG3" s="42"/>
      <c r="GEH3" s="42"/>
      <c r="GEI3" s="42"/>
      <c r="GEJ3" s="42"/>
      <c r="GEK3" s="42"/>
      <c r="GEL3" s="42"/>
      <c r="GEM3" s="42"/>
      <c r="GEN3" s="42"/>
      <c r="GEO3" s="42"/>
      <c r="GEP3" s="42"/>
      <c r="GEQ3" s="42"/>
      <c r="GER3" s="42"/>
      <c r="GES3" s="42"/>
      <c r="GET3" s="42"/>
      <c r="GEU3" s="42"/>
      <c r="GEV3" s="42"/>
      <c r="GEW3" s="42"/>
      <c r="GEX3" s="42"/>
      <c r="GEY3" s="42"/>
      <c r="GEZ3" s="42"/>
      <c r="GFA3" s="42"/>
      <c r="GFB3" s="42"/>
      <c r="GFC3" s="42"/>
      <c r="GFD3" s="42"/>
      <c r="GFE3" s="42"/>
      <c r="GFF3" s="42"/>
      <c r="GFG3" s="42"/>
      <c r="GFH3" s="42"/>
      <c r="GFI3" s="42"/>
      <c r="GFJ3" s="42"/>
      <c r="GFK3" s="42"/>
      <c r="GFL3" s="42"/>
      <c r="GFM3" s="42"/>
      <c r="GFN3" s="42"/>
      <c r="GFO3" s="42"/>
      <c r="GFP3" s="42"/>
      <c r="GFQ3" s="42"/>
      <c r="GFR3" s="42"/>
      <c r="GFS3" s="42"/>
      <c r="GFT3" s="42"/>
      <c r="GFU3" s="42"/>
      <c r="GFV3" s="42"/>
      <c r="GFW3" s="42"/>
      <c r="GFX3" s="42"/>
      <c r="GFY3" s="42"/>
      <c r="GFZ3" s="42"/>
      <c r="GGA3" s="42"/>
      <c r="GGB3" s="42"/>
      <c r="GGC3" s="42"/>
      <c r="GGD3" s="42"/>
      <c r="GGE3" s="42"/>
      <c r="GGF3" s="42"/>
      <c r="GGG3" s="42"/>
      <c r="GGH3" s="42"/>
      <c r="GGI3" s="42"/>
      <c r="GGJ3" s="42"/>
      <c r="GGK3" s="42"/>
      <c r="GGL3" s="42"/>
      <c r="GGM3" s="42"/>
      <c r="GGN3" s="42"/>
      <c r="GGO3" s="42"/>
      <c r="GGP3" s="42"/>
      <c r="GGQ3" s="42"/>
      <c r="GGR3" s="42"/>
      <c r="GGS3" s="42"/>
      <c r="GGT3" s="42"/>
      <c r="GGU3" s="42"/>
      <c r="GGV3" s="42"/>
      <c r="GGW3" s="42"/>
      <c r="GGX3" s="42"/>
      <c r="GGY3" s="42"/>
      <c r="GGZ3" s="42"/>
      <c r="GHA3" s="42"/>
      <c r="GHB3" s="42"/>
      <c r="GHC3" s="42"/>
      <c r="GHD3" s="42"/>
      <c r="GHE3" s="42"/>
      <c r="GHF3" s="42"/>
      <c r="GHG3" s="42"/>
      <c r="GHH3" s="42"/>
      <c r="GHI3" s="42"/>
      <c r="GHJ3" s="42"/>
      <c r="GHK3" s="42"/>
      <c r="GHL3" s="42"/>
      <c r="GHM3" s="42"/>
      <c r="GHN3" s="42"/>
      <c r="GHO3" s="42"/>
      <c r="GHP3" s="42"/>
      <c r="GHQ3" s="42"/>
      <c r="GHR3" s="42"/>
      <c r="GHS3" s="42"/>
      <c r="GHT3" s="42"/>
      <c r="GHU3" s="42"/>
      <c r="GHV3" s="42"/>
      <c r="GHW3" s="42"/>
      <c r="GHX3" s="42"/>
      <c r="GHY3" s="42"/>
      <c r="GHZ3" s="42"/>
      <c r="GIA3" s="42"/>
      <c r="GIB3" s="42"/>
      <c r="GIC3" s="42"/>
      <c r="GID3" s="42"/>
      <c r="GIE3" s="42"/>
      <c r="GIF3" s="42"/>
      <c r="GIG3" s="42"/>
      <c r="GIH3" s="42"/>
      <c r="GII3" s="42"/>
      <c r="GIJ3" s="42"/>
      <c r="GIK3" s="42"/>
      <c r="GIL3" s="42"/>
      <c r="GIM3" s="42"/>
      <c r="GIN3" s="42"/>
      <c r="GIO3" s="42"/>
      <c r="GIP3" s="42"/>
      <c r="GIQ3" s="42"/>
      <c r="GIR3" s="42"/>
      <c r="GIS3" s="42"/>
      <c r="GIT3" s="42"/>
      <c r="GIU3" s="42"/>
      <c r="GIV3" s="42"/>
      <c r="GIW3" s="42"/>
      <c r="GIX3" s="42"/>
      <c r="GIY3" s="42"/>
      <c r="GIZ3" s="42"/>
      <c r="GJA3" s="42"/>
      <c r="GJB3" s="42"/>
      <c r="GJC3" s="42"/>
      <c r="GJD3" s="42"/>
      <c r="GJE3" s="42"/>
      <c r="GJF3" s="42"/>
      <c r="GJG3" s="42"/>
      <c r="GJH3" s="42"/>
      <c r="GJI3" s="42"/>
      <c r="GJJ3" s="42"/>
      <c r="GJK3" s="42"/>
      <c r="GJL3" s="42"/>
      <c r="GJM3" s="42"/>
      <c r="GJN3" s="42"/>
      <c r="GJO3" s="42"/>
      <c r="GJP3" s="42"/>
      <c r="GJQ3" s="42"/>
      <c r="GJR3" s="42"/>
      <c r="GJS3" s="42"/>
      <c r="GJT3" s="42"/>
      <c r="GJU3" s="42"/>
      <c r="GJV3" s="42"/>
      <c r="GJW3" s="42"/>
      <c r="GJX3" s="42"/>
      <c r="GJY3" s="42"/>
      <c r="GJZ3" s="42"/>
      <c r="GKA3" s="42"/>
      <c r="GKB3" s="42"/>
      <c r="GKC3" s="42"/>
      <c r="GKD3" s="42"/>
      <c r="GKE3" s="42"/>
      <c r="GKF3" s="42"/>
      <c r="GKG3" s="42"/>
      <c r="GKH3" s="42"/>
      <c r="GKI3" s="42"/>
      <c r="GKJ3" s="42"/>
      <c r="GKK3" s="42"/>
      <c r="GKL3" s="42"/>
      <c r="GKM3" s="42"/>
      <c r="GKN3" s="42"/>
      <c r="GKO3" s="42"/>
      <c r="GKP3" s="42"/>
      <c r="GKQ3" s="42"/>
      <c r="GKR3" s="42"/>
      <c r="GKS3" s="42"/>
      <c r="GKT3" s="42"/>
      <c r="GKU3" s="42"/>
      <c r="GKV3" s="42"/>
      <c r="GKW3" s="42"/>
      <c r="GKX3" s="42"/>
      <c r="GKY3" s="42"/>
      <c r="GKZ3" s="42"/>
      <c r="GLA3" s="42"/>
      <c r="GLB3" s="42"/>
      <c r="GLC3" s="42"/>
      <c r="GLD3" s="42"/>
      <c r="GLE3" s="42"/>
      <c r="GLF3" s="42"/>
      <c r="GLG3" s="42"/>
      <c r="GLH3" s="42"/>
      <c r="GLI3" s="42"/>
      <c r="GLJ3" s="42"/>
      <c r="GLK3" s="42"/>
      <c r="GLL3" s="42"/>
      <c r="GLM3" s="42"/>
      <c r="GLN3" s="42"/>
      <c r="GLO3" s="42"/>
      <c r="GLP3" s="42"/>
      <c r="GLQ3" s="42"/>
      <c r="GLR3" s="42"/>
      <c r="GLS3" s="42"/>
      <c r="GLT3" s="42"/>
      <c r="GLU3" s="42"/>
      <c r="GLV3" s="42"/>
      <c r="GLW3" s="42"/>
      <c r="GLX3" s="42"/>
      <c r="GLY3" s="42"/>
      <c r="GLZ3" s="42"/>
      <c r="GMA3" s="42"/>
      <c r="GMB3" s="42"/>
      <c r="GMC3" s="42"/>
      <c r="GMD3" s="42"/>
      <c r="GME3" s="42"/>
      <c r="GMF3" s="42"/>
      <c r="GMG3" s="42"/>
      <c r="GMH3" s="42"/>
      <c r="GMI3" s="42"/>
      <c r="GMJ3" s="42"/>
      <c r="GMK3" s="42"/>
      <c r="GML3" s="42"/>
      <c r="GMM3" s="42"/>
      <c r="GMN3" s="42"/>
      <c r="GMO3" s="42"/>
      <c r="GMP3" s="42"/>
      <c r="GMQ3" s="42"/>
      <c r="GMR3" s="42"/>
      <c r="GMS3" s="42"/>
      <c r="GMT3" s="42"/>
      <c r="GMU3" s="42"/>
      <c r="GMV3" s="42"/>
      <c r="GMW3" s="42"/>
      <c r="GMX3" s="42"/>
      <c r="GMY3" s="42"/>
      <c r="GMZ3" s="42"/>
      <c r="GNA3" s="42"/>
      <c r="GNB3" s="42"/>
      <c r="GNC3" s="42"/>
      <c r="GND3" s="42"/>
      <c r="GNE3" s="42"/>
      <c r="GNF3" s="42"/>
      <c r="GNG3" s="42"/>
      <c r="GNH3" s="42"/>
      <c r="GNI3" s="42"/>
      <c r="GNJ3" s="42"/>
      <c r="GNK3" s="42"/>
      <c r="GNL3" s="42"/>
      <c r="GNM3" s="42"/>
      <c r="GNN3" s="42"/>
      <c r="GNO3" s="42"/>
      <c r="GNP3" s="42"/>
      <c r="GNQ3" s="42"/>
      <c r="GNR3" s="42"/>
      <c r="GNS3" s="42"/>
      <c r="GNT3" s="42"/>
      <c r="GNU3" s="42"/>
      <c r="GNV3" s="42"/>
      <c r="GNW3" s="42"/>
      <c r="GNX3" s="42"/>
      <c r="GNY3" s="42"/>
      <c r="GNZ3" s="42"/>
      <c r="GOA3" s="42"/>
      <c r="GOB3" s="42"/>
      <c r="GOC3" s="42"/>
      <c r="GOD3" s="42"/>
      <c r="GOE3" s="42"/>
      <c r="GOF3" s="42"/>
      <c r="GOG3" s="42"/>
      <c r="GOH3" s="42"/>
      <c r="GOI3" s="42"/>
      <c r="GOJ3" s="42"/>
      <c r="GOK3" s="42"/>
      <c r="GOL3" s="42"/>
      <c r="GOM3" s="42"/>
      <c r="GON3" s="42"/>
      <c r="GOO3" s="42"/>
      <c r="GOP3" s="42"/>
      <c r="GOQ3" s="42"/>
      <c r="GOR3" s="42"/>
      <c r="GOS3" s="42"/>
      <c r="GOT3" s="42"/>
      <c r="GOU3" s="42"/>
      <c r="GOV3" s="42"/>
      <c r="GOW3" s="42"/>
      <c r="GOX3" s="42"/>
      <c r="GOY3" s="42"/>
      <c r="GOZ3" s="42"/>
      <c r="GPA3" s="42"/>
      <c r="GPB3" s="42"/>
      <c r="GPC3" s="42"/>
      <c r="GPD3" s="42"/>
      <c r="GPE3" s="42"/>
      <c r="GPF3" s="42"/>
      <c r="GPG3" s="42"/>
      <c r="GPH3" s="42"/>
      <c r="GPI3" s="42"/>
      <c r="GPJ3" s="42"/>
      <c r="GPK3" s="42"/>
      <c r="GPL3" s="42"/>
      <c r="GPM3" s="42"/>
      <c r="GPN3" s="42"/>
      <c r="GPO3" s="42"/>
      <c r="GPP3" s="42"/>
      <c r="GPQ3" s="42"/>
      <c r="GPR3" s="42"/>
      <c r="GPS3" s="42"/>
      <c r="GPT3" s="42"/>
      <c r="GPU3" s="42"/>
      <c r="GPV3" s="42"/>
      <c r="GPW3" s="42"/>
      <c r="GPX3" s="42"/>
      <c r="GPY3" s="42"/>
      <c r="GPZ3" s="42"/>
      <c r="GQA3" s="42"/>
      <c r="GQB3" s="42"/>
      <c r="GQC3" s="42"/>
      <c r="GQD3" s="42"/>
      <c r="GQE3" s="42"/>
      <c r="GQF3" s="42"/>
      <c r="GQG3" s="42"/>
      <c r="GQH3" s="42"/>
      <c r="GQI3" s="42"/>
      <c r="GQJ3" s="42"/>
      <c r="GQK3" s="42"/>
      <c r="GQL3" s="42"/>
      <c r="GQM3" s="42"/>
      <c r="GQN3" s="42"/>
      <c r="GQO3" s="42"/>
      <c r="GQP3" s="42"/>
      <c r="GQQ3" s="42"/>
      <c r="GQR3" s="42"/>
      <c r="GQS3" s="42"/>
      <c r="GQT3" s="42"/>
      <c r="GQU3" s="42"/>
      <c r="GQV3" s="42"/>
      <c r="GQW3" s="42"/>
      <c r="GQX3" s="42"/>
      <c r="GQY3" s="42"/>
      <c r="GQZ3" s="42"/>
      <c r="GRA3" s="42"/>
      <c r="GRB3" s="42"/>
      <c r="GRC3" s="42"/>
      <c r="GRD3" s="42"/>
      <c r="GRE3" s="42"/>
      <c r="GRF3" s="42"/>
      <c r="GRG3" s="42"/>
      <c r="GRH3" s="42"/>
      <c r="GRI3" s="42"/>
      <c r="GRJ3" s="42"/>
      <c r="GRK3" s="42"/>
      <c r="GRL3" s="42"/>
      <c r="GRM3" s="42"/>
      <c r="GRN3" s="42"/>
      <c r="GRO3" s="42"/>
      <c r="GRP3" s="42"/>
      <c r="GRQ3" s="42"/>
      <c r="GRR3" s="42"/>
      <c r="GRS3" s="42"/>
      <c r="GRT3" s="42"/>
      <c r="GRU3" s="42"/>
      <c r="GRV3" s="42"/>
      <c r="GRW3" s="42"/>
      <c r="GRX3" s="42"/>
      <c r="GRY3" s="42"/>
      <c r="GRZ3" s="42"/>
      <c r="GSA3" s="42"/>
      <c r="GSB3" s="42"/>
      <c r="GSC3" s="42"/>
      <c r="GSD3" s="42"/>
      <c r="GSE3" s="42"/>
      <c r="GSF3" s="42"/>
      <c r="GSG3" s="42"/>
      <c r="GSH3" s="42"/>
      <c r="GSI3" s="42"/>
      <c r="GSJ3" s="42"/>
      <c r="GSK3" s="42"/>
      <c r="GSL3" s="42"/>
      <c r="GSM3" s="42"/>
      <c r="GSN3" s="42"/>
      <c r="GSO3" s="42"/>
      <c r="GSP3" s="42"/>
      <c r="GSQ3" s="42"/>
      <c r="GSR3" s="42"/>
      <c r="GSS3" s="42"/>
      <c r="GST3" s="42"/>
      <c r="GSU3" s="42"/>
      <c r="GSV3" s="42"/>
      <c r="GSW3" s="42"/>
      <c r="GSX3" s="42"/>
      <c r="GSY3" s="42"/>
      <c r="GSZ3" s="42"/>
      <c r="GTA3" s="42"/>
      <c r="GTB3" s="42"/>
      <c r="GTC3" s="42"/>
      <c r="GTD3" s="42"/>
      <c r="GTE3" s="42"/>
      <c r="GTF3" s="42"/>
      <c r="GTG3" s="42"/>
      <c r="GTH3" s="42"/>
      <c r="GTI3" s="42"/>
      <c r="GTJ3" s="42"/>
      <c r="GTK3" s="42"/>
      <c r="GTL3" s="42"/>
      <c r="GTM3" s="42"/>
      <c r="GTN3" s="42"/>
      <c r="GTO3" s="42"/>
      <c r="GTP3" s="42"/>
      <c r="GTQ3" s="42"/>
      <c r="GTR3" s="42"/>
      <c r="GTS3" s="42"/>
      <c r="GTT3" s="42"/>
      <c r="GTU3" s="42"/>
      <c r="GTV3" s="42"/>
      <c r="GTW3" s="42"/>
      <c r="GTX3" s="42"/>
      <c r="GTY3" s="42"/>
      <c r="GTZ3" s="42"/>
      <c r="GUA3" s="42"/>
      <c r="GUB3" s="42"/>
      <c r="GUC3" s="42"/>
      <c r="GUD3" s="42"/>
      <c r="GUE3" s="42"/>
      <c r="GUF3" s="42"/>
      <c r="GUG3" s="42"/>
      <c r="GUH3" s="42"/>
      <c r="GUI3" s="42"/>
      <c r="GUJ3" s="42"/>
      <c r="GUK3" s="42"/>
      <c r="GUL3" s="42"/>
      <c r="GUM3" s="42"/>
      <c r="GUN3" s="42"/>
      <c r="GUO3" s="42"/>
      <c r="GUP3" s="42"/>
      <c r="GUQ3" s="42"/>
      <c r="GUR3" s="42"/>
      <c r="GUS3" s="42"/>
      <c r="GUT3" s="42"/>
      <c r="GUU3" s="42"/>
      <c r="GUV3" s="42"/>
      <c r="GUW3" s="42"/>
      <c r="GUX3" s="42"/>
      <c r="GUY3" s="42"/>
      <c r="GUZ3" s="42"/>
      <c r="GVA3" s="42"/>
      <c r="GVB3" s="42"/>
      <c r="GVC3" s="42"/>
      <c r="GVD3" s="42"/>
      <c r="GVE3" s="42"/>
      <c r="GVF3" s="42"/>
      <c r="GVG3" s="42"/>
      <c r="GVH3" s="42"/>
      <c r="GVI3" s="42"/>
      <c r="GVJ3" s="42"/>
      <c r="GVK3" s="42"/>
      <c r="GVL3" s="42"/>
      <c r="GVM3" s="42"/>
      <c r="GVN3" s="42"/>
      <c r="GVO3" s="42"/>
      <c r="GVP3" s="42"/>
      <c r="GVQ3" s="42"/>
      <c r="GVR3" s="42"/>
      <c r="GVS3" s="42"/>
      <c r="GVT3" s="42"/>
      <c r="GVU3" s="42"/>
      <c r="GVV3" s="42"/>
      <c r="GVW3" s="42"/>
      <c r="GVX3" s="42"/>
      <c r="GVY3" s="42"/>
      <c r="GVZ3" s="42"/>
      <c r="GWA3" s="42"/>
      <c r="GWB3" s="42"/>
      <c r="GWC3" s="42"/>
      <c r="GWD3" s="42"/>
      <c r="GWE3" s="42"/>
      <c r="GWF3" s="42"/>
      <c r="GWG3" s="42"/>
      <c r="GWH3" s="42"/>
      <c r="GWI3" s="42"/>
      <c r="GWJ3" s="42"/>
      <c r="GWK3" s="42"/>
      <c r="GWL3" s="42"/>
      <c r="GWM3" s="42"/>
      <c r="GWN3" s="42"/>
      <c r="GWO3" s="42"/>
      <c r="GWP3" s="42"/>
      <c r="GWQ3" s="42"/>
      <c r="GWR3" s="42"/>
      <c r="GWS3" s="42"/>
      <c r="GWT3" s="42"/>
      <c r="GWU3" s="42"/>
      <c r="GWV3" s="42"/>
      <c r="GWW3" s="42"/>
      <c r="GWX3" s="42"/>
      <c r="GWY3" s="42"/>
      <c r="GWZ3" s="42"/>
      <c r="GXA3" s="42"/>
      <c r="GXB3" s="42"/>
      <c r="GXC3" s="42"/>
      <c r="GXD3" s="42"/>
      <c r="GXE3" s="42"/>
      <c r="GXF3" s="42"/>
      <c r="GXG3" s="42"/>
      <c r="GXH3" s="42"/>
      <c r="GXI3" s="42"/>
      <c r="GXJ3" s="42"/>
      <c r="GXK3" s="42"/>
      <c r="GXL3" s="42"/>
      <c r="GXM3" s="42"/>
      <c r="GXN3" s="42"/>
      <c r="GXO3" s="42"/>
      <c r="GXP3" s="42"/>
      <c r="GXQ3" s="42"/>
      <c r="GXR3" s="42"/>
      <c r="GXS3" s="42"/>
      <c r="GXT3" s="42"/>
      <c r="GXU3" s="42"/>
      <c r="GXV3" s="42"/>
      <c r="GXW3" s="42"/>
      <c r="GXX3" s="42"/>
      <c r="GXY3" s="42"/>
      <c r="GXZ3" s="42"/>
      <c r="GYA3" s="42"/>
      <c r="GYB3" s="42"/>
      <c r="GYC3" s="42"/>
      <c r="GYD3" s="42"/>
      <c r="GYE3" s="42"/>
      <c r="GYF3" s="42"/>
      <c r="GYG3" s="42"/>
      <c r="GYH3" s="42"/>
      <c r="GYI3" s="42"/>
      <c r="GYJ3" s="42"/>
      <c r="GYK3" s="42"/>
      <c r="GYL3" s="42"/>
      <c r="GYM3" s="42"/>
      <c r="GYN3" s="42"/>
      <c r="GYO3" s="42"/>
      <c r="GYP3" s="42"/>
      <c r="GYQ3" s="42"/>
      <c r="GYR3" s="42"/>
      <c r="GYS3" s="42"/>
      <c r="GYT3" s="42"/>
      <c r="GYU3" s="42"/>
      <c r="GYV3" s="42"/>
      <c r="GYW3" s="42"/>
      <c r="GYX3" s="42"/>
      <c r="GYY3" s="42"/>
      <c r="GYZ3" s="42"/>
      <c r="GZA3" s="42"/>
      <c r="GZB3" s="42"/>
      <c r="GZC3" s="42"/>
      <c r="GZD3" s="42"/>
      <c r="GZE3" s="42"/>
      <c r="GZF3" s="42"/>
      <c r="GZG3" s="42"/>
      <c r="GZH3" s="42"/>
      <c r="GZI3" s="42"/>
      <c r="GZJ3" s="42"/>
      <c r="GZK3" s="42"/>
      <c r="GZL3" s="42"/>
      <c r="GZM3" s="42"/>
      <c r="GZN3" s="42"/>
      <c r="GZO3" s="42"/>
      <c r="GZP3" s="42"/>
      <c r="GZQ3" s="42"/>
      <c r="GZR3" s="42"/>
      <c r="GZS3" s="42"/>
      <c r="GZT3" s="42"/>
      <c r="GZU3" s="42"/>
      <c r="GZV3" s="42"/>
      <c r="GZW3" s="42"/>
      <c r="GZX3" s="42"/>
      <c r="GZY3" s="42"/>
      <c r="GZZ3" s="42"/>
      <c r="HAA3" s="42"/>
      <c r="HAB3" s="42"/>
      <c r="HAC3" s="42"/>
      <c r="HAD3" s="42"/>
      <c r="HAE3" s="42"/>
      <c r="HAF3" s="42"/>
      <c r="HAG3" s="42"/>
      <c r="HAH3" s="42"/>
      <c r="HAI3" s="42"/>
      <c r="HAJ3" s="42"/>
      <c r="HAK3" s="42"/>
      <c r="HAL3" s="42"/>
      <c r="HAM3" s="42"/>
      <c r="HAN3" s="42"/>
      <c r="HAO3" s="42"/>
      <c r="HAP3" s="42"/>
      <c r="HAQ3" s="42"/>
      <c r="HAR3" s="42"/>
      <c r="HAS3" s="42"/>
      <c r="HAT3" s="42"/>
      <c r="HAU3" s="42"/>
      <c r="HAV3" s="42"/>
      <c r="HAW3" s="42"/>
      <c r="HAX3" s="42"/>
      <c r="HAY3" s="42"/>
      <c r="HAZ3" s="42"/>
      <c r="HBA3" s="42"/>
      <c r="HBB3" s="42"/>
      <c r="HBC3" s="42"/>
      <c r="HBD3" s="42"/>
      <c r="HBE3" s="42"/>
      <c r="HBF3" s="42"/>
      <c r="HBG3" s="42"/>
      <c r="HBH3" s="42"/>
      <c r="HBI3" s="42"/>
      <c r="HBJ3" s="42"/>
      <c r="HBK3" s="42"/>
      <c r="HBL3" s="42"/>
      <c r="HBM3" s="42"/>
      <c r="HBN3" s="42"/>
      <c r="HBO3" s="42"/>
      <c r="HBP3" s="42"/>
      <c r="HBQ3" s="42"/>
      <c r="HBR3" s="42"/>
      <c r="HBS3" s="42"/>
      <c r="HBT3" s="42"/>
      <c r="HBU3" s="42"/>
      <c r="HBV3" s="42"/>
      <c r="HBW3" s="42"/>
      <c r="HBX3" s="42"/>
      <c r="HBY3" s="42"/>
      <c r="HBZ3" s="42"/>
      <c r="HCA3" s="42"/>
      <c r="HCB3" s="42"/>
      <c r="HCC3" s="42"/>
      <c r="HCD3" s="42"/>
      <c r="HCE3" s="42"/>
      <c r="HCF3" s="42"/>
      <c r="HCG3" s="42"/>
      <c r="HCH3" s="42"/>
      <c r="HCI3" s="42"/>
      <c r="HCJ3" s="42"/>
      <c r="HCK3" s="42"/>
      <c r="HCL3" s="42"/>
      <c r="HCM3" s="42"/>
      <c r="HCN3" s="42"/>
      <c r="HCO3" s="42"/>
      <c r="HCP3" s="42"/>
      <c r="HCQ3" s="42"/>
      <c r="HCR3" s="42"/>
      <c r="HCS3" s="42"/>
      <c r="HCT3" s="42"/>
      <c r="HCU3" s="42"/>
      <c r="HCV3" s="42"/>
      <c r="HCW3" s="42"/>
      <c r="HCX3" s="42"/>
      <c r="HCY3" s="42"/>
      <c r="HCZ3" s="42"/>
      <c r="HDA3" s="42"/>
      <c r="HDB3" s="42"/>
      <c r="HDC3" s="42"/>
      <c r="HDD3" s="42"/>
      <c r="HDE3" s="42"/>
      <c r="HDF3" s="42"/>
      <c r="HDG3" s="42"/>
      <c r="HDH3" s="42"/>
      <c r="HDI3" s="42"/>
      <c r="HDJ3" s="42"/>
      <c r="HDK3" s="42"/>
      <c r="HDL3" s="42"/>
      <c r="HDM3" s="42"/>
      <c r="HDN3" s="42"/>
      <c r="HDO3" s="42"/>
      <c r="HDP3" s="42"/>
      <c r="HDQ3" s="42"/>
      <c r="HDR3" s="42"/>
      <c r="HDS3" s="42"/>
      <c r="HDT3" s="42"/>
      <c r="HDU3" s="42"/>
      <c r="HDV3" s="42"/>
      <c r="HDW3" s="42"/>
      <c r="HDX3" s="42"/>
      <c r="HDY3" s="42"/>
      <c r="HDZ3" s="42"/>
      <c r="HEA3" s="42"/>
      <c r="HEB3" s="42"/>
      <c r="HEC3" s="42"/>
      <c r="HED3" s="42"/>
      <c r="HEE3" s="42"/>
      <c r="HEF3" s="42"/>
      <c r="HEG3" s="42"/>
      <c r="HEH3" s="42"/>
      <c r="HEI3" s="42"/>
      <c r="HEJ3" s="42"/>
      <c r="HEK3" s="42"/>
      <c r="HEL3" s="42"/>
      <c r="HEM3" s="42"/>
      <c r="HEN3" s="42"/>
      <c r="HEO3" s="42"/>
      <c r="HEP3" s="42"/>
      <c r="HEQ3" s="42"/>
      <c r="HER3" s="42"/>
      <c r="HES3" s="42"/>
      <c r="HET3" s="42"/>
      <c r="HEU3" s="42"/>
      <c r="HEV3" s="42"/>
      <c r="HEW3" s="42"/>
      <c r="HEX3" s="42"/>
      <c r="HEY3" s="42"/>
      <c r="HEZ3" s="42"/>
      <c r="HFA3" s="42"/>
      <c r="HFB3" s="42"/>
      <c r="HFC3" s="42"/>
      <c r="HFD3" s="42"/>
      <c r="HFE3" s="42"/>
      <c r="HFF3" s="42"/>
      <c r="HFG3" s="42"/>
      <c r="HFH3" s="42"/>
      <c r="HFI3" s="42"/>
      <c r="HFJ3" s="42"/>
      <c r="HFK3" s="42"/>
      <c r="HFL3" s="42"/>
      <c r="HFM3" s="42"/>
      <c r="HFN3" s="42"/>
      <c r="HFO3" s="42"/>
      <c r="HFP3" s="42"/>
      <c r="HFQ3" s="42"/>
      <c r="HFR3" s="42"/>
      <c r="HFS3" s="42"/>
      <c r="HFT3" s="42"/>
      <c r="HFU3" s="42"/>
      <c r="HFV3" s="42"/>
      <c r="HFW3" s="42"/>
      <c r="HFX3" s="42"/>
      <c r="HFY3" s="42"/>
      <c r="HFZ3" s="42"/>
      <c r="HGA3" s="42"/>
      <c r="HGB3" s="42"/>
      <c r="HGC3" s="42"/>
      <c r="HGD3" s="42"/>
      <c r="HGE3" s="42"/>
      <c r="HGF3" s="42"/>
      <c r="HGG3" s="42"/>
      <c r="HGH3" s="42"/>
      <c r="HGI3" s="42"/>
      <c r="HGJ3" s="42"/>
      <c r="HGK3" s="42"/>
      <c r="HGL3" s="42"/>
      <c r="HGM3" s="42"/>
      <c r="HGN3" s="42"/>
      <c r="HGO3" s="42"/>
      <c r="HGP3" s="42"/>
      <c r="HGQ3" s="42"/>
      <c r="HGR3" s="42"/>
      <c r="HGS3" s="42"/>
      <c r="HGT3" s="42"/>
      <c r="HGU3" s="42"/>
      <c r="HGV3" s="42"/>
      <c r="HGW3" s="42"/>
      <c r="HGX3" s="42"/>
      <c r="HGY3" s="42"/>
      <c r="HGZ3" s="42"/>
      <c r="HHA3" s="42"/>
      <c r="HHB3" s="42"/>
      <c r="HHC3" s="42"/>
      <c r="HHD3" s="42"/>
      <c r="HHE3" s="42"/>
      <c r="HHF3" s="42"/>
      <c r="HHG3" s="42"/>
      <c r="HHH3" s="42"/>
      <c r="HHI3" s="42"/>
      <c r="HHJ3" s="42"/>
      <c r="HHK3" s="42"/>
      <c r="HHL3" s="42"/>
      <c r="HHM3" s="42"/>
      <c r="HHN3" s="42"/>
      <c r="HHO3" s="42"/>
      <c r="HHP3" s="42"/>
      <c r="HHQ3" s="42"/>
      <c r="HHR3" s="42"/>
      <c r="HHS3" s="42"/>
      <c r="HHT3" s="42"/>
      <c r="HHU3" s="42"/>
      <c r="HHV3" s="42"/>
      <c r="HHW3" s="42"/>
      <c r="HHX3" s="42"/>
      <c r="HHY3" s="42"/>
      <c r="HHZ3" s="42"/>
      <c r="HIA3" s="42"/>
      <c r="HIB3" s="42"/>
      <c r="HIC3" s="42"/>
      <c r="HID3" s="42"/>
      <c r="HIE3" s="42"/>
      <c r="HIF3" s="42"/>
      <c r="HIG3" s="42"/>
      <c r="HIH3" s="42"/>
      <c r="HII3" s="42"/>
      <c r="HIJ3" s="42"/>
      <c r="HIK3" s="42"/>
      <c r="HIL3" s="42"/>
      <c r="HIM3" s="42"/>
      <c r="HIN3" s="42"/>
      <c r="HIO3" s="42"/>
      <c r="HIP3" s="42"/>
      <c r="HIQ3" s="42"/>
      <c r="HIR3" s="42"/>
      <c r="HIS3" s="42"/>
      <c r="HIT3" s="42"/>
      <c r="HIU3" s="42"/>
      <c r="HIV3" s="42"/>
      <c r="HIW3" s="42"/>
      <c r="HIX3" s="42"/>
      <c r="HIY3" s="42"/>
      <c r="HIZ3" s="42"/>
      <c r="HJA3" s="42"/>
      <c r="HJB3" s="42"/>
      <c r="HJC3" s="42"/>
      <c r="HJD3" s="42"/>
      <c r="HJE3" s="42"/>
      <c r="HJF3" s="42"/>
      <c r="HJG3" s="42"/>
      <c r="HJH3" s="42"/>
      <c r="HJI3" s="42"/>
      <c r="HJJ3" s="42"/>
      <c r="HJK3" s="42"/>
      <c r="HJL3" s="42"/>
      <c r="HJM3" s="42"/>
      <c r="HJN3" s="42"/>
      <c r="HJO3" s="42"/>
      <c r="HJP3" s="42"/>
      <c r="HJQ3" s="42"/>
      <c r="HJR3" s="42"/>
      <c r="HJS3" s="42"/>
      <c r="HJT3" s="42"/>
      <c r="HJU3" s="42"/>
      <c r="HJV3" s="42"/>
      <c r="HJW3" s="42"/>
      <c r="HJX3" s="42"/>
      <c r="HJY3" s="42"/>
      <c r="HJZ3" s="42"/>
      <c r="HKA3" s="42"/>
      <c r="HKB3" s="42"/>
      <c r="HKC3" s="42"/>
      <c r="HKD3" s="42"/>
      <c r="HKE3" s="42"/>
      <c r="HKF3" s="42"/>
      <c r="HKG3" s="42"/>
      <c r="HKH3" s="42"/>
      <c r="HKI3" s="42"/>
      <c r="HKJ3" s="42"/>
      <c r="HKK3" s="42"/>
      <c r="HKL3" s="42"/>
      <c r="HKM3" s="42"/>
      <c r="HKN3" s="42"/>
      <c r="HKO3" s="42"/>
      <c r="HKP3" s="42"/>
      <c r="HKQ3" s="42"/>
      <c r="HKR3" s="42"/>
      <c r="HKS3" s="42"/>
      <c r="HKT3" s="42"/>
      <c r="HKU3" s="42"/>
      <c r="HKV3" s="42"/>
      <c r="HKW3" s="42"/>
      <c r="HKX3" s="42"/>
      <c r="HKY3" s="42"/>
      <c r="HKZ3" s="42"/>
      <c r="HLA3" s="42"/>
      <c r="HLB3" s="42"/>
      <c r="HLC3" s="42"/>
      <c r="HLD3" s="42"/>
      <c r="HLE3" s="42"/>
      <c r="HLF3" s="42"/>
      <c r="HLG3" s="42"/>
      <c r="HLH3" s="42"/>
      <c r="HLI3" s="42"/>
      <c r="HLJ3" s="42"/>
      <c r="HLK3" s="42"/>
      <c r="HLL3" s="42"/>
      <c r="HLM3" s="42"/>
      <c r="HLN3" s="42"/>
      <c r="HLO3" s="42"/>
      <c r="HLP3" s="42"/>
      <c r="HLQ3" s="42"/>
      <c r="HLR3" s="42"/>
      <c r="HLS3" s="42"/>
      <c r="HLT3" s="42"/>
      <c r="HLU3" s="42"/>
      <c r="HLV3" s="42"/>
      <c r="HLW3" s="42"/>
      <c r="HLX3" s="42"/>
      <c r="HLY3" s="42"/>
      <c r="HLZ3" s="42"/>
      <c r="HMA3" s="42"/>
      <c r="HMB3" s="42"/>
      <c r="HMC3" s="42"/>
      <c r="HMD3" s="42"/>
      <c r="HME3" s="42"/>
      <c r="HMF3" s="42"/>
      <c r="HMG3" s="42"/>
      <c r="HMH3" s="42"/>
      <c r="HMI3" s="42"/>
      <c r="HMJ3" s="42"/>
      <c r="HMK3" s="42"/>
      <c r="HML3" s="42"/>
      <c r="HMM3" s="42"/>
      <c r="HMN3" s="42"/>
      <c r="HMO3" s="42"/>
      <c r="HMP3" s="42"/>
      <c r="HMQ3" s="42"/>
      <c r="HMR3" s="42"/>
      <c r="HMS3" s="42"/>
      <c r="HMT3" s="42"/>
      <c r="HMU3" s="42"/>
      <c r="HMV3" s="42"/>
      <c r="HMW3" s="42"/>
      <c r="HMX3" s="42"/>
      <c r="HMY3" s="42"/>
      <c r="HMZ3" s="42"/>
      <c r="HNA3" s="42"/>
      <c r="HNB3" s="42"/>
      <c r="HNC3" s="42"/>
      <c r="HND3" s="42"/>
      <c r="HNE3" s="42"/>
      <c r="HNF3" s="42"/>
      <c r="HNG3" s="42"/>
      <c r="HNH3" s="42"/>
      <c r="HNI3" s="42"/>
      <c r="HNJ3" s="42"/>
      <c r="HNK3" s="42"/>
      <c r="HNL3" s="42"/>
      <c r="HNM3" s="42"/>
      <c r="HNN3" s="42"/>
      <c r="HNO3" s="42"/>
      <c r="HNP3" s="42"/>
      <c r="HNQ3" s="42"/>
      <c r="HNR3" s="42"/>
      <c r="HNS3" s="42"/>
      <c r="HNT3" s="42"/>
      <c r="HNU3" s="42"/>
      <c r="HNV3" s="42"/>
      <c r="HNW3" s="42"/>
      <c r="HNX3" s="42"/>
      <c r="HNY3" s="42"/>
      <c r="HNZ3" s="42"/>
      <c r="HOA3" s="42"/>
      <c r="HOB3" s="42"/>
      <c r="HOC3" s="42"/>
      <c r="HOD3" s="42"/>
      <c r="HOE3" s="42"/>
      <c r="HOF3" s="42"/>
      <c r="HOG3" s="42"/>
      <c r="HOH3" s="42"/>
      <c r="HOI3" s="42"/>
      <c r="HOJ3" s="42"/>
      <c r="HOK3" s="42"/>
      <c r="HOL3" s="42"/>
      <c r="HOM3" s="42"/>
      <c r="HON3" s="42"/>
      <c r="HOO3" s="42"/>
      <c r="HOP3" s="42"/>
      <c r="HOQ3" s="42"/>
      <c r="HOR3" s="42"/>
      <c r="HOS3" s="42"/>
      <c r="HOT3" s="42"/>
      <c r="HOU3" s="42"/>
      <c r="HOV3" s="42"/>
      <c r="HOW3" s="42"/>
      <c r="HOX3" s="42"/>
      <c r="HOY3" s="42"/>
      <c r="HOZ3" s="42"/>
      <c r="HPA3" s="42"/>
      <c r="HPB3" s="42"/>
      <c r="HPC3" s="42"/>
      <c r="HPD3" s="42"/>
      <c r="HPE3" s="42"/>
      <c r="HPF3" s="42"/>
      <c r="HPG3" s="42"/>
      <c r="HPH3" s="42"/>
      <c r="HPI3" s="42"/>
      <c r="HPJ3" s="42"/>
      <c r="HPK3" s="42"/>
      <c r="HPL3" s="42"/>
      <c r="HPM3" s="42"/>
      <c r="HPN3" s="42"/>
      <c r="HPO3" s="42"/>
      <c r="HPP3" s="42"/>
      <c r="HPQ3" s="42"/>
      <c r="HPR3" s="42"/>
      <c r="HPS3" s="42"/>
      <c r="HPT3" s="42"/>
      <c r="HPU3" s="42"/>
      <c r="HPV3" s="42"/>
      <c r="HPW3" s="42"/>
      <c r="HPX3" s="42"/>
      <c r="HPY3" s="42"/>
      <c r="HPZ3" s="42"/>
      <c r="HQA3" s="42"/>
      <c r="HQB3" s="42"/>
      <c r="HQC3" s="42"/>
      <c r="HQD3" s="42"/>
      <c r="HQE3" s="42"/>
      <c r="HQF3" s="42"/>
      <c r="HQG3" s="42"/>
      <c r="HQH3" s="42"/>
      <c r="HQI3" s="42"/>
      <c r="HQJ3" s="42"/>
      <c r="HQK3" s="42"/>
      <c r="HQL3" s="42"/>
      <c r="HQM3" s="42"/>
      <c r="HQN3" s="42"/>
      <c r="HQO3" s="42"/>
      <c r="HQP3" s="42"/>
      <c r="HQQ3" s="42"/>
      <c r="HQR3" s="42"/>
      <c r="HQS3" s="42"/>
      <c r="HQT3" s="42"/>
      <c r="HQU3" s="42"/>
      <c r="HQV3" s="42"/>
      <c r="HQW3" s="42"/>
      <c r="HQX3" s="42"/>
      <c r="HQY3" s="42"/>
      <c r="HQZ3" s="42"/>
      <c r="HRA3" s="42"/>
      <c r="HRB3" s="42"/>
      <c r="HRC3" s="42"/>
      <c r="HRD3" s="42"/>
      <c r="HRE3" s="42"/>
      <c r="HRF3" s="42"/>
      <c r="HRG3" s="42"/>
      <c r="HRH3" s="42"/>
      <c r="HRI3" s="42"/>
      <c r="HRJ3" s="42"/>
      <c r="HRK3" s="42"/>
      <c r="HRL3" s="42"/>
      <c r="HRM3" s="42"/>
      <c r="HRN3" s="42"/>
      <c r="HRO3" s="42"/>
      <c r="HRP3" s="42"/>
      <c r="HRQ3" s="42"/>
      <c r="HRR3" s="42"/>
      <c r="HRS3" s="42"/>
      <c r="HRT3" s="42"/>
      <c r="HRU3" s="42"/>
      <c r="HRV3" s="42"/>
      <c r="HRW3" s="42"/>
      <c r="HRX3" s="42"/>
      <c r="HRY3" s="42"/>
      <c r="HRZ3" s="42"/>
      <c r="HSA3" s="42"/>
      <c r="HSB3" s="42"/>
      <c r="HSC3" s="42"/>
      <c r="HSD3" s="42"/>
      <c r="HSE3" s="42"/>
      <c r="HSF3" s="42"/>
      <c r="HSG3" s="42"/>
      <c r="HSH3" s="42"/>
      <c r="HSI3" s="42"/>
      <c r="HSJ3" s="42"/>
      <c r="HSK3" s="42"/>
      <c r="HSL3" s="42"/>
      <c r="HSM3" s="42"/>
      <c r="HSN3" s="42"/>
      <c r="HSO3" s="42"/>
      <c r="HSP3" s="42"/>
      <c r="HSQ3" s="42"/>
      <c r="HSR3" s="42"/>
      <c r="HSS3" s="42"/>
      <c r="HST3" s="42"/>
      <c r="HSU3" s="42"/>
      <c r="HSV3" s="42"/>
      <c r="HSW3" s="42"/>
      <c r="HSX3" s="42"/>
      <c r="HSY3" s="42"/>
      <c r="HSZ3" s="42"/>
      <c r="HTA3" s="42"/>
      <c r="HTB3" s="42"/>
      <c r="HTC3" s="42"/>
      <c r="HTD3" s="42"/>
      <c r="HTE3" s="42"/>
      <c r="HTF3" s="42"/>
      <c r="HTG3" s="42"/>
      <c r="HTH3" s="42"/>
      <c r="HTI3" s="42"/>
      <c r="HTJ3" s="42"/>
      <c r="HTK3" s="42"/>
      <c r="HTL3" s="42"/>
      <c r="HTM3" s="42"/>
      <c r="HTN3" s="42"/>
      <c r="HTO3" s="42"/>
      <c r="HTP3" s="42"/>
      <c r="HTQ3" s="42"/>
      <c r="HTR3" s="42"/>
      <c r="HTS3" s="42"/>
      <c r="HTT3" s="42"/>
      <c r="HTU3" s="42"/>
      <c r="HTV3" s="42"/>
      <c r="HTW3" s="42"/>
      <c r="HTX3" s="42"/>
      <c r="HTY3" s="42"/>
      <c r="HTZ3" s="42"/>
      <c r="HUA3" s="42"/>
      <c r="HUB3" s="42"/>
      <c r="HUC3" s="42"/>
      <c r="HUD3" s="42"/>
      <c r="HUE3" s="42"/>
      <c r="HUF3" s="42"/>
      <c r="HUG3" s="42"/>
      <c r="HUH3" s="42"/>
      <c r="HUI3" s="42"/>
      <c r="HUJ3" s="42"/>
      <c r="HUK3" s="42"/>
      <c r="HUL3" s="42"/>
      <c r="HUM3" s="42"/>
      <c r="HUN3" s="42"/>
      <c r="HUO3" s="42"/>
      <c r="HUP3" s="42"/>
      <c r="HUQ3" s="42"/>
      <c r="HUR3" s="42"/>
      <c r="HUS3" s="42"/>
      <c r="HUT3" s="42"/>
      <c r="HUU3" s="42"/>
      <c r="HUV3" s="42"/>
      <c r="HUW3" s="42"/>
      <c r="HUX3" s="42"/>
      <c r="HUY3" s="42"/>
      <c r="HUZ3" s="42"/>
      <c r="HVA3" s="42"/>
      <c r="HVB3" s="42"/>
      <c r="HVC3" s="42"/>
      <c r="HVD3" s="42"/>
      <c r="HVE3" s="42"/>
      <c r="HVF3" s="42"/>
      <c r="HVG3" s="42"/>
      <c r="HVH3" s="42"/>
      <c r="HVI3" s="42"/>
      <c r="HVJ3" s="42"/>
      <c r="HVK3" s="42"/>
      <c r="HVL3" s="42"/>
      <c r="HVM3" s="42"/>
      <c r="HVN3" s="42"/>
      <c r="HVO3" s="42"/>
      <c r="HVP3" s="42"/>
      <c r="HVQ3" s="42"/>
      <c r="HVR3" s="42"/>
      <c r="HVS3" s="42"/>
      <c r="HVT3" s="42"/>
      <c r="HVU3" s="42"/>
      <c r="HVV3" s="42"/>
      <c r="HVW3" s="42"/>
      <c r="HVX3" s="42"/>
      <c r="HVY3" s="42"/>
      <c r="HVZ3" s="42"/>
      <c r="HWA3" s="42"/>
      <c r="HWB3" s="42"/>
      <c r="HWC3" s="42"/>
      <c r="HWD3" s="42"/>
      <c r="HWE3" s="42"/>
      <c r="HWF3" s="42"/>
      <c r="HWG3" s="42"/>
      <c r="HWH3" s="42"/>
      <c r="HWI3" s="42"/>
      <c r="HWJ3" s="42"/>
      <c r="HWK3" s="42"/>
      <c r="HWL3" s="42"/>
      <c r="HWM3" s="42"/>
      <c r="HWN3" s="42"/>
      <c r="HWO3" s="42"/>
      <c r="HWP3" s="42"/>
      <c r="HWQ3" s="42"/>
      <c r="HWR3" s="42"/>
      <c r="HWS3" s="42"/>
      <c r="HWT3" s="42"/>
      <c r="HWU3" s="42"/>
      <c r="HWV3" s="42"/>
      <c r="HWW3" s="42"/>
      <c r="HWX3" s="42"/>
      <c r="HWY3" s="42"/>
      <c r="HWZ3" s="42"/>
      <c r="HXA3" s="42"/>
      <c r="HXB3" s="42"/>
      <c r="HXC3" s="42"/>
      <c r="HXD3" s="42"/>
      <c r="HXE3" s="42"/>
      <c r="HXF3" s="42"/>
      <c r="HXG3" s="42"/>
      <c r="HXH3" s="42"/>
      <c r="HXI3" s="42"/>
      <c r="HXJ3" s="42"/>
      <c r="HXK3" s="42"/>
      <c r="HXL3" s="42"/>
      <c r="HXM3" s="42"/>
      <c r="HXN3" s="42"/>
      <c r="HXO3" s="42"/>
      <c r="HXP3" s="42"/>
      <c r="HXQ3" s="42"/>
      <c r="HXR3" s="42"/>
      <c r="HXS3" s="42"/>
      <c r="HXT3" s="42"/>
      <c r="HXU3" s="42"/>
      <c r="HXV3" s="42"/>
      <c r="HXW3" s="42"/>
      <c r="HXX3" s="42"/>
      <c r="HXY3" s="42"/>
      <c r="HXZ3" s="42"/>
      <c r="HYA3" s="42"/>
      <c r="HYB3" s="42"/>
      <c r="HYC3" s="42"/>
      <c r="HYD3" s="42"/>
      <c r="HYE3" s="42"/>
      <c r="HYF3" s="42"/>
      <c r="HYG3" s="42"/>
      <c r="HYH3" s="42"/>
      <c r="HYI3" s="42"/>
      <c r="HYJ3" s="42"/>
      <c r="HYK3" s="42"/>
      <c r="HYL3" s="42"/>
      <c r="HYM3" s="42"/>
      <c r="HYN3" s="42"/>
      <c r="HYO3" s="42"/>
      <c r="HYP3" s="42"/>
      <c r="HYQ3" s="42"/>
      <c r="HYR3" s="42"/>
      <c r="HYS3" s="42"/>
      <c r="HYT3" s="42"/>
      <c r="HYU3" s="42"/>
      <c r="HYV3" s="42"/>
      <c r="HYW3" s="42"/>
      <c r="HYX3" s="42"/>
      <c r="HYY3" s="42"/>
      <c r="HYZ3" s="42"/>
      <c r="HZA3" s="42"/>
      <c r="HZB3" s="42"/>
      <c r="HZC3" s="42"/>
      <c r="HZD3" s="42"/>
      <c r="HZE3" s="42"/>
      <c r="HZF3" s="42"/>
      <c r="HZG3" s="42"/>
      <c r="HZH3" s="42"/>
      <c r="HZI3" s="42"/>
      <c r="HZJ3" s="42"/>
      <c r="HZK3" s="42"/>
      <c r="HZL3" s="42"/>
      <c r="HZM3" s="42"/>
      <c r="HZN3" s="42"/>
      <c r="HZO3" s="42"/>
      <c r="HZP3" s="42"/>
      <c r="HZQ3" s="42"/>
      <c r="HZR3" s="42"/>
      <c r="HZS3" s="42"/>
      <c r="HZT3" s="42"/>
      <c r="HZU3" s="42"/>
      <c r="HZV3" s="42"/>
      <c r="HZW3" s="42"/>
      <c r="HZX3" s="42"/>
      <c r="HZY3" s="42"/>
      <c r="HZZ3" s="42"/>
      <c r="IAA3" s="42"/>
      <c r="IAB3" s="42"/>
      <c r="IAC3" s="42"/>
      <c r="IAD3" s="42"/>
      <c r="IAE3" s="42"/>
      <c r="IAF3" s="42"/>
      <c r="IAG3" s="42"/>
      <c r="IAH3" s="42"/>
      <c r="IAI3" s="42"/>
      <c r="IAJ3" s="42"/>
      <c r="IAK3" s="42"/>
      <c r="IAL3" s="42"/>
      <c r="IAM3" s="42"/>
      <c r="IAN3" s="42"/>
      <c r="IAO3" s="42"/>
      <c r="IAP3" s="42"/>
      <c r="IAQ3" s="42"/>
      <c r="IAR3" s="42"/>
      <c r="IAS3" s="42"/>
      <c r="IAT3" s="42"/>
      <c r="IAU3" s="42"/>
      <c r="IAV3" s="42"/>
      <c r="IAW3" s="42"/>
      <c r="IAX3" s="42"/>
      <c r="IAY3" s="42"/>
      <c r="IAZ3" s="42"/>
      <c r="IBA3" s="42"/>
      <c r="IBB3" s="42"/>
      <c r="IBC3" s="42"/>
      <c r="IBD3" s="42"/>
      <c r="IBE3" s="42"/>
      <c r="IBF3" s="42"/>
      <c r="IBG3" s="42"/>
      <c r="IBH3" s="42"/>
      <c r="IBI3" s="42"/>
      <c r="IBJ3" s="42"/>
      <c r="IBK3" s="42"/>
      <c r="IBL3" s="42"/>
      <c r="IBM3" s="42"/>
      <c r="IBN3" s="42"/>
      <c r="IBO3" s="42"/>
      <c r="IBP3" s="42"/>
      <c r="IBQ3" s="42"/>
      <c r="IBR3" s="42"/>
      <c r="IBS3" s="42"/>
      <c r="IBT3" s="42"/>
      <c r="IBU3" s="42"/>
      <c r="IBV3" s="42"/>
      <c r="IBW3" s="42"/>
      <c r="IBX3" s="42"/>
      <c r="IBY3" s="42"/>
      <c r="IBZ3" s="42"/>
      <c r="ICA3" s="42"/>
      <c r="ICB3" s="42"/>
      <c r="ICC3" s="42"/>
      <c r="ICD3" s="42"/>
      <c r="ICE3" s="42"/>
      <c r="ICF3" s="42"/>
      <c r="ICG3" s="42"/>
      <c r="ICH3" s="42"/>
      <c r="ICI3" s="42"/>
      <c r="ICJ3" s="42"/>
      <c r="ICK3" s="42"/>
      <c r="ICL3" s="42"/>
      <c r="ICM3" s="42"/>
      <c r="ICN3" s="42"/>
      <c r="ICO3" s="42"/>
      <c r="ICP3" s="42"/>
      <c r="ICQ3" s="42"/>
      <c r="ICR3" s="42"/>
      <c r="ICS3" s="42"/>
      <c r="ICT3" s="42"/>
      <c r="ICU3" s="42"/>
      <c r="ICV3" s="42"/>
      <c r="ICW3" s="42"/>
      <c r="ICX3" s="42"/>
      <c r="ICY3" s="42"/>
      <c r="ICZ3" s="42"/>
      <c r="IDA3" s="42"/>
      <c r="IDB3" s="42"/>
      <c r="IDC3" s="42"/>
      <c r="IDD3" s="42"/>
      <c r="IDE3" s="42"/>
      <c r="IDF3" s="42"/>
      <c r="IDG3" s="42"/>
      <c r="IDH3" s="42"/>
      <c r="IDI3" s="42"/>
      <c r="IDJ3" s="42"/>
      <c r="IDK3" s="42"/>
      <c r="IDL3" s="42"/>
      <c r="IDM3" s="42"/>
      <c r="IDN3" s="42"/>
      <c r="IDO3" s="42"/>
      <c r="IDP3" s="42"/>
      <c r="IDQ3" s="42"/>
      <c r="IDR3" s="42"/>
      <c r="IDS3" s="42"/>
      <c r="IDT3" s="42"/>
      <c r="IDU3" s="42"/>
      <c r="IDV3" s="42"/>
      <c r="IDW3" s="42"/>
      <c r="IDX3" s="42"/>
      <c r="IDY3" s="42"/>
      <c r="IDZ3" s="42"/>
      <c r="IEA3" s="42"/>
      <c r="IEB3" s="42"/>
      <c r="IEC3" s="42"/>
      <c r="IED3" s="42"/>
      <c r="IEE3" s="42"/>
      <c r="IEF3" s="42"/>
      <c r="IEG3" s="42"/>
      <c r="IEH3" s="42"/>
      <c r="IEI3" s="42"/>
      <c r="IEJ3" s="42"/>
      <c r="IEK3" s="42"/>
      <c r="IEL3" s="42"/>
      <c r="IEM3" s="42"/>
      <c r="IEN3" s="42"/>
      <c r="IEO3" s="42"/>
      <c r="IEP3" s="42"/>
      <c r="IEQ3" s="42"/>
      <c r="IER3" s="42"/>
      <c r="IES3" s="42"/>
      <c r="IET3" s="42"/>
      <c r="IEU3" s="42"/>
      <c r="IEV3" s="42"/>
      <c r="IEW3" s="42"/>
      <c r="IEX3" s="42"/>
      <c r="IEY3" s="42"/>
      <c r="IEZ3" s="42"/>
      <c r="IFA3" s="42"/>
      <c r="IFB3" s="42"/>
      <c r="IFC3" s="42"/>
      <c r="IFD3" s="42"/>
      <c r="IFE3" s="42"/>
      <c r="IFF3" s="42"/>
      <c r="IFG3" s="42"/>
      <c r="IFH3" s="42"/>
      <c r="IFI3" s="42"/>
      <c r="IFJ3" s="42"/>
      <c r="IFK3" s="42"/>
      <c r="IFL3" s="42"/>
      <c r="IFM3" s="42"/>
      <c r="IFN3" s="42"/>
      <c r="IFO3" s="42"/>
      <c r="IFP3" s="42"/>
      <c r="IFQ3" s="42"/>
      <c r="IFR3" s="42"/>
      <c r="IFS3" s="42"/>
      <c r="IFT3" s="42"/>
      <c r="IFU3" s="42"/>
      <c r="IFV3" s="42"/>
      <c r="IFW3" s="42"/>
      <c r="IFX3" s="42"/>
      <c r="IFY3" s="42"/>
      <c r="IFZ3" s="42"/>
      <c r="IGA3" s="42"/>
      <c r="IGB3" s="42"/>
      <c r="IGC3" s="42"/>
      <c r="IGD3" s="42"/>
      <c r="IGE3" s="42"/>
      <c r="IGF3" s="42"/>
      <c r="IGG3" s="42"/>
      <c r="IGH3" s="42"/>
      <c r="IGI3" s="42"/>
      <c r="IGJ3" s="42"/>
      <c r="IGK3" s="42"/>
      <c r="IGL3" s="42"/>
      <c r="IGM3" s="42"/>
      <c r="IGN3" s="42"/>
      <c r="IGO3" s="42"/>
      <c r="IGP3" s="42"/>
      <c r="IGQ3" s="42"/>
      <c r="IGR3" s="42"/>
      <c r="IGS3" s="42"/>
      <c r="IGT3" s="42"/>
      <c r="IGU3" s="42"/>
      <c r="IGV3" s="42"/>
      <c r="IGW3" s="42"/>
      <c r="IGX3" s="42"/>
      <c r="IGY3" s="42"/>
      <c r="IGZ3" s="42"/>
      <c r="IHA3" s="42"/>
      <c r="IHB3" s="42"/>
      <c r="IHC3" s="42"/>
      <c r="IHD3" s="42"/>
      <c r="IHE3" s="42"/>
      <c r="IHF3" s="42"/>
      <c r="IHG3" s="42"/>
      <c r="IHH3" s="42"/>
      <c r="IHI3" s="42"/>
      <c r="IHJ3" s="42"/>
      <c r="IHK3" s="42"/>
      <c r="IHL3" s="42"/>
      <c r="IHM3" s="42"/>
      <c r="IHN3" s="42"/>
      <c r="IHO3" s="42"/>
      <c r="IHP3" s="42"/>
      <c r="IHQ3" s="42"/>
      <c r="IHR3" s="42"/>
      <c r="IHS3" s="42"/>
      <c r="IHT3" s="42"/>
      <c r="IHU3" s="42"/>
      <c r="IHV3" s="42"/>
      <c r="IHW3" s="42"/>
      <c r="IHX3" s="42"/>
      <c r="IHY3" s="42"/>
      <c r="IHZ3" s="42"/>
      <c r="IIA3" s="42"/>
      <c r="IIB3" s="42"/>
      <c r="IIC3" s="42"/>
      <c r="IID3" s="42"/>
      <c r="IIE3" s="42"/>
      <c r="IIF3" s="42"/>
      <c r="IIG3" s="42"/>
      <c r="IIH3" s="42"/>
      <c r="III3" s="42"/>
      <c r="IIJ3" s="42"/>
      <c r="IIK3" s="42"/>
      <c r="IIL3" s="42"/>
      <c r="IIM3" s="42"/>
      <c r="IIN3" s="42"/>
      <c r="IIO3" s="42"/>
      <c r="IIP3" s="42"/>
      <c r="IIQ3" s="42"/>
      <c r="IIR3" s="42"/>
      <c r="IIS3" s="42"/>
      <c r="IIT3" s="42"/>
      <c r="IIU3" s="42"/>
      <c r="IIV3" s="42"/>
      <c r="IIW3" s="42"/>
      <c r="IIX3" s="42"/>
      <c r="IIY3" s="42"/>
      <c r="IIZ3" s="42"/>
      <c r="IJA3" s="42"/>
      <c r="IJB3" s="42"/>
      <c r="IJC3" s="42"/>
      <c r="IJD3" s="42"/>
      <c r="IJE3" s="42"/>
      <c r="IJF3" s="42"/>
      <c r="IJG3" s="42"/>
      <c r="IJH3" s="42"/>
      <c r="IJI3" s="42"/>
      <c r="IJJ3" s="42"/>
      <c r="IJK3" s="42"/>
      <c r="IJL3" s="42"/>
      <c r="IJM3" s="42"/>
      <c r="IJN3" s="42"/>
      <c r="IJO3" s="42"/>
      <c r="IJP3" s="42"/>
      <c r="IJQ3" s="42"/>
      <c r="IJR3" s="42"/>
      <c r="IJS3" s="42"/>
      <c r="IJT3" s="42"/>
      <c r="IJU3" s="42"/>
      <c r="IJV3" s="42"/>
      <c r="IJW3" s="42"/>
      <c r="IJX3" s="42"/>
      <c r="IJY3" s="42"/>
      <c r="IJZ3" s="42"/>
      <c r="IKA3" s="42"/>
      <c r="IKB3" s="42"/>
      <c r="IKC3" s="42"/>
      <c r="IKD3" s="42"/>
      <c r="IKE3" s="42"/>
      <c r="IKF3" s="42"/>
      <c r="IKG3" s="42"/>
      <c r="IKH3" s="42"/>
      <c r="IKI3" s="42"/>
      <c r="IKJ3" s="42"/>
      <c r="IKK3" s="42"/>
      <c r="IKL3" s="42"/>
      <c r="IKM3" s="42"/>
      <c r="IKN3" s="42"/>
      <c r="IKO3" s="42"/>
      <c r="IKP3" s="42"/>
      <c r="IKQ3" s="42"/>
      <c r="IKR3" s="42"/>
      <c r="IKS3" s="42"/>
      <c r="IKT3" s="42"/>
      <c r="IKU3" s="42"/>
      <c r="IKV3" s="42"/>
      <c r="IKW3" s="42"/>
      <c r="IKX3" s="42"/>
      <c r="IKY3" s="42"/>
      <c r="IKZ3" s="42"/>
      <c r="ILA3" s="42"/>
      <c r="ILB3" s="42"/>
      <c r="ILC3" s="42"/>
      <c r="ILD3" s="42"/>
      <c r="ILE3" s="42"/>
      <c r="ILF3" s="42"/>
      <c r="ILG3" s="42"/>
      <c r="ILH3" s="42"/>
      <c r="ILI3" s="42"/>
      <c r="ILJ3" s="42"/>
      <c r="ILK3" s="42"/>
      <c r="ILL3" s="42"/>
      <c r="ILM3" s="42"/>
      <c r="ILN3" s="42"/>
      <c r="ILO3" s="42"/>
      <c r="ILP3" s="42"/>
      <c r="ILQ3" s="42"/>
      <c r="ILR3" s="42"/>
      <c r="ILS3" s="42"/>
      <c r="ILT3" s="42"/>
      <c r="ILU3" s="42"/>
      <c r="ILV3" s="42"/>
      <c r="ILW3" s="42"/>
      <c r="ILX3" s="42"/>
      <c r="ILY3" s="42"/>
      <c r="ILZ3" s="42"/>
      <c r="IMA3" s="42"/>
      <c r="IMB3" s="42"/>
      <c r="IMC3" s="42"/>
      <c r="IMD3" s="42"/>
      <c r="IME3" s="42"/>
      <c r="IMF3" s="42"/>
      <c r="IMG3" s="42"/>
      <c r="IMH3" s="42"/>
      <c r="IMI3" s="42"/>
      <c r="IMJ3" s="42"/>
      <c r="IMK3" s="42"/>
      <c r="IML3" s="42"/>
      <c r="IMM3" s="42"/>
      <c r="IMN3" s="42"/>
      <c r="IMO3" s="42"/>
      <c r="IMP3" s="42"/>
      <c r="IMQ3" s="42"/>
      <c r="IMR3" s="42"/>
      <c r="IMS3" s="42"/>
      <c r="IMT3" s="42"/>
      <c r="IMU3" s="42"/>
      <c r="IMV3" s="42"/>
      <c r="IMW3" s="42"/>
      <c r="IMX3" s="42"/>
      <c r="IMY3" s="42"/>
      <c r="IMZ3" s="42"/>
      <c r="INA3" s="42"/>
      <c r="INB3" s="42"/>
      <c r="INC3" s="42"/>
      <c r="IND3" s="42"/>
      <c r="INE3" s="42"/>
      <c r="INF3" s="42"/>
      <c r="ING3" s="42"/>
      <c r="INH3" s="42"/>
      <c r="INI3" s="42"/>
      <c r="INJ3" s="42"/>
      <c r="INK3" s="42"/>
      <c r="INL3" s="42"/>
      <c r="INM3" s="42"/>
      <c r="INN3" s="42"/>
      <c r="INO3" s="42"/>
      <c r="INP3" s="42"/>
      <c r="INQ3" s="42"/>
      <c r="INR3" s="42"/>
      <c r="INS3" s="42"/>
      <c r="INT3" s="42"/>
      <c r="INU3" s="42"/>
      <c r="INV3" s="42"/>
      <c r="INW3" s="42"/>
      <c r="INX3" s="42"/>
      <c r="INY3" s="42"/>
      <c r="INZ3" s="42"/>
      <c r="IOA3" s="42"/>
      <c r="IOB3" s="42"/>
      <c r="IOC3" s="42"/>
      <c r="IOD3" s="42"/>
      <c r="IOE3" s="42"/>
      <c r="IOF3" s="42"/>
      <c r="IOG3" s="42"/>
      <c r="IOH3" s="42"/>
      <c r="IOI3" s="42"/>
      <c r="IOJ3" s="42"/>
      <c r="IOK3" s="42"/>
      <c r="IOL3" s="42"/>
      <c r="IOM3" s="42"/>
      <c r="ION3" s="42"/>
      <c r="IOO3" s="42"/>
      <c r="IOP3" s="42"/>
      <c r="IOQ3" s="42"/>
      <c r="IOR3" s="42"/>
      <c r="IOS3" s="42"/>
      <c r="IOT3" s="42"/>
      <c r="IOU3" s="42"/>
      <c r="IOV3" s="42"/>
      <c r="IOW3" s="42"/>
      <c r="IOX3" s="42"/>
      <c r="IOY3" s="42"/>
      <c r="IOZ3" s="42"/>
      <c r="IPA3" s="42"/>
      <c r="IPB3" s="42"/>
      <c r="IPC3" s="42"/>
      <c r="IPD3" s="42"/>
      <c r="IPE3" s="42"/>
      <c r="IPF3" s="42"/>
      <c r="IPG3" s="42"/>
      <c r="IPH3" s="42"/>
      <c r="IPI3" s="42"/>
      <c r="IPJ3" s="42"/>
      <c r="IPK3" s="42"/>
      <c r="IPL3" s="42"/>
      <c r="IPM3" s="42"/>
      <c r="IPN3" s="42"/>
      <c r="IPO3" s="42"/>
      <c r="IPP3" s="42"/>
      <c r="IPQ3" s="42"/>
      <c r="IPR3" s="42"/>
      <c r="IPS3" s="42"/>
      <c r="IPT3" s="42"/>
      <c r="IPU3" s="42"/>
      <c r="IPV3" s="42"/>
      <c r="IPW3" s="42"/>
      <c r="IPX3" s="42"/>
      <c r="IPY3" s="42"/>
      <c r="IPZ3" s="42"/>
      <c r="IQA3" s="42"/>
      <c r="IQB3" s="42"/>
      <c r="IQC3" s="42"/>
      <c r="IQD3" s="42"/>
      <c r="IQE3" s="42"/>
      <c r="IQF3" s="42"/>
      <c r="IQG3" s="42"/>
      <c r="IQH3" s="42"/>
      <c r="IQI3" s="42"/>
      <c r="IQJ3" s="42"/>
      <c r="IQK3" s="42"/>
      <c r="IQL3" s="42"/>
      <c r="IQM3" s="42"/>
      <c r="IQN3" s="42"/>
      <c r="IQO3" s="42"/>
      <c r="IQP3" s="42"/>
      <c r="IQQ3" s="42"/>
      <c r="IQR3" s="42"/>
      <c r="IQS3" s="42"/>
      <c r="IQT3" s="42"/>
      <c r="IQU3" s="42"/>
      <c r="IQV3" s="42"/>
      <c r="IQW3" s="42"/>
      <c r="IQX3" s="42"/>
      <c r="IQY3" s="42"/>
      <c r="IQZ3" s="42"/>
      <c r="IRA3" s="42"/>
      <c r="IRB3" s="42"/>
      <c r="IRC3" s="42"/>
      <c r="IRD3" s="42"/>
      <c r="IRE3" s="42"/>
      <c r="IRF3" s="42"/>
      <c r="IRG3" s="42"/>
      <c r="IRH3" s="42"/>
      <c r="IRI3" s="42"/>
      <c r="IRJ3" s="42"/>
      <c r="IRK3" s="42"/>
      <c r="IRL3" s="42"/>
      <c r="IRM3" s="42"/>
      <c r="IRN3" s="42"/>
      <c r="IRO3" s="42"/>
      <c r="IRP3" s="42"/>
      <c r="IRQ3" s="42"/>
      <c r="IRR3" s="42"/>
      <c r="IRS3" s="42"/>
      <c r="IRT3" s="42"/>
      <c r="IRU3" s="42"/>
      <c r="IRV3" s="42"/>
      <c r="IRW3" s="42"/>
      <c r="IRX3" s="42"/>
      <c r="IRY3" s="42"/>
      <c r="IRZ3" s="42"/>
      <c r="ISA3" s="42"/>
      <c r="ISB3" s="42"/>
      <c r="ISC3" s="42"/>
      <c r="ISD3" s="42"/>
      <c r="ISE3" s="42"/>
      <c r="ISF3" s="42"/>
      <c r="ISG3" s="42"/>
      <c r="ISH3" s="42"/>
      <c r="ISI3" s="42"/>
      <c r="ISJ3" s="42"/>
      <c r="ISK3" s="42"/>
      <c r="ISL3" s="42"/>
      <c r="ISM3" s="42"/>
      <c r="ISN3" s="42"/>
      <c r="ISO3" s="42"/>
      <c r="ISP3" s="42"/>
      <c r="ISQ3" s="42"/>
      <c r="ISR3" s="42"/>
      <c r="ISS3" s="42"/>
      <c r="IST3" s="42"/>
      <c r="ISU3" s="42"/>
      <c r="ISV3" s="42"/>
      <c r="ISW3" s="42"/>
      <c r="ISX3" s="42"/>
      <c r="ISY3" s="42"/>
      <c r="ISZ3" s="42"/>
      <c r="ITA3" s="42"/>
      <c r="ITB3" s="42"/>
      <c r="ITC3" s="42"/>
      <c r="ITD3" s="42"/>
      <c r="ITE3" s="42"/>
      <c r="ITF3" s="42"/>
      <c r="ITG3" s="42"/>
      <c r="ITH3" s="42"/>
      <c r="ITI3" s="42"/>
      <c r="ITJ3" s="42"/>
      <c r="ITK3" s="42"/>
      <c r="ITL3" s="42"/>
      <c r="ITM3" s="42"/>
      <c r="ITN3" s="42"/>
      <c r="ITO3" s="42"/>
      <c r="ITP3" s="42"/>
      <c r="ITQ3" s="42"/>
      <c r="ITR3" s="42"/>
      <c r="ITS3" s="42"/>
      <c r="ITT3" s="42"/>
      <c r="ITU3" s="42"/>
      <c r="ITV3" s="42"/>
      <c r="ITW3" s="42"/>
      <c r="ITX3" s="42"/>
      <c r="ITY3" s="42"/>
      <c r="ITZ3" s="42"/>
      <c r="IUA3" s="42"/>
      <c r="IUB3" s="42"/>
      <c r="IUC3" s="42"/>
      <c r="IUD3" s="42"/>
      <c r="IUE3" s="42"/>
      <c r="IUF3" s="42"/>
      <c r="IUG3" s="42"/>
      <c r="IUH3" s="42"/>
      <c r="IUI3" s="42"/>
      <c r="IUJ3" s="42"/>
      <c r="IUK3" s="42"/>
      <c r="IUL3" s="42"/>
      <c r="IUM3" s="42"/>
      <c r="IUN3" s="42"/>
      <c r="IUO3" s="42"/>
      <c r="IUP3" s="42"/>
      <c r="IUQ3" s="42"/>
      <c r="IUR3" s="42"/>
      <c r="IUS3" s="42"/>
      <c r="IUT3" s="42"/>
      <c r="IUU3" s="42"/>
      <c r="IUV3" s="42"/>
      <c r="IUW3" s="42"/>
      <c r="IUX3" s="42"/>
      <c r="IUY3" s="42"/>
      <c r="IUZ3" s="42"/>
      <c r="IVA3" s="42"/>
      <c r="IVB3" s="42"/>
      <c r="IVC3" s="42"/>
      <c r="IVD3" s="42"/>
      <c r="IVE3" s="42"/>
      <c r="IVF3" s="42"/>
      <c r="IVG3" s="42"/>
      <c r="IVH3" s="42"/>
      <c r="IVI3" s="42"/>
      <c r="IVJ3" s="42"/>
      <c r="IVK3" s="42"/>
      <c r="IVL3" s="42"/>
      <c r="IVM3" s="42"/>
      <c r="IVN3" s="42"/>
      <c r="IVO3" s="42"/>
      <c r="IVP3" s="42"/>
      <c r="IVQ3" s="42"/>
      <c r="IVR3" s="42"/>
      <c r="IVS3" s="42"/>
      <c r="IVT3" s="42"/>
      <c r="IVU3" s="42"/>
      <c r="IVV3" s="42"/>
      <c r="IVW3" s="42"/>
      <c r="IVX3" s="42"/>
      <c r="IVY3" s="42"/>
      <c r="IVZ3" s="42"/>
      <c r="IWA3" s="42"/>
      <c r="IWB3" s="42"/>
      <c r="IWC3" s="42"/>
      <c r="IWD3" s="42"/>
      <c r="IWE3" s="42"/>
      <c r="IWF3" s="42"/>
      <c r="IWG3" s="42"/>
      <c r="IWH3" s="42"/>
      <c r="IWI3" s="42"/>
      <c r="IWJ3" s="42"/>
      <c r="IWK3" s="42"/>
      <c r="IWL3" s="42"/>
      <c r="IWM3" s="42"/>
      <c r="IWN3" s="42"/>
      <c r="IWO3" s="42"/>
      <c r="IWP3" s="42"/>
      <c r="IWQ3" s="42"/>
      <c r="IWR3" s="42"/>
      <c r="IWS3" s="42"/>
      <c r="IWT3" s="42"/>
      <c r="IWU3" s="42"/>
      <c r="IWV3" s="42"/>
      <c r="IWW3" s="42"/>
      <c r="IWX3" s="42"/>
      <c r="IWY3" s="42"/>
      <c r="IWZ3" s="42"/>
      <c r="IXA3" s="42"/>
      <c r="IXB3" s="42"/>
      <c r="IXC3" s="42"/>
      <c r="IXD3" s="42"/>
      <c r="IXE3" s="42"/>
      <c r="IXF3" s="42"/>
      <c r="IXG3" s="42"/>
      <c r="IXH3" s="42"/>
      <c r="IXI3" s="42"/>
      <c r="IXJ3" s="42"/>
      <c r="IXK3" s="42"/>
      <c r="IXL3" s="42"/>
      <c r="IXM3" s="42"/>
      <c r="IXN3" s="42"/>
      <c r="IXO3" s="42"/>
      <c r="IXP3" s="42"/>
      <c r="IXQ3" s="42"/>
      <c r="IXR3" s="42"/>
      <c r="IXS3" s="42"/>
      <c r="IXT3" s="42"/>
      <c r="IXU3" s="42"/>
      <c r="IXV3" s="42"/>
      <c r="IXW3" s="42"/>
      <c r="IXX3" s="42"/>
      <c r="IXY3" s="42"/>
      <c r="IXZ3" s="42"/>
      <c r="IYA3" s="42"/>
      <c r="IYB3" s="42"/>
      <c r="IYC3" s="42"/>
      <c r="IYD3" s="42"/>
      <c r="IYE3" s="42"/>
      <c r="IYF3" s="42"/>
      <c r="IYG3" s="42"/>
      <c r="IYH3" s="42"/>
      <c r="IYI3" s="42"/>
      <c r="IYJ3" s="42"/>
      <c r="IYK3" s="42"/>
      <c r="IYL3" s="42"/>
      <c r="IYM3" s="42"/>
      <c r="IYN3" s="42"/>
      <c r="IYO3" s="42"/>
      <c r="IYP3" s="42"/>
      <c r="IYQ3" s="42"/>
      <c r="IYR3" s="42"/>
      <c r="IYS3" s="42"/>
      <c r="IYT3" s="42"/>
      <c r="IYU3" s="42"/>
      <c r="IYV3" s="42"/>
      <c r="IYW3" s="42"/>
      <c r="IYX3" s="42"/>
      <c r="IYY3" s="42"/>
      <c r="IYZ3" s="42"/>
      <c r="IZA3" s="42"/>
      <c r="IZB3" s="42"/>
      <c r="IZC3" s="42"/>
      <c r="IZD3" s="42"/>
      <c r="IZE3" s="42"/>
      <c r="IZF3" s="42"/>
      <c r="IZG3" s="42"/>
      <c r="IZH3" s="42"/>
      <c r="IZI3" s="42"/>
      <c r="IZJ3" s="42"/>
      <c r="IZK3" s="42"/>
      <c r="IZL3" s="42"/>
      <c r="IZM3" s="42"/>
      <c r="IZN3" s="42"/>
      <c r="IZO3" s="42"/>
      <c r="IZP3" s="42"/>
      <c r="IZQ3" s="42"/>
      <c r="IZR3" s="42"/>
      <c r="IZS3" s="42"/>
      <c r="IZT3" s="42"/>
      <c r="IZU3" s="42"/>
      <c r="IZV3" s="42"/>
      <c r="IZW3" s="42"/>
      <c r="IZX3" s="42"/>
      <c r="IZY3" s="42"/>
      <c r="IZZ3" s="42"/>
      <c r="JAA3" s="42"/>
      <c r="JAB3" s="42"/>
      <c r="JAC3" s="42"/>
      <c r="JAD3" s="42"/>
      <c r="JAE3" s="42"/>
      <c r="JAF3" s="42"/>
      <c r="JAG3" s="42"/>
      <c r="JAH3" s="42"/>
      <c r="JAI3" s="42"/>
      <c r="JAJ3" s="42"/>
      <c r="JAK3" s="42"/>
      <c r="JAL3" s="42"/>
      <c r="JAM3" s="42"/>
      <c r="JAN3" s="42"/>
      <c r="JAO3" s="42"/>
      <c r="JAP3" s="42"/>
      <c r="JAQ3" s="42"/>
      <c r="JAR3" s="42"/>
      <c r="JAS3" s="42"/>
      <c r="JAT3" s="42"/>
      <c r="JAU3" s="42"/>
      <c r="JAV3" s="42"/>
      <c r="JAW3" s="42"/>
      <c r="JAX3" s="42"/>
      <c r="JAY3" s="42"/>
      <c r="JAZ3" s="42"/>
      <c r="JBA3" s="42"/>
      <c r="JBB3" s="42"/>
      <c r="JBC3" s="42"/>
      <c r="JBD3" s="42"/>
      <c r="JBE3" s="42"/>
      <c r="JBF3" s="42"/>
      <c r="JBG3" s="42"/>
      <c r="JBH3" s="42"/>
      <c r="JBI3" s="42"/>
      <c r="JBJ3" s="42"/>
      <c r="JBK3" s="42"/>
      <c r="JBL3" s="42"/>
      <c r="JBM3" s="42"/>
      <c r="JBN3" s="42"/>
      <c r="JBO3" s="42"/>
      <c r="JBP3" s="42"/>
      <c r="JBQ3" s="42"/>
      <c r="JBR3" s="42"/>
      <c r="JBS3" s="42"/>
      <c r="JBT3" s="42"/>
      <c r="JBU3" s="42"/>
      <c r="JBV3" s="42"/>
      <c r="JBW3" s="42"/>
      <c r="JBX3" s="42"/>
      <c r="JBY3" s="42"/>
      <c r="JBZ3" s="42"/>
      <c r="JCA3" s="42"/>
      <c r="JCB3" s="42"/>
      <c r="JCC3" s="42"/>
      <c r="JCD3" s="42"/>
      <c r="JCE3" s="42"/>
      <c r="JCF3" s="42"/>
      <c r="JCG3" s="42"/>
      <c r="JCH3" s="42"/>
      <c r="JCI3" s="42"/>
      <c r="JCJ3" s="42"/>
      <c r="JCK3" s="42"/>
      <c r="JCL3" s="42"/>
      <c r="JCM3" s="42"/>
      <c r="JCN3" s="42"/>
      <c r="JCO3" s="42"/>
      <c r="JCP3" s="42"/>
      <c r="JCQ3" s="42"/>
      <c r="JCR3" s="42"/>
      <c r="JCS3" s="42"/>
      <c r="JCT3" s="42"/>
      <c r="JCU3" s="42"/>
      <c r="JCV3" s="42"/>
      <c r="JCW3" s="42"/>
      <c r="JCX3" s="42"/>
      <c r="JCY3" s="42"/>
      <c r="JCZ3" s="42"/>
      <c r="JDA3" s="42"/>
      <c r="JDB3" s="42"/>
      <c r="JDC3" s="42"/>
      <c r="JDD3" s="42"/>
      <c r="JDE3" s="42"/>
      <c r="JDF3" s="42"/>
      <c r="JDG3" s="42"/>
      <c r="JDH3" s="42"/>
      <c r="JDI3" s="42"/>
      <c r="JDJ3" s="42"/>
      <c r="JDK3" s="42"/>
      <c r="JDL3" s="42"/>
      <c r="JDM3" s="42"/>
      <c r="JDN3" s="42"/>
      <c r="JDO3" s="42"/>
      <c r="JDP3" s="42"/>
      <c r="JDQ3" s="42"/>
      <c r="JDR3" s="42"/>
      <c r="JDS3" s="42"/>
      <c r="JDT3" s="42"/>
      <c r="JDU3" s="42"/>
      <c r="JDV3" s="42"/>
      <c r="JDW3" s="42"/>
      <c r="JDX3" s="42"/>
      <c r="JDY3" s="42"/>
      <c r="JDZ3" s="42"/>
      <c r="JEA3" s="42"/>
      <c r="JEB3" s="42"/>
      <c r="JEC3" s="42"/>
      <c r="JED3" s="42"/>
      <c r="JEE3" s="42"/>
      <c r="JEF3" s="42"/>
      <c r="JEG3" s="42"/>
      <c r="JEH3" s="42"/>
      <c r="JEI3" s="42"/>
      <c r="JEJ3" s="42"/>
      <c r="JEK3" s="42"/>
      <c r="JEL3" s="42"/>
      <c r="JEM3" s="42"/>
      <c r="JEN3" s="42"/>
      <c r="JEO3" s="42"/>
      <c r="JEP3" s="42"/>
      <c r="JEQ3" s="42"/>
      <c r="JER3" s="42"/>
      <c r="JES3" s="42"/>
      <c r="JET3" s="42"/>
      <c r="JEU3" s="42"/>
      <c r="JEV3" s="42"/>
      <c r="JEW3" s="42"/>
      <c r="JEX3" s="42"/>
      <c r="JEY3" s="42"/>
      <c r="JEZ3" s="42"/>
      <c r="JFA3" s="42"/>
      <c r="JFB3" s="42"/>
      <c r="JFC3" s="42"/>
      <c r="JFD3" s="42"/>
      <c r="JFE3" s="42"/>
      <c r="JFF3" s="42"/>
      <c r="JFG3" s="42"/>
      <c r="JFH3" s="42"/>
      <c r="JFI3" s="42"/>
      <c r="JFJ3" s="42"/>
      <c r="JFK3" s="42"/>
      <c r="JFL3" s="42"/>
      <c r="JFM3" s="42"/>
      <c r="JFN3" s="42"/>
      <c r="JFO3" s="42"/>
      <c r="JFP3" s="42"/>
      <c r="JFQ3" s="42"/>
      <c r="JFR3" s="42"/>
      <c r="JFS3" s="42"/>
      <c r="JFT3" s="42"/>
      <c r="JFU3" s="42"/>
      <c r="JFV3" s="42"/>
      <c r="JFW3" s="42"/>
      <c r="JFX3" s="42"/>
      <c r="JFY3" s="42"/>
      <c r="JFZ3" s="42"/>
      <c r="JGA3" s="42"/>
      <c r="JGB3" s="42"/>
      <c r="JGC3" s="42"/>
      <c r="JGD3" s="42"/>
      <c r="JGE3" s="42"/>
      <c r="JGF3" s="42"/>
      <c r="JGG3" s="42"/>
      <c r="JGH3" s="42"/>
      <c r="JGI3" s="42"/>
      <c r="JGJ3" s="42"/>
      <c r="JGK3" s="42"/>
      <c r="JGL3" s="42"/>
      <c r="JGM3" s="42"/>
      <c r="JGN3" s="42"/>
      <c r="JGO3" s="42"/>
      <c r="JGP3" s="42"/>
      <c r="JGQ3" s="42"/>
      <c r="JGR3" s="42"/>
      <c r="JGS3" s="42"/>
      <c r="JGT3" s="42"/>
      <c r="JGU3" s="42"/>
      <c r="JGV3" s="42"/>
      <c r="JGW3" s="42"/>
      <c r="JGX3" s="42"/>
      <c r="JGY3" s="42"/>
      <c r="JGZ3" s="42"/>
      <c r="JHA3" s="42"/>
      <c r="JHB3" s="42"/>
      <c r="JHC3" s="42"/>
      <c r="JHD3" s="42"/>
      <c r="JHE3" s="42"/>
      <c r="JHF3" s="42"/>
      <c r="JHG3" s="42"/>
      <c r="JHH3" s="42"/>
      <c r="JHI3" s="42"/>
      <c r="JHJ3" s="42"/>
      <c r="JHK3" s="42"/>
      <c r="JHL3" s="42"/>
      <c r="JHM3" s="42"/>
      <c r="JHN3" s="42"/>
      <c r="JHO3" s="42"/>
      <c r="JHP3" s="42"/>
      <c r="JHQ3" s="42"/>
      <c r="JHR3" s="42"/>
      <c r="JHS3" s="42"/>
      <c r="JHT3" s="42"/>
      <c r="JHU3" s="42"/>
      <c r="JHV3" s="42"/>
      <c r="JHW3" s="42"/>
      <c r="JHX3" s="42"/>
      <c r="JHY3" s="42"/>
      <c r="JHZ3" s="42"/>
      <c r="JIA3" s="42"/>
      <c r="JIB3" s="42"/>
      <c r="JIC3" s="42"/>
      <c r="JID3" s="42"/>
      <c r="JIE3" s="42"/>
      <c r="JIF3" s="42"/>
      <c r="JIG3" s="42"/>
      <c r="JIH3" s="42"/>
      <c r="JII3" s="42"/>
      <c r="JIJ3" s="42"/>
      <c r="JIK3" s="42"/>
      <c r="JIL3" s="42"/>
      <c r="JIM3" s="42"/>
      <c r="JIN3" s="42"/>
      <c r="JIO3" s="42"/>
      <c r="JIP3" s="42"/>
      <c r="JIQ3" s="42"/>
      <c r="JIR3" s="42"/>
      <c r="JIS3" s="42"/>
      <c r="JIT3" s="42"/>
      <c r="JIU3" s="42"/>
      <c r="JIV3" s="42"/>
      <c r="JIW3" s="42"/>
      <c r="JIX3" s="42"/>
      <c r="JIY3" s="42"/>
      <c r="JIZ3" s="42"/>
      <c r="JJA3" s="42"/>
      <c r="JJB3" s="42"/>
      <c r="JJC3" s="42"/>
      <c r="JJD3" s="42"/>
      <c r="JJE3" s="42"/>
      <c r="JJF3" s="42"/>
      <c r="JJG3" s="42"/>
      <c r="JJH3" s="42"/>
      <c r="JJI3" s="42"/>
      <c r="JJJ3" s="42"/>
      <c r="JJK3" s="42"/>
      <c r="JJL3" s="42"/>
      <c r="JJM3" s="42"/>
      <c r="JJN3" s="42"/>
      <c r="JJO3" s="42"/>
      <c r="JJP3" s="42"/>
      <c r="JJQ3" s="42"/>
      <c r="JJR3" s="42"/>
      <c r="JJS3" s="42"/>
      <c r="JJT3" s="42"/>
      <c r="JJU3" s="42"/>
      <c r="JJV3" s="42"/>
      <c r="JJW3" s="42"/>
      <c r="JJX3" s="42"/>
      <c r="JJY3" s="42"/>
      <c r="JJZ3" s="42"/>
      <c r="JKA3" s="42"/>
      <c r="JKB3" s="42"/>
      <c r="JKC3" s="42"/>
      <c r="JKD3" s="42"/>
      <c r="JKE3" s="42"/>
      <c r="JKF3" s="42"/>
      <c r="JKG3" s="42"/>
      <c r="JKH3" s="42"/>
      <c r="JKI3" s="42"/>
      <c r="JKJ3" s="42"/>
      <c r="JKK3" s="42"/>
      <c r="JKL3" s="42"/>
      <c r="JKM3" s="42"/>
      <c r="JKN3" s="42"/>
      <c r="JKO3" s="42"/>
      <c r="JKP3" s="42"/>
      <c r="JKQ3" s="42"/>
      <c r="JKR3" s="42"/>
      <c r="JKS3" s="42"/>
      <c r="JKT3" s="42"/>
      <c r="JKU3" s="42"/>
      <c r="JKV3" s="42"/>
      <c r="JKW3" s="42"/>
      <c r="JKX3" s="42"/>
      <c r="JKY3" s="42"/>
      <c r="JKZ3" s="42"/>
      <c r="JLA3" s="42"/>
      <c r="JLB3" s="42"/>
      <c r="JLC3" s="42"/>
      <c r="JLD3" s="42"/>
      <c r="JLE3" s="42"/>
      <c r="JLF3" s="42"/>
      <c r="JLG3" s="42"/>
      <c r="JLH3" s="42"/>
      <c r="JLI3" s="42"/>
      <c r="JLJ3" s="42"/>
      <c r="JLK3" s="42"/>
      <c r="JLL3" s="42"/>
      <c r="JLM3" s="42"/>
      <c r="JLN3" s="42"/>
      <c r="JLO3" s="42"/>
      <c r="JLP3" s="42"/>
      <c r="JLQ3" s="42"/>
      <c r="JLR3" s="42"/>
      <c r="JLS3" s="42"/>
      <c r="JLT3" s="42"/>
      <c r="JLU3" s="42"/>
      <c r="JLV3" s="42"/>
      <c r="JLW3" s="42"/>
      <c r="JLX3" s="42"/>
      <c r="JLY3" s="42"/>
      <c r="JLZ3" s="42"/>
      <c r="JMA3" s="42"/>
      <c r="JMB3" s="42"/>
      <c r="JMC3" s="42"/>
      <c r="JMD3" s="42"/>
      <c r="JME3" s="42"/>
      <c r="JMF3" s="42"/>
      <c r="JMG3" s="42"/>
      <c r="JMH3" s="42"/>
      <c r="JMI3" s="42"/>
      <c r="JMJ3" s="42"/>
      <c r="JMK3" s="42"/>
      <c r="JML3" s="42"/>
      <c r="JMM3" s="42"/>
      <c r="JMN3" s="42"/>
      <c r="JMO3" s="42"/>
      <c r="JMP3" s="42"/>
      <c r="JMQ3" s="42"/>
      <c r="JMR3" s="42"/>
      <c r="JMS3" s="42"/>
      <c r="JMT3" s="42"/>
      <c r="JMU3" s="42"/>
      <c r="JMV3" s="42"/>
      <c r="JMW3" s="42"/>
      <c r="JMX3" s="42"/>
      <c r="JMY3" s="42"/>
      <c r="JMZ3" s="42"/>
      <c r="JNA3" s="42"/>
      <c r="JNB3" s="42"/>
      <c r="JNC3" s="42"/>
      <c r="JND3" s="42"/>
      <c r="JNE3" s="42"/>
      <c r="JNF3" s="42"/>
      <c r="JNG3" s="42"/>
      <c r="JNH3" s="42"/>
      <c r="JNI3" s="42"/>
      <c r="JNJ3" s="42"/>
      <c r="JNK3" s="42"/>
      <c r="JNL3" s="42"/>
      <c r="JNM3" s="42"/>
      <c r="JNN3" s="42"/>
      <c r="JNO3" s="42"/>
      <c r="JNP3" s="42"/>
      <c r="JNQ3" s="42"/>
      <c r="JNR3" s="42"/>
      <c r="JNS3" s="42"/>
      <c r="JNT3" s="42"/>
      <c r="JNU3" s="42"/>
      <c r="JNV3" s="42"/>
      <c r="JNW3" s="42"/>
      <c r="JNX3" s="42"/>
      <c r="JNY3" s="42"/>
      <c r="JNZ3" s="42"/>
      <c r="JOA3" s="42"/>
      <c r="JOB3" s="42"/>
      <c r="JOC3" s="42"/>
      <c r="JOD3" s="42"/>
      <c r="JOE3" s="42"/>
      <c r="JOF3" s="42"/>
      <c r="JOG3" s="42"/>
      <c r="JOH3" s="42"/>
      <c r="JOI3" s="42"/>
      <c r="JOJ3" s="42"/>
      <c r="JOK3" s="42"/>
      <c r="JOL3" s="42"/>
      <c r="JOM3" s="42"/>
      <c r="JON3" s="42"/>
      <c r="JOO3" s="42"/>
      <c r="JOP3" s="42"/>
      <c r="JOQ3" s="42"/>
      <c r="JOR3" s="42"/>
      <c r="JOS3" s="42"/>
      <c r="JOT3" s="42"/>
      <c r="JOU3" s="42"/>
      <c r="JOV3" s="42"/>
      <c r="JOW3" s="42"/>
      <c r="JOX3" s="42"/>
      <c r="JOY3" s="42"/>
      <c r="JOZ3" s="42"/>
      <c r="JPA3" s="42"/>
      <c r="JPB3" s="42"/>
      <c r="JPC3" s="42"/>
      <c r="JPD3" s="42"/>
      <c r="JPE3" s="42"/>
      <c r="JPF3" s="42"/>
      <c r="JPG3" s="42"/>
      <c r="JPH3" s="42"/>
      <c r="JPI3" s="42"/>
      <c r="JPJ3" s="42"/>
      <c r="JPK3" s="42"/>
      <c r="JPL3" s="42"/>
      <c r="JPM3" s="42"/>
      <c r="JPN3" s="42"/>
      <c r="JPO3" s="42"/>
      <c r="JPP3" s="42"/>
      <c r="JPQ3" s="42"/>
      <c r="JPR3" s="42"/>
      <c r="JPS3" s="42"/>
      <c r="JPT3" s="42"/>
      <c r="JPU3" s="42"/>
      <c r="JPV3" s="42"/>
      <c r="JPW3" s="42"/>
      <c r="JPX3" s="42"/>
      <c r="JPY3" s="42"/>
      <c r="JPZ3" s="42"/>
      <c r="JQA3" s="42"/>
      <c r="JQB3" s="42"/>
      <c r="JQC3" s="42"/>
      <c r="JQD3" s="42"/>
      <c r="JQE3" s="42"/>
      <c r="JQF3" s="42"/>
      <c r="JQG3" s="42"/>
      <c r="JQH3" s="42"/>
      <c r="JQI3" s="42"/>
      <c r="JQJ3" s="42"/>
      <c r="JQK3" s="42"/>
      <c r="JQL3" s="42"/>
      <c r="JQM3" s="42"/>
      <c r="JQN3" s="42"/>
      <c r="JQO3" s="42"/>
      <c r="JQP3" s="42"/>
      <c r="JQQ3" s="42"/>
      <c r="JQR3" s="42"/>
      <c r="JQS3" s="42"/>
      <c r="JQT3" s="42"/>
      <c r="JQU3" s="42"/>
      <c r="JQV3" s="42"/>
      <c r="JQW3" s="42"/>
      <c r="JQX3" s="42"/>
      <c r="JQY3" s="42"/>
      <c r="JQZ3" s="42"/>
      <c r="JRA3" s="42"/>
      <c r="JRB3" s="42"/>
      <c r="JRC3" s="42"/>
      <c r="JRD3" s="42"/>
      <c r="JRE3" s="42"/>
      <c r="JRF3" s="42"/>
      <c r="JRG3" s="42"/>
      <c r="JRH3" s="42"/>
      <c r="JRI3" s="42"/>
      <c r="JRJ3" s="42"/>
      <c r="JRK3" s="42"/>
      <c r="JRL3" s="42"/>
      <c r="JRM3" s="42"/>
      <c r="JRN3" s="42"/>
      <c r="JRO3" s="42"/>
      <c r="JRP3" s="42"/>
      <c r="JRQ3" s="42"/>
      <c r="JRR3" s="42"/>
      <c r="JRS3" s="42"/>
      <c r="JRT3" s="42"/>
      <c r="JRU3" s="42"/>
      <c r="JRV3" s="42"/>
      <c r="JRW3" s="42"/>
      <c r="JRX3" s="42"/>
      <c r="JRY3" s="42"/>
      <c r="JRZ3" s="42"/>
      <c r="JSA3" s="42"/>
      <c r="JSB3" s="42"/>
      <c r="JSC3" s="42"/>
      <c r="JSD3" s="42"/>
      <c r="JSE3" s="42"/>
      <c r="JSF3" s="42"/>
      <c r="JSG3" s="42"/>
      <c r="JSH3" s="42"/>
      <c r="JSI3" s="42"/>
      <c r="JSJ3" s="42"/>
      <c r="JSK3" s="42"/>
      <c r="JSL3" s="42"/>
      <c r="JSM3" s="42"/>
      <c r="JSN3" s="42"/>
      <c r="JSO3" s="42"/>
      <c r="JSP3" s="42"/>
      <c r="JSQ3" s="42"/>
      <c r="JSR3" s="42"/>
      <c r="JSS3" s="42"/>
      <c r="JST3" s="42"/>
      <c r="JSU3" s="42"/>
      <c r="JSV3" s="42"/>
      <c r="JSW3" s="42"/>
      <c r="JSX3" s="42"/>
      <c r="JSY3" s="42"/>
      <c r="JSZ3" s="42"/>
      <c r="JTA3" s="42"/>
      <c r="JTB3" s="42"/>
      <c r="JTC3" s="42"/>
      <c r="JTD3" s="42"/>
      <c r="JTE3" s="42"/>
      <c r="JTF3" s="42"/>
      <c r="JTG3" s="42"/>
      <c r="JTH3" s="42"/>
      <c r="JTI3" s="42"/>
      <c r="JTJ3" s="42"/>
      <c r="JTK3" s="42"/>
      <c r="JTL3" s="42"/>
      <c r="JTM3" s="42"/>
      <c r="JTN3" s="42"/>
      <c r="JTO3" s="42"/>
      <c r="JTP3" s="42"/>
      <c r="JTQ3" s="42"/>
      <c r="JTR3" s="42"/>
      <c r="JTS3" s="42"/>
      <c r="JTT3" s="42"/>
      <c r="JTU3" s="42"/>
      <c r="JTV3" s="42"/>
      <c r="JTW3" s="42"/>
      <c r="JTX3" s="42"/>
      <c r="JTY3" s="42"/>
      <c r="JTZ3" s="42"/>
      <c r="JUA3" s="42"/>
      <c r="JUB3" s="42"/>
      <c r="JUC3" s="42"/>
      <c r="JUD3" s="42"/>
      <c r="JUE3" s="42"/>
      <c r="JUF3" s="42"/>
      <c r="JUG3" s="42"/>
      <c r="JUH3" s="42"/>
      <c r="JUI3" s="42"/>
      <c r="JUJ3" s="42"/>
      <c r="JUK3" s="42"/>
      <c r="JUL3" s="42"/>
      <c r="JUM3" s="42"/>
      <c r="JUN3" s="42"/>
      <c r="JUO3" s="42"/>
      <c r="JUP3" s="42"/>
      <c r="JUQ3" s="42"/>
      <c r="JUR3" s="42"/>
      <c r="JUS3" s="42"/>
      <c r="JUT3" s="42"/>
      <c r="JUU3" s="42"/>
      <c r="JUV3" s="42"/>
      <c r="JUW3" s="42"/>
      <c r="JUX3" s="42"/>
      <c r="JUY3" s="42"/>
      <c r="JUZ3" s="42"/>
      <c r="JVA3" s="42"/>
      <c r="JVB3" s="42"/>
      <c r="JVC3" s="42"/>
      <c r="JVD3" s="42"/>
      <c r="JVE3" s="42"/>
      <c r="JVF3" s="42"/>
      <c r="JVG3" s="42"/>
      <c r="JVH3" s="42"/>
      <c r="JVI3" s="42"/>
      <c r="JVJ3" s="42"/>
      <c r="JVK3" s="42"/>
      <c r="JVL3" s="42"/>
      <c r="JVM3" s="42"/>
      <c r="JVN3" s="42"/>
      <c r="JVO3" s="42"/>
      <c r="JVP3" s="42"/>
      <c r="JVQ3" s="42"/>
      <c r="JVR3" s="42"/>
      <c r="JVS3" s="42"/>
      <c r="JVT3" s="42"/>
      <c r="JVU3" s="42"/>
      <c r="JVV3" s="42"/>
      <c r="JVW3" s="42"/>
      <c r="JVX3" s="42"/>
      <c r="JVY3" s="42"/>
      <c r="JVZ3" s="42"/>
      <c r="JWA3" s="42"/>
      <c r="JWB3" s="42"/>
      <c r="JWC3" s="42"/>
      <c r="JWD3" s="42"/>
      <c r="JWE3" s="42"/>
      <c r="JWF3" s="42"/>
      <c r="JWG3" s="42"/>
      <c r="JWH3" s="42"/>
      <c r="JWI3" s="42"/>
      <c r="JWJ3" s="42"/>
      <c r="JWK3" s="42"/>
      <c r="JWL3" s="42"/>
      <c r="JWM3" s="42"/>
      <c r="JWN3" s="42"/>
      <c r="JWO3" s="42"/>
      <c r="JWP3" s="42"/>
      <c r="JWQ3" s="42"/>
      <c r="JWR3" s="42"/>
      <c r="JWS3" s="42"/>
      <c r="JWT3" s="42"/>
      <c r="JWU3" s="42"/>
      <c r="JWV3" s="42"/>
      <c r="JWW3" s="42"/>
      <c r="JWX3" s="42"/>
      <c r="JWY3" s="42"/>
      <c r="JWZ3" s="42"/>
      <c r="JXA3" s="42"/>
      <c r="JXB3" s="42"/>
      <c r="JXC3" s="42"/>
      <c r="JXD3" s="42"/>
      <c r="JXE3" s="42"/>
      <c r="JXF3" s="42"/>
      <c r="JXG3" s="42"/>
      <c r="JXH3" s="42"/>
      <c r="JXI3" s="42"/>
      <c r="JXJ3" s="42"/>
      <c r="JXK3" s="42"/>
      <c r="JXL3" s="42"/>
      <c r="JXM3" s="42"/>
      <c r="JXN3" s="42"/>
      <c r="JXO3" s="42"/>
      <c r="JXP3" s="42"/>
      <c r="JXQ3" s="42"/>
      <c r="JXR3" s="42"/>
      <c r="JXS3" s="42"/>
      <c r="JXT3" s="42"/>
      <c r="JXU3" s="42"/>
      <c r="JXV3" s="42"/>
      <c r="JXW3" s="42"/>
      <c r="JXX3" s="42"/>
      <c r="JXY3" s="42"/>
      <c r="JXZ3" s="42"/>
      <c r="JYA3" s="42"/>
      <c r="JYB3" s="42"/>
      <c r="JYC3" s="42"/>
      <c r="JYD3" s="42"/>
      <c r="JYE3" s="42"/>
      <c r="JYF3" s="42"/>
      <c r="JYG3" s="42"/>
      <c r="JYH3" s="42"/>
      <c r="JYI3" s="42"/>
      <c r="JYJ3" s="42"/>
      <c r="JYK3" s="42"/>
      <c r="JYL3" s="42"/>
      <c r="JYM3" s="42"/>
      <c r="JYN3" s="42"/>
      <c r="JYO3" s="42"/>
      <c r="JYP3" s="42"/>
      <c r="JYQ3" s="42"/>
      <c r="JYR3" s="42"/>
      <c r="JYS3" s="42"/>
      <c r="JYT3" s="42"/>
      <c r="JYU3" s="42"/>
      <c r="JYV3" s="42"/>
      <c r="JYW3" s="42"/>
      <c r="JYX3" s="42"/>
      <c r="JYY3" s="42"/>
      <c r="JYZ3" s="42"/>
      <c r="JZA3" s="42"/>
      <c r="JZB3" s="42"/>
      <c r="JZC3" s="42"/>
      <c r="JZD3" s="42"/>
      <c r="JZE3" s="42"/>
      <c r="JZF3" s="42"/>
      <c r="JZG3" s="42"/>
      <c r="JZH3" s="42"/>
      <c r="JZI3" s="42"/>
      <c r="JZJ3" s="42"/>
      <c r="JZK3" s="42"/>
      <c r="JZL3" s="42"/>
      <c r="JZM3" s="42"/>
      <c r="JZN3" s="42"/>
      <c r="JZO3" s="42"/>
      <c r="JZP3" s="42"/>
      <c r="JZQ3" s="42"/>
      <c r="JZR3" s="42"/>
      <c r="JZS3" s="42"/>
      <c r="JZT3" s="42"/>
      <c r="JZU3" s="42"/>
      <c r="JZV3" s="42"/>
      <c r="JZW3" s="42"/>
      <c r="JZX3" s="42"/>
      <c r="JZY3" s="42"/>
      <c r="JZZ3" s="42"/>
      <c r="KAA3" s="42"/>
      <c r="KAB3" s="42"/>
      <c r="KAC3" s="42"/>
      <c r="KAD3" s="42"/>
      <c r="KAE3" s="42"/>
      <c r="KAF3" s="42"/>
      <c r="KAG3" s="42"/>
      <c r="KAH3" s="42"/>
      <c r="KAI3" s="42"/>
      <c r="KAJ3" s="42"/>
      <c r="KAK3" s="42"/>
      <c r="KAL3" s="42"/>
      <c r="KAM3" s="42"/>
      <c r="KAN3" s="42"/>
      <c r="KAO3" s="42"/>
      <c r="KAP3" s="42"/>
      <c r="KAQ3" s="42"/>
      <c r="KAR3" s="42"/>
      <c r="KAS3" s="42"/>
      <c r="KAT3" s="42"/>
      <c r="KAU3" s="42"/>
      <c r="KAV3" s="42"/>
      <c r="KAW3" s="42"/>
      <c r="KAX3" s="42"/>
      <c r="KAY3" s="42"/>
      <c r="KAZ3" s="42"/>
      <c r="KBA3" s="42"/>
      <c r="KBB3" s="42"/>
      <c r="KBC3" s="42"/>
      <c r="KBD3" s="42"/>
      <c r="KBE3" s="42"/>
      <c r="KBF3" s="42"/>
      <c r="KBG3" s="42"/>
      <c r="KBH3" s="42"/>
      <c r="KBI3" s="42"/>
      <c r="KBJ3" s="42"/>
      <c r="KBK3" s="42"/>
      <c r="KBL3" s="42"/>
      <c r="KBM3" s="42"/>
      <c r="KBN3" s="42"/>
      <c r="KBO3" s="42"/>
      <c r="KBP3" s="42"/>
      <c r="KBQ3" s="42"/>
      <c r="KBR3" s="42"/>
      <c r="KBS3" s="42"/>
      <c r="KBT3" s="42"/>
      <c r="KBU3" s="42"/>
      <c r="KBV3" s="42"/>
      <c r="KBW3" s="42"/>
      <c r="KBX3" s="42"/>
      <c r="KBY3" s="42"/>
      <c r="KBZ3" s="42"/>
      <c r="KCA3" s="42"/>
      <c r="KCB3" s="42"/>
      <c r="KCC3" s="42"/>
      <c r="KCD3" s="42"/>
      <c r="KCE3" s="42"/>
      <c r="KCF3" s="42"/>
      <c r="KCG3" s="42"/>
      <c r="KCH3" s="42"/>
      <c r="KCI3" s="42"/>
      <c r="KCJ3" s="42"/>
      <c r="KCK3" s="42"/>
      <c r="KCL3" s="42"/>
      <c r="KCM3" s="42"/>
      <c r="KCN3" s="42"/>
      <c r="KCO3" s="42"/>
      <c r="KCP3" s="42"/>
      <c r="KCQ3" s="42"/>
      <c r="KCR3" s="42"/>
      <c r="KCS3" s="42"/>
      <c r="KCT3" s="42"/>
      <c r="KCU3" s="42"/>
      <c r="KCV3" s="42"/>
      <c r="KCW3" s="42"/>
      <c r="KCX3" s="42"/>
      <c r="KCY3" s="42"/>
      <c r="KCZ3" s="42"/>
      <c r="KDA3" s="42"/>
      <c r="KDB3" s="42"/>
      <c r="KDC3" s="42"/>
      <c r="KDD3" s="42"/>
      <c r="KDE3" s="42"/>
      <c r="KDF3" s="42"/>
      <c r="KDG3" s="42"/>
      <c r="KDH3" s="42"/>
      <c r="KDI3" s="42"/>
      <c r="KDJ3" s="42"/>
      <c r="KDK3" s="42"/>
      <c r="KDL3" s="42"/>
      <c r="KDM3" s="42"/>
      <c r="KDN3" s="42"/>
      <c r="KDO3" s="42"/>
      <c r="KDP3" s="42"/>
      <c r="KDQ3" s="42"/>
      <c r="KDR3" s="42"/>
      <c r="KDS3" s="42"/>
      <c r="KDT3" s="42"/>
      <c r="KDU3" s="42"/>
      <c r="KDV3" s="42"/>
      <c r="KDW3" s="42"/>
      <c r="KDX3" s="42"/>
      <c r="KDY3" s="42"/>
      <c r="KDZ3" s="42"/>
      <c r="KEA3" s="42"/>
      <c r="KEB3" s="42"/>
      <c r="KEC3" s="42"/>
      <c r="KED3" s="42"/>
      <c r="KEE3" s="42"/>
      <c r="KEF3" s="42"/>
      <c r="KEG3" s="42"/>
      <c r="KEH3" s="42"/>
      <c r="KEI3" s="42"/>
      <c r="KEJ3" s="42"/>
      <c r="KEK3" s="42"/>
      <c r="KEL3" s="42"/>
      <c r="KEM3" s="42"/>
      <c r="KEN3" s="42"/>
      <c r="KEO3" s="42"/>
      <c r="KEP3" s="42"/>
      <c r="KEQ3" s="42"/>
      <c r="KER3" s="42"/>
      <c r="KES3" s="42"/>
      <c r="KET3" s="42"/>
      <c r="KEU3" s="42"/>
      <c r="KEV3" s="42"/>
      <c r="KEW3" s="42"/>
      <c r="KEX3" s="42"/>
      <c r="KEY3" s="42"/>
      <c r="KEZ3" s="42"/>
      <c r="KFA3" s="42"/>
      <c r="KFB3" s="42"/>
      <c r="KFC3" s="42"/>
      <c r="KFD3" s="42"/>
      <c r="KFE3" s="42"/>
      <c r="KFF3" s="42"/>
      <c r="KFG3" s="42"/>
      <c r="KFH3" s="42"/>
      <c r="KFI3" s="42"/>
      <c r="KFJ3" s="42"/>
      <c r="KFK3" s="42"/>
      <c r="KFL3" s="42"/>
      <c r="KFM3" s="42"/>
      <c r="KFN3" s="42"/>
      <c r="KFO3" s="42"/>
      <c r="KFP3" s="42"/>
      <c r="KFQ3" s="42"/>
      <c r="KFR3" s="42"/>
      <c r="KFS3" s="42"/>
      <c r="KFT3" s="42"/>
      <c r="KFU3" s="42"/>
      <c r="KFV3" s="42"/>
      <c r="KFW3" s="42"/>
      <c r="KFX3" s="42"/>
      <c r="KFY3" s="42"/>
      <c r="KFZ3" s="42"/>
      <c r="KGA3" s="42"/>
      <c r="KGB3" s="42"/>
      <c r="KGC3" s="42"/>
      <c r="KGD3" s="42"/>
      <c r="KGE3" s="42"/>
      <c r="KGF3" s="42"/>
      <c r="KGG3" s="42"/>
      <c r="KGH3" s="42"/>
      <c r="KGI3" s="42"/>
      <c r="KGJ3" s="42"/>
      <c r="KGK3" s="42"/>
      <c r="KGL3" s="42"/>
      <c r="KGM3" s="42"/>
      <c r="KGN3" s="42"/>
      <c r="KGO3" s="42"/>
      <c r="KGP3" s="42"/>
      <c r="KGQ3" s="42"/>
      <c r="KGR3" s="42"/>
      <c r="KGS3" s="42"/>
      <c r="KGT3" s="42"/>
      <c r="KGU3" s="42"/>
      <c r="KGV3" s="42"/>
      <c r="KGW3" s="42"/>
      <c r="KGX3" s="42"/>
      <c r="KGY3" s="42"/>
      <c r="KGZ3" s="42"/>
      <c r="KHA3" s="42"/>
      <c r="KHB3" s="42"/>
      <c r="KHC3" s="42"/>
      <c r="KHD3" s="42"/>
      <c r="KHE3" s="42"/>
      <c r="KHF3" s="42"/>
      <c r="KHG3" s="42"/>
      <c r="KHH3" s="42"/>
      <c r="KHI3" s="42"/>
      <c r="KHJ3" s="42"/>
      <c r="KHK3" s="42"/>
      <c r="KHL3" s="42"/>
      <c r="KHM3" s="42"/>
      <c r="KHN3" s="42"/>
      <c r="KHO3" s="42"/>
      <c r="KHP3" s="42"/>
      <c r="KHQ3" s="42"/>
      <c r="KHR3" s="42"/>
      <c r="KHS3" s="42"/>
      <c r="KHT3" s="42"/>
      <c r="KHU3" s="42"/>
      <c r="KHV3" s="42"/>
      <c r="KHW3" s="42"/>
      <c r="KHX3" s="42"/>
      <c r="KHY3" s="42"/>
      <c r="KHZ3" s="42"/>
      <c r="KIA3" s="42"/>
      <c r="KIB3" s="42"/>
      <c r="KIC3" s="42"/>
      <c r="KID3" s="42"/>
      <c r="KIE3" s="42"/>
      <c r="KIF3" s="42"/>
      <c r="KIG3" s="42"/>
      <c r="KIH3" s="42"/>
      <c r="KII3" s="42"/>
      <c r="KIJ3" s="42"/>
      <c r="KIK3" s="42"/>
      <c r="KIL3" s="42"/>
      <c r="KIM3" s="42"/>
      <c r="KIN3" s="42"/>
      <c r="KIO3" s="42"/>
      <c r="KIP3" s="42"/>
      <c r="KIQ3" s="42"/>
      <c r="KIR3" s="42"/>
      <c r="KIS3" s="42"/>
      <c r="KIT3" s="42"/>
      <c r="KIU3" s="42"/>
      <c r="KIV3" s="42"/>
      <c r="KIW3" s="42"/>
      <c r="KIX3" s="42"/>
      <c r="KIY3" s="42"/>
      <c r="KIZ3" s="42"/>
      <c r="KJA3" s="42"/>
      <c r="KJB3" s="42"/>
      <c r="KJC3" s="42"/>
      <c r="KJD3" s="42"/>
      <c r="KJE3" s="42"/>
      <c r="KJF3" s="42"/>
      <c r="KJG3" s="42"/>
      <c r="KJH3" s="42"/>
      <c r="KJI3" s="42"/>
      <c r="KJJ3" s="42"/>
      <c r="KJK3" s="42"/>
      <c r="KJL3" s="42"/>
      <c r="KJM3" s="42"/>
      <c r="KJN3" s="42"/>
      <c r="KJO3" s="42"/>
      <c r="KJP3" s="42"/>
      <c r="KJQ3" s="42"/>
      <c r="KJR3" s="42"/>
      <c r="KJS3" s="42"/>
      <c r="KJT3" s="42"/>
      <c r="KJU3" s="42"/>
      <c r="KJV3" s="42"/>
      <c r="KJW3" s="42"/>
      <c r="KJX3" s="42"/>
      <c r="KJY3" s="42"/>
      <c r="KJZ3" s="42"/>
      <c r="KKA3" s="42"/>
      <c r="KKB3" s="42"/>
      <c r="KKC3" s="42"/>
      <c r="KKD3" s="42"/>
      <c r="KKE3" s="42"/>
      <c r="KKF3" s="42"/>
      <c r="KKG3" s="42"/>
      <c r="KKH3" s="42"/>
      <c r="KKI3" s="42"/>
      <c r="KKJ3" s="42"/>
      <c r="KKK3" s="42"/>
      <c r="KKL3" s="42"/>
      <c r="KKM3" s="42"/>
      <c r="KKN3" s="42"/>
      <c r="KKO3" s="42"/>
      <c r="KKP3" s="42"/>
      <c r="KKQ3" s="42"/>
      <c r="KKR3" s="42"/>
      <c r="KKS3" s="42"/>
      <c r="KKT3" s="42"/>
      <c r="KKU3" s="42"/>
      <c r="KKV3" s="42"/>
      <c r="KKW3" s="42"/>
      <c r="KKX3" s="42"/>
      <c r="KKY3" s="42"/>
      <c r="KKZ3" s="42"/>
      <c r="KLA3" s="42"/>
      <c r="KLB3" s="42"/>
      <c r="KLC3" s="42"/>
      <c r="KLD3" s="42"/>
      <c r="KLE3" s="42"/>
      <c r="KLF3" s="42"/>
      <c r="KLG3" s="42"/>
      <c r="KLH3" s="42"/>
      <c r="KLI3" s="42"/>
      <c r="KLJ3" s="42"/>
      <c r="KLK3" s="42"/>
      <c r="KLL3" s="42"/>
      <c r="KLM3" s="42"/>
      <c r="KLN3" s="42"/>
      <c r="KLO3" s="42"/>
      <c r="KLP3" s="42"/>
      <c r="KLQ3" s="42"/>
      <c r="KLR3" s="42"/>
      <c r="KLS3" s="42"/>
      <c r="KLT3" s="42"/>
      <c r="KLU3" s="42"/>
      <c r="KLV3" s="42"/>
      <c r="KLW3" s="42"/>
      <c r="KLX3" s="42"/>
      <c r="KLY3" s="42"/>
      <c r="KLZ3" s="42"/>
      <c r="KMA3" s="42"/>
      <c r="KMB3" s="42"/>
      <c r="KMC3" s="42"/>
      <c r="KMD3" s="42"/>
      <c r="KME3" s="42"/>
      <c r="KMF3" s="42"/>
      <c r="KMG3" s="42"/>
      <c r="KMH3" s="42"/>
      <c r="KMI3" s="42"/>
      <c r="KMJ3" s="42"/>
      <c r="KMK3" s="42"/>
      <c r="KML3" s="42"/>
      <c r="KMM3" s="42"/>
      <c r="KMN3" s="42"/>
      <c r="KMO3" s="42"/>
      <c r="KMP3" s="42"/>
      <c r="KMQ3" s="42"/>
      <c r="KMR3" s="42"/>
      <c r="KMS3" s="42"/>
      <c r="KMT3" s="42"/>
      <c r="KMU3" s="42"/>
      <c r="KMV3" s="42"/>
      <c r="KMW3" s="42"/>
      <c r="KMX3" s="42"/>
      <c r="KMY3" s="42"/>
      <c r="KMZ3" s="42"/>
      <c r="KNA3" s="42"/>
      <c r="KNB3" s="42"/>
      <c r="KNC3" s="42"/>
      <c r="KND3" s="42"/>
      <c r="KNE3" s="42"/>
      <c r="KNF3" s="42"/>
      <c r="KNG3" s="42"/>
      <c r="KNH3" s="42"/>
      <c r="KNI3" s="42"/>
      <c r="KNJ3" s="42"/>
      <c r="KNK3" s="42"/>
      <c r="KNL3" s="42"/>
      <c r="KNM3" s="42"/>
      <c r="KNN3" s="42"/>
      <c r="KNO3" s="42"/>
      <c r="KNP3" s="42"/>
      <c r="KNQ3" s="42"/>
      <c r="KNR3" s="42"/>
      <c r="KNS3" s="42"/>
      <c r="KNT3" s="42"/>
      <c r="KNU3" s="42"/>
      <c r="KNV3" s="42"/>
      <c r="KNW3" s="42"/>
      <c r="KNX3" s="42"/>
      <c r="KNY3" s="42"/>
      <c r="KNZ3" s="42"/>
      <c r="KOA3" s="42"/>
      <c r="KOB3" s="42"/>
      <c r="KOC3" s="42"/>
      <c r="KOD3" s="42"/>
      <c r="KOE3" s="42"/>
      <c r="KOF3" s="42"/>
      <c r="KOG3" s="42"/>
      <c r="KOH3" s="42"/>
      <c r="KOI3" s="42"/>
      <c r="KOJ3" s="42"/>
      <c r="KOK3" s="42"/>
      <c r="KOL3" s="42"/>
      <c r="KOM3" s="42"/>
      <c r="KON3" s="42"/>
      <c r="KOO3" s="42"/>
      <c r="KOP3" s="42"/>
      <c r="KOQ3" s="42"/>
      <c r="KOR3" s="42"/>
      <c r="KOS3" s="42"/>
      <c r="KOT3" s="42"/>
      <c r="KOU3" s="42"/>
      <c r="KOV3" s="42"/>
      <c r="KOW3" s="42"/>
      <c r="KOX3" s="42"/>
      <c r="KOY3" s="42"/>
      <c r="KOZ3" s="42"/>
      <c r="KPA3" s="42"/>
      <c r="KPB3" s="42"/>
      <c r="KPC3" s="42"/>
      <c r="KPD3" s="42"/>
      <c r="KPE3" s="42"/>
      <c r="KPF3" s="42"/>
      <c r="KPG3" s="42"/>
      <c r="KPH3" s="42"/>
      <c r="KPI3" s="42"/>
      <c r="KPJ3" s="42"/>
      <c r="KPK3" s="42"/>
      <c r="KPL3" s="42"/>
      <c r="KPM3" s="42"/>
      <c r="KPN3" s="42"/>
      <c r="KPO3" s="42"/>
      <c r="KPP3" s="42"/>
      <c r="KPQ3" s="42"/>
      <c r="KPR3" s="42"/>
      <c r="KPS3" s="42"/>
      <c r="KPT3" s="42"/>
      <c r="KPU3" s="42"/>
      <c r="KPV3" s="42"/>
      <c r="KPW3" s="42"/>
      <c r="KPX3" s="42"/>
      <c r="KPY3" s="42"/>
      <c r="KPZ3" s="42"/>
      <c r="KQA3" s="42"/>
      <c r="KQB3" s="42"/>
      <c r="KQC3" s="42"/>
      <c r="KQD3" s="42"/>
      <c r="KQE3" s="42"/>
      <c r="KQF3" s="42"/>
      <c r="KQG3" s="42"/>
      <c r="KQH3" s="42"/>
      <c r="KQI3" s="42"/>
      <c r="KQJ3" s="42"/>
      <c r="KQK3" s="42"/>
      <c r="KQL3" s="42"/>
      <c r="KQM3" s="42"/>
      <c r="KQN3" s="42"/>
      <c r="KQO3" s="42"/>
      <c r="KQP3" s="42"/>
      <c r="KQQ3" s="42"/>
      <c r="KQR3" s="42"/>
      <c r="KQS3" s="42"/>
      <c r="KQT3" s="42"/>
      <c r="KQU3" s="42"/>
      <c r="KQV3" s="42"/>
      <c r="KQW3" s="42"/>
      <c r="KQX3" s="42"/>
      <c r="KQY3" s="42"/>
      <c r="KQZ3" s="42"/>
      <c r="KRA3" s="42"/>
      <c r="KRB3" s="42"/>
      <c r="KRC3" s="42"/>
      <c r="KRD3" s="42"/>
      <c r="KRE3" s="42"/>
      <c r="KRF3" s="42"/>
      <c r="KRG3" s="42"/>
      <c r="KRH3" s="42"/>
      <c r="KRI3" s="42"/>
      <c r="KRJ3" s="42"/>
      <c r="KRK3" s="42"/>
      <c r="KRL3" s="42"/>
      <c r="KRM3" s="42"/>
      <c r="KRN3" s="42"/>
      <c r="KRO3" s="42"/>
      <c r="KRP3" s="42"/>
      <c r="KRQ3" s="42"/>
      <c r="KRR3" s="42"/>
      <c r="KRS3" s="42"/>
      <c r="KRT3" s="42"/>
      <c r="KRU3" s="42"/>
      <c r="KRV3" s="42"/>
      <c r="KRW3" s="42"/>
      <c r="KRX3" s="42"/>
      <c r="KRY3" s="42"/>
      <c r="KRZ3" s="42"/>
      <c r="KSA3" s="42"/>
      <c r="KSB3" s="42"/>
      <c r="KSC3" s="42"/>
      <c r="KSD3" s="42"/>
      <c r="KSE3" s="42"/>
      <c r="KSF3" s="42"/>
      <c r="KSG3" s="42"/>
      <c r="KSH3" s="42"/>
      <c r="KSI3" s="42"/>
      <c r="KSJ3" s="42"/>
      <c r="KSK3" s="42"/>
      <c r="KSL3" s="42"/>
      <c r="KSM3" s="42"/>
      <c r="KSN3" s="42"/>
      <c r="KSO3" s="42"/>
      <c r="KSP3" s="42"/>
      <c r="KSQ3" s="42"/>
      <c r="KSR3" s="42"/>
      <c r="KSS3" s="42"/>
      <c r="KST3" s="42"/>
      <c r="KSU3" s="42"/>
      <c r="KSV3" s="42"/>
      <c r="KSW3" s="42"/>
      <c r="KSX3" s="42"/>
      <c r="KSY3" s="42"/>
      <c r="KSZ3" s="42"/>
      <c r="KTA3" s="42"/>
      <c r="KTB3" s="42"/>
      <c r="KTC3" s="42"/>
      <c r="KTD3" s="42"/>
      <c r="KTE3" s="42"/>
      <c r="KTF3" s="42"/>
      <c r="KTG3" s="42"/>
      <c r="KTH3" s="42"/>
      <c r="KTI3" s="42"/>
      <c r="KTJ3" s="42"/>
      <c r="KTK3" s="42"/>
      <c r="KTL3" s="42"/>
      <c r="KTM3" s="42"/>
      <c r="KTN3" s="42"/>
      <c r="KTO3" s="42"/>
      <c r="KTP3" s="42"/>
      <c r="KTQ3" s="42"/>
      <c r="KTR3" s="42"/>
      <c r="KTS3" s="42"/>
      <c r="KTT3" s="42"/>
      <c r="KTU3" s="42"/>
      <c r="KTV3" s="42"/>
      <c r="KTW3" s="42"/>
      <c r="KTX3" s="42"/>
      <c r="KTY3" s="42"/>
      <c r="KTZ3" s="42"/>
      <c r="KUA3" s="42"/>
      <c r="KUB3" s="42"/>
      <c r="KUC3" s="42"/>
      <c r="KUD3" s="42"/>
      <c r="KUE3" s="42"/>
      <c r="KUF3" s="42"/>
      <c r="KUG3" s="42"/>
      <c r="KUH3" s="42"/>
      <c r="KUI3" s="42"/>
      <c r="KUJ3" s="42"/>
      <c r="KUK3" s="42"/>
      <c r="KUL3" s="42"/>
      <c r="KUM3" s="42"/>
      <c r="KUN3" s="42"/>
      <c r="KUO3" s="42"/>
      <c r="KUP3" s="42"/>
      <c r="KUQ3" s="42"/>
      <c r="KUR3" s="42"/>
      <c r="KUS3" s="42"/>
      <c r="KUT3" s="42"/>
      <c r="KUU3" s="42"/>
      <c r="KUV3" s="42"/>
      <c r="KUW3" s="42"/>
      <c r="KUX3" s="42"/>
      <c r="KUY3" s="42"/>
      <c r="KUZ3" s="42"/>
      <c r="KVA3" s="42"/>
      <c r="KVB3" s="42"/>
      <c r="KVC3" s="42"/>
      <c r="KVD3" s="42"/>
      <c r="KVE3" s="42"/>
      <c r="KVF3" s="42"/>
      <c r="KVG3" s="42"/>
      <c r="KVH3" s="42"/>
      <c r="KVI3" s="42"/>
      <c r="KVJ3" s="42"/>
      <c r="KVK3" s="42"/>
      <c r="KVL3" s="42"/>
      <c r="KVM3" s="42"/>
      <c r="KVN3" s="42"/>
      <c r="KVO3" s="42"/>
      <c r="KVP3" s="42"/>
      <c r="KVQ3" s="42"/>
      <c r="KVR3" s="42"/>
      <c r="KVS3" s="42"/>
      <c r="KVT3" s="42"/>
      <c r="KVU3" s="42"/>
      <c r="KVV3" s="42"/>
      <c r="KVW3" s="42"/>
      <c r="KVX3" s="42"/>
      <c r="KVY3" s="42"/>
      <c r="KVZ3" s="42"/>
      <c r="KWA3" s="42"/>
      <c r="KWB3" s="42"/>
      <c r="KWC3" s="42"/>
      <c r="KWD3" s="42"/>
      <c r="KWE3" s="42"/>
      <c r="KWF3" s="42"/>
      <c r="KWG3" s="42"/>
      <c r="KWH3" s="42"/>
      <c r="KWI3" s="42"/>
      <c r="KWJ3" s="42"/>
      <c r="KWK3" s="42"/>
      <c r="KWL3" s="42"/>
      <c r="KWM3" s="42"/>
      <c r="KWN3" s="42"/>
      <c r="KWO3" s="42"/>
      <c r="KWP3" s="42"/>
      <c r="KWQ3" s="42"/>
      <c r="KWR3" s="42"/>
      <c r="KWS3" s="42"/>
      <c r="KWT3" s="42"/>
      <c r="KWU3" s="42"/>
      <c r="KWV3" s="42"/>
      <c r="KWW3" s="42"/>
      <c r="KWX3" s="42"/>
      <c r="KWY3" s="42"/>
      <c r="KWZ3" s="42"/>
      <c r="KXA3" s="42"/>
      <c r="KXB3" s="42"/>
      <c r="KXC3" s="42"/>
      <c r="KXD3" s="42"/>
      <c r="KXE3" s="42"/>
      <c r="KXF3" s="42"/>
      <c r="KXG3" s="42"/>
      <c r="KXH3" s="42"/>
      <c r="KXI3" s="42"/>
      <c r="KXJ3" s="42"/>
      <c r="KXK3" s="42"/>
      <c r="KXL3" s="42"/>
      <c r="KXM3" s="42"/>
      <c r="KXN3" s="42"/>
      <c r="KXO3" s="42"/>
      <c r="KXP3" s="42"/>
      <c r="KXQ3" s="42"/>
      <c r="KXR3" s="42"/>
      <c r="KXS3" s="42"/>
      <c r="KXT3" s="42"/>
      <c r="KXU3" s="42"/>
      <c r="KXV3" s="42"/>
      <c r="KXW3" s="42"/>
      <c r="KXX3" s="42"/>
      <c r="KXY3" s="42"/>
      <c r="KXZ3" s="42"/>
      <c r="KYA3" s="42"/>
      <c r="KYB3" s="42"/>
      <c r="KYC3" s="42"/>
      <c r="KYD3" s="42"/>
      <c r="KYE3" s="42"/>
      <c r="KYF3" s="42"/>
      <c r="KYG3" s="42"/>
      <c r="KYH3" s="42"/>
      <c r="KYI3" s="42"/>
      <c r="KYJ3" s="42"/>
      <c r="KYK3" s="42"/>
      <c r="KYL3" s="42"/>
      <c r="KYM3" s="42"/>
      <c r="KYN3" s="42"/>
      <c r="KYO3" s="42"/>
      <c r="KYP3" s="42"/>
      <c r="KYQ3" s="42"/>
      <c r="KYR3" s="42"/>
      <c r="KYS3" s="42"/>
      <c r="KYT3" s="42"/>
      <c r="KYU3" s="42"/>
      <c r="KYV3" s="42"/>
      <c r="KYW3" s="42"/>
      <c r="KYX3" s="42"/>
      <c r="KYY3" s="42"/>
      <c r="KYZ3" s="42"/>
      <c r="KZA3" s="42"/>
      <c r="KZB3" s="42"/>
      <c r="KZC3" s="42"/>
      <c r="KZD3" s="42"/>
      <c r="KZE3" s="42"/>
      <c r="KZF3" s="42"/>
      <c r="KZG3" s="42"/>
      <c r="KZH3" s="42"/>
      <c r="KZI3" s="42"/>
      <c r="KZJ3" s="42"/>
      <c r="KZK3" s="42"/>
      <c r="KZL3" s="42"/>
      <c r="KZM3" s="42"/>
      <c r="KZN3" s="42"/>
      <c r="KZO3" s="42"/>
      <c r="KZP3" s="42"/>
      <c r="KZQ3" s="42"/>
      <c r="KZR3" s="42"/>
      <c r="KZS3" s="42"/>
      <c r="KZT3" s="42"/>
      <c r="KZU3" s="42"/>
      <c r="KZV3" s="42"/>
      <c r="KZW3" s="42"/>
      <c r="KZX3" s="42"/>
      <c r="KZY3" s="42"/>
      <c r="KZZ3" s="42"/>
      <c r="LAA3" s="42"/>
      <c r="LAB3" s="42"/>
      <c r="LAC3" s="42"/>
      <c r="LAD3" s="42"/>
      <c r="LAE3" s="42"/>
      <c r="LAF3" s="42"/>
      <c r="LAG3" s="42"/>
      <c r="LAH3" s="42"/>
      <c r="LAI3" s="42"/>
      <c r="LAJ3" s="42"/>
      <c r="LAK3" s="42"/>
      <c r="LAL3" s="42"/>
      <c r="LAM3" s="42"/>
      <c r="LAN3" s="42"/>
      <c r="LAO3" s="42"/>
      <c r="LAP3" s="42"/>
      <c r="LAQ3" s="42"/>
      <c r="LAR3" s="42"/>
      <c r="LAS3" s="42"/>
      <c r="LAT3" s="42"/>
      <c r="LAU3" s="42"/>
      <c r="LAV3" s="42"/>
      <c r="LAW3" s="42"/>
      <c r="LAX3" s="42"/>
      <c r="LAY3" s="42"/>
      <c r="LAZ3" s="42"/>
      <c r="LBA3" s="42"/>
      <c r="LBB3" s="42"/>
      <c r="LBC3" s="42"/>
      <c r="LBD3" s="42"/>
      <c r="LBE3" s="42"/>
      <c r="LBF3" s="42"/>
      <c r="LBG3" s="42"/>
      <c r="LBH3" s="42"/>
      <c r="LBI3" s="42"/>
      <c r="LBJ3" s="42"/>
      <c r="LBK3" s="42"/>
      <c r="LBL3" s="42"/>
      <c r="LBM3" s="42"/>
      <c r="LBN3" s="42"/>
      <c r="LBO3" s="42"/>
      <c r="LBP3" s="42"/>
      <c r="LBQ3" s="42"/>
      <c r="LBR3" s="42"/>
      <c r="LBS3" s="42"/>
      <c r="LBT3" s="42"/>
      <c r="LBU3" s="42"/>
      <c r="LBV3" s="42"/>
      <c r="LBW3" s="42"/>
      <c r="LBX3" s="42"/>
      <c r="LBY3" s="42"/>
      <c r="LBZ3" s="42"/>
      <c r="LCA3" s="42"/>
      <c r="LCB3" s="42"/>
      <c r="LCC3" s="42"/>
      <c r="LCD3" s="42"/>
      <c r="LCE3" s="42"/>
      <c r="LCF3" s="42"/>
      <c r="LCG3" s="42"/>
      <c r="LCH3" s="42"/>
      <c r="LCI3" s="42"/>
      <c r="LCJ3" s="42"/>
      <c r="LCK3" s="42"/>
      <c r="LCL3" s="42"/>
      <c r="LCM3" s="42"/>
      <c r="LCN3" s="42"/>
      <c r="LCO3" s="42"/>
      <c r="LCP3" s="42"/>
      <c r="LCQ3" s="42"/>
      <c r="LCR3" s="42"/>
      <c r="LCS3" s="42"/>
      <c r="LCT3" s="42"/>
      <c r="LCU3" s="42"/>
      <c r="LCV3" s="42"/>
      <c r="LCW3" s="42"/>
      <c r="LCX3" s="42"/>
      <c r="LCY3" s="42"/>
      <c r="LCZ3" s="42"/>
      <c r="LDA3" s="42"/>
      <c r="LDB3" s="42"/>
      <c r="LDC3" s="42"/>
      <c r="LDD3" s="42"/>
      <c r="LDE3" s="42"/>
      <c r="LDF3" s="42"/>
      <c r="LDG3" s="42"/>
      <c r="LDH3" s="42"/>
      <c r="LDI3" s="42"/>
      <c r="LDJ3" s="42"/>
      <c r="LDK3" s="42"/>
      <c r="LDL3" s="42"/>
      <c r="LDM3" s="42"/>
      <c r="LDN3" s="42"/>
      <c r="LDO3" s="42"/>
      <c r="LDP3" s="42"/>
      <c r="LDQ3" s="42"/>
      <c r="LDR3" s="42"/>
      <c r="LDS3" s="42"/>
      <c r="LDT3" s="42"/>
      <c r="LDU3" s="42"/>
      <c r="LDV3" s="42"/>
      <c r="LDW3" s="42"/>
      <c r="LDX3" s="42"/>
      <c r="LDY3" s="42"/>
      <c r="LDZ3" s="42"/>
      <c r="LEA3" s="42"/>
      <c r="LEB3" s="42"/>
      <c r="LEC3" s="42"/>
      <c r="LED3" s="42"/>
      <c r="LEE3" s="42"/>
      <c r="LEF3" s="42"/>
      <c r="LEG3" s="42"/>
      <c r="LEH3" s="42"/>
      <c r="LEI3" s="42"/>
      <c r="LEJ3" s="42"/>
      <c r="LEK3" s="42"/>
      <c r="LEL3" s="42"/>
      <c r="LEM3" s="42"/>
      <c r="LEN3" s="42"/>
      <c r="LEO3" s="42"/>
      <c r="LEP3" s="42"/>
      <c r="LEQ3" s="42"/>
      <c r="LER3" s="42"/>
      <c r="LES3" s="42"/>
      <c r="LET3" s="42"/>
      <c r="LEU3" s="42"/>
      <c r="LEV3" s="42"/>
      <c r="LEW3" s="42"/>
      <c r="LEX3" s="42"/>
      <c r="LEY3" s="42"/>
      <c r="LEZ3" s="42"/>
      <c r="LFA3" s="42"/>
      <c r="LFB3" s="42"/>
      <c r="LFC3" s="42"/>
      <c r="LFD3" s="42"/>
      <c r="LFE3" s="42"/>
      <c r="LFF3" s="42"/>
      <c r="LFG3" s="42"/>
      <c r="LFH3" s="42"/>
      <c r="LFI3" s="42"/>
      <c r="LFJ3" s="42"/>
      <c r="LFK3" s="42"/>
      <c r="LFL3" s="42"/>
      <c r="LFM3" s="42"/>
      <c r="LFN3" s="42"/>
      <c r="LFO3" s="42"/>
      <c r="LFP3" s="42"/>
      <c r="LFQ3" s="42"/>
      <c r="LFR3" s="42"/>
      <c r="LFS3" s="42"/>
      <c r="LFT3" s="42"/>
      <c r="LFU3" s="42"/>
      <c r="LFV3" s="42"/>
      <c r="LFW3" s="42"/>
      <c r="LFX3" s="42"/>
      <c r="LFY3" s="42"/>
      <c r="LFZ3" s="42"/>
      <c r="LGA3" s="42"/>
      <c r="LGB3" s="42"/>
      <c r="LGC3" s="42"/>
      <c r="LGD3" s="42"/>
      <c r="LGE3" s="42"/>
      <c r="LGF3" s="42"/>
      <c r="LGG3" s="42"/>
      <c r="LGH3" s="42"/>
      <c r="LGI3" s="42"/>
      <c r="LGJ3" s="42"/>
      <c r="LGK3" s="42"/>
      <c r="LGL3" s="42"/>
      <c r="LGM3" s="42"/>
      <c r="LGN3" s="42"/>
      <c r="LGO3" s="42"/>
      <c r="LGP3" s="42"/>
      <c r="LGQ3" s="42"/>
      <c r="LGR3" s="42"/>
      <c r="LGS3" s="42"/>
      <c r="LGT3" s="42"/>
      <c r="LGU3" s="42"/>
      <c r="LGV3" s="42"/>
      <c r="LGW3" s="42"/>
      <c r="LGX3" s="42"/>
      <c r="LGY3" s="42"/>
      <c r="LGZ3" s="42"/>
      <c r="LHA3" s="42"/>
      <c r="LHB3" s="42"/>
      <c r="LHC3" s="42"/>
      <c r="LHD3" s="42"/>
      <c r="LHE3" s="42"/>
      <c r="LHF3" s="42"/>
      <c r="LHG3" s="42"/>
      <c r="LHH3" s="42"/>
      <c r="LHI3" s="42"/>
      <c r="LHJ3" s="42"/>
      <c r="LHK3" s="42"/>
      <c r="LHL3" s="42"/>
      <c r="LHM3" s="42"/>
      <c r="LHN3" s="42"/>
      <c r="LHO3" s="42"/>
      <c r="LHP3" s="42"/>
      <c r="LHQ3" s="42"/>
      <c r="LHR3" s="42"/>
      <c r="LHS3" s="42"/>
      <c r="LHT3" s="42"/>
      <c r="LHU3" s="42"/>
      <c r="LHV3" s="42"/>
      <c r="LHW3" s="42"/>
      <c r="LHX3" s="42"/>
      <c r="LHY3" s="42"/>
      <c r="LHZ3" s="42"/>
      <c r="LIA3" s="42"/>
      <c r="LIB3" s="42"/>
      <c r="LIC3" s="42"/>
      <c r="LID3" s="42"/>
      <c r="LIE3" s="42"/>
      <c r="LIF3" s="42"/>
      <c r="LIG3" s="42"/>
      <c r="LIH3" s="42"/>
      <c r="LII3" s="42"/>
      <c r="LIJ3" s="42"/>
      <c r="LIK3" s="42"/>
      <c r="LIL3" s="42"/>
      <c r="LIM3" s="42"/>
      <c r="LIN3" s="42"/>
      <c r="LIO3" s="42"/>
      <c r="LIP3" s="42"/>
      <c r="LIQ3" s="42"/>
      <c r="LIR3" s="42"/>
      <c r="LIS3" s="42"/>
      <c r="LIT3" s="42"/>
      <c r="LIU3" s="42"/>
      <c r="LIV3" s="42"/>
      <c r="LIW3" s="42"/>
      <c r="LIX3" s="42"/>
      <c r="LIY3" s="42"/>
      <c r="LIZ3" s="42"/>
      <c r="LJA3" s="42"/>
      <c r="LJB3" s="42"/>
      <c r="LJC3" s="42"/>
      <c r="LJD3" s="42"/>
      <c r="LJE3" s="42"/>
      <c r="LJF3" s="42"/>
      <c r="LJG3" s="42"/>
      <c r="LJH3" s="42"/>
      <c r="LJI3" s="42"/>
      <c r="LJJ3" s="42"/>
      <c r="LJK3" s="42"/>
      <c r="LJL3" s="42"/>
      <c r="LJM3" s="42"/>
      <c r="LJN3" s="42"/>
      <c r="LJO3" s="42"/>
      <c r="LJP3" s="42"/>
      <c r="LJQ3" s="42"/>
      <c r="LJR3" s="42"/>
      <c r="LJS3" s="42"/>
      <c r="LJT3" s="42"/>
      <c r="LJU3" s="42"/>
      <c r="LJV3" s="42"/>
      <c r="LJW3" s="42"/>
      <c r="LJX3" s="42"/>
      <c r="LJY3" s="42"/>
      <c r="LJZ3" s="42"/>
      <c r="LKA3" s="42"/>
      <c r="LKB3" s="42"/>
      <c r="LKC3" s="42"/>
      <c r="LKD3" s="42"/>
      <c r="LKE3" s="42"/>
      <c r="LKF3" s="42"/>
      <c r="LKG3" s="42"/>
      <c r="LKH3" s="42"/>
      <c r="LKI3" s="42"/>
      <c r="LKJ3" s="42"/>
      <c r="LKK3" s="42"/>
      <c r="LKL3" s="42"/>
      <c r="LKM3" s="42"/>
      <c r="LKN3" s="42"/>
      <c r="LKO3" s="42"/>
      <c r="LKP3" s="42"/>
      <c r="LKQ3" s="42"/>
      <c r="LKR3" s="42"/>
      <c r="LKS3" s="42"/>
      <c r="LKT3" s="42"/>
      <c r="LKU3" s="42"/>
      <c r="LKV3" s="42"/>
      <c r="LKW3" s="42"/>
      <c r="LKX3" s="42"/>
      <c r="LKY3" s="42"/>
      <c r="LKZ3" s="42"/>
      <c r="LLA3" s="42"/>
      <c r="LLB3" s="42"/>
      <c r="LLC3" s="42"/>
      <c r="LLD3" s="42"/>
      <c r="LLE3" s="42"/>
      <c r="LLF3" s="42"/>
      <c r="LLG3" s="42"/>
      <c r="LLH3" s="42"/>
      <c r="LLI3" s="42"/>
      <c r="LLJ3" s="42"/>
      <c r="LLK3" s="42"/>
      <c r="LLL3" s="42"/>
      <c r="LLM3" s="42"/>
      <c r="LLN3" s="42"/>
      <c r="LLO3" s="42"/>
      <c r="LLP3" s="42"/>
      <c r="LLQ3" s="42"/>
      <c r="LLR3" s="42"/>
      <c r="LLS3" s="42"/>
      <c r="LLT3" s="42"/>
      <c r="LLU3" s="42"/>
      <c r="LLV3" s="42"/>
      <c r="LLW3" s="42"/>
      <c r="LLX3" s="42"/>
      <c r="LLY3" s="42"/>
      <c r="LLZ3" s="42"/>
      <c r="LMA3" s="42"/>
      <c r="LMB3" s="42"/>
      <c r="LMC3" s="42"/>
      <c r="LMD3" s="42"/>
      <c r="LME3" s="42"/>
      <c r="LMF3" s="42"/>
      <c r="LMG3" s="42"/>
      <c r="LMH3" s="42"/>
      <c r="LMI3" s="42"/>
      <c r="LMJ3" s="42"/>
      <c r="LMK3" s="42"/>
      <c r="LML3" s="42"/>
      <c r="LMM3" s="42"/>
      <c r="LMN3" s="42"/>
      <c r="LMO3" s="42"/>
      <c r="LMP3" s="42"/>
      <c r="LMQ3" s="42"/>
      <c r="LMR3" s="42"/>
      <c r="LMS3" s="42"/>
      <c r="LMT3" s="42"/>
      <c r="LMU3" s="42"/>
      <c r="LMV3" s="42"/>
      <c r="LMW3" s="42"/>
      <c r="LMX3" s="42"/>
      <c r="LMY3" s="42"/>
      <c r="LMZ3" s="42"/>
      <c r="LNA3" s="42"/>
      <c r="LNB3" s="42"/>
      <c r="LNC3" s="42"/>
      <c r="LND3" s="42"/>
      <c r="LNE3" s="42"/>
      <c r="LNF3" s="42"/>
      <c r="LNG3" s="42"/>
      <c r="LNH3" s="42"/>
      <c r="LNI3" s="42"/>
      <c r="LNJ3" s="42"/>
      <c r="LNK3" s="42"/>
      <c r="LNL3" s="42"/>
      <c r="LNM3" s="42"/>
      <c r="LNN3" s="42"/>
      <c r="LNO3" s="42"/>
      <c r="LNP3" s="42"/>
      <c r="LNQ3" s="42"/>
      <c r="LNR3" s="42"/>
      <c r="LNS3" s="42"/>
      <c r="LNT3" s="42"/>
      <c r="LNU3" s="42"/>
      <c r="LNV3" s="42"/>
      <c r="LNW3" s="42"/>
      <c r="LNX3" s="42"/>
      <c r="LNY3" s="42"/>
      <c r="LNZ3" s="42"/>
      <c r="LOA3" s="42"/>
      <c r="LOB3" s="42"/>
      <c r="LOC3" s="42"/>
      <c r="LOD3" s="42"/>
      <c r="LOE3" s="42"/>
      <c r="LOF3" s="42"/>
      <c r="LOG3" s="42"/>
      <c r="LOH3" s="42"/>
      <c r="LOI3" s="42"/>
      <c r="LOJ3" s="42"/>
      <c r="LOK3" s="42"/>
      <c r="LOL3" s="42"/>
      <c r="LOM3" s="42"/>
      <c r="LON3" s="42"/>
      <c r="LOO3" s="42"/>
      <c r="LOP3" s="42"/>
      <c r="LOQ3" s="42"/>
      <c r="LOR3" s="42"/>
      <c r="LOS3" s="42"/>
      <c r="LOT3" s="42"/>
      <c r="LOU3" s="42"/>
      <c r="LOV3" s="42"/>
      <c r="LOW3" s="42"/>
      <c r="LOX3" s="42"/>
      <c r="LOY3" s="42"/>
      <c r="LOZ3" s="42"/>
      <c r="LPA3" s="42"/>
      <c r="LPB3" s="42"/>
      <c r="LPC3" s="42"/>
      <c r="LPD3" s="42"/>
      <c r="LPE3" s="42"/>
      <c r="LPF3" s="42"/>
      <c r="LPG3" s="42"/>
      <c r="LPH3" s="42"/>
      <c r="LPI3" s="42"/>
      <c r="LPJ3" s="42"/>
      <c r="LPK3" s="42"/>
      <c r="LPL3" s="42"/>
      <c r="LPM3" s="42"/>
      <c r="LPN3" s="42"/>
      <c r="LPO3" s="42"/>
      <c r="LPP3" s="42"/>
      <c r="LPQ3" s="42"/>
      <c r="LPR3" s="42"/>
      <c r="LPS3" s="42"/>
      <c r="LPT3" s="42"/>
      <c r="LPU3" s="42"/>
      <c r="LPV3" s="42"/>
      <c r="LPW3" s="42"/>
      <c r="LPX3" s="42"/>
      <c r="LPY3" s="42"/>
      <c r="LPZ3" s="42"/>
      <c r="LQA3" s="42"/>
      <c r="LQB3" s="42"/>
      <c r="LQC3" s="42"/>
      <c r="LQD3" s="42"/>
      <c r="LQE3" s="42"/>
      <c r="LQF3" s="42"/>
      <c r="LQG3" s="42"/>
      <c r="LQH3" s="42"/>
      <c r="LQI3" s="42"/>
      <c r="LQJ3" s="42"/>
      <c r="LQK3" s="42"/>
      <c r="LQL3" s="42"/>
      <c r="LQM3" s="42"/>
      <c r="LQN3" s="42"/>
      <c r="LQO3" s="42"/>
      <c r="LQP3" s="42"/>
      <c r="LQQ3" s="42"/>
      <c r="LQR3" s="42"/>
      <c r="LQS3" s="42"/>
      <c r="LQT3" s="42"/>
      <c r="LQU3" s="42"/>
      <c r="LQV3" s="42"/>
      <c r="LQW3" s="42"/>
      <c r="LQX3" s="42"/>
      <c r="LQY3" s="42"/>
      <c r="LQZ3" s="42"/>
      <c r="LRA3" s="42"/>
      <c r="LRB3" s="42"/>
      <c r="LRC3" s="42"/>
      <c r="LRD3" s="42"/>
      <c r="LRE3" s="42"/>
      <c r="LRF3" s="42"/>
      <c r="LRG3" s="42"/>
      <c r="LRH3" s="42"/>
      <c r="LRI3" s="42"/>
      <c r="LRJ3" s="42"/>
      <c r="LRK3" s="42"/>
      <c r="LRL3" s="42"/>
      <c r="LRM3" s="42"/>
      <c r="LRN3" s="42"/>
      <c r="LRO3" s="42"/>
      <c r="LRP3" s="42"/>
      <c r="LRQ3" s="42"/>
      <c r="LRR3" s="42"/>
      <c r="LRS3" s="42"/>
      <c r="LRT3" s="42"/>
      <c r="LRU3" s="42"/>
      <c r="LRV3" s="42"/>
      <c r="LRW3" s="42"/>
      <c r="LRX3" s="42"/>
      <c r="LRY3" s="42"/>
      <c r="LRZ3" s="42"/>
      <c r="LSA3" s="42"/>
      <c r="LSB3" s="42"/>
      <c r="LSC3" s="42"/>
      <c r="LSD3" s="42"/>
      <c r="LSE3" s="42"/>
      <c r="LSF3" s="42"/>
      <c r="LSG3" s="42"/>
      <c r="LSH3" s="42"/>
      <c r="LSI3" s="42"/>
      <c r="LSJ3" s="42"/>
      <c r="LSK3" s="42"/>
      <c r="LSL3" s="42"/>
      <c r="LSM3" s="42"/>
      <c r="LSN3" s="42"/>
      <c r="LSO3" s="42"/>
      <c r="LSP3" s="42"/>
      <c r="LSQ3" s="42"/>
      <c r="LSR3" s="42"/>
      <c r="LSS3" s="42"/>
      <c r="LST3" s="42"/>
      <c r="LSU3" s="42"/>
      <c r="LSV3" s="42"/>
      <c r="LSW3" s="42"/>
      <c r="LSX3" s="42"/>
      <c r="LSY3" s="42"/>
      <c r="LSZ3" s="42"/>
      <c r="LTA3" s="42"/>
      <c r="LTB3" s="42"/>
      <c r="LTC3" s="42"/>
      <c r="LTD3" s="42"/>
      <c r="LTE3" s="42"/>
      <c r="LTF3" s="42"/>
      <c r="LTG3" s="42"/>
      <c r="LTH3" s="42"/>
      <c r="LTI3" s="42"/>
      <c r="LTJ3" s="42"/>
      <c r="LTK3" s="42"/>
      <c r="LTL3" s="42"/>
      <c r="LTM3" s="42"/>
      <c r="LTN3" s="42"/>
      <c r="LTO3" s="42"/>
      <c r="LTP3" s="42"/>
      <c r="LTQ3" s="42"/>
      <c r="LTR3" s="42"/>
      <c r="LTS3" s="42"/>
      <c r="LTT3" s="42"/>
      <c r="LTU3" s="42"/>
      <c r="LTV3" s="42"/>
      <c r="LTW3" s="42"/>
      <c r="LTX3" s="42"/>
      <c r="LTY3" s="42"/>
      <c r="LTZ3" s="42"/>
      <c r="LUA3" s="42"/>
      <c r="LUB3" s="42"/>
      <c r="LUC3" s="42"/>
      <c r="LUD3" s="42"/>
      <c r="LUE3" s="42"/>
      <c r="LUF3" s="42"/>
      <c r="LUG3" s="42"/>
      <c r="LUH3" s="42"/>
      <c r="LUI3" s="42"/>
      <c r="LUJ3" s="42"/>
      <c r="LUK3" s="42"/>
      <c r="LUL3" s="42"/>
      <c r="LUM3" s="42"/>
      <c r="LUN3" s="42"/>
      <c r="LUO3" s="42"/>
      <c r="LUP3" s="42"/>
      <c r="LUQ3" s="42"/>
      <c r="LUR3" s="42"/>
      <c r="LUS3" s="42"/>
      <c r="LUT3" s="42"/>
      <c r="LUU3" s="42"/>
      <c r="LUV3" s="42"/>
      <c r="LUW3" s="42"/>
      <c r="LUX3" s="42"/>
      <c r="LUY3" s="42"/>
      <c r="LUZ3" s="42"/>
      <c r="LVA3" s="42"/>
      <c r="LVB3" s="42"/>
      <c r="LVC3" s="42"/>
      <c r="LVD3" s="42"/>
      <c r="LVE3" s="42"/>
      <c r="LVF3" s="42"/>
      <c r="LVG3" s="42"/>
      <c r="LVH3" s="42"/>
      <c r="LVI3" s="42"/>
      <c r="LVJ3" s="42"/>
      <c r="LVK3" s="42"/>
      <c r="LVL3" s="42"/>
      <c r="LVM3" s="42"/>
      <c r="LVN3" s="42"/>
      <c r="LVO3" s="42"/>
      <c r="LVP3" s="42"/>
      <c r="LVQ3" s="42"/>
      <c r="LVR3" s="42"/>
      <c r="LVS3" s="42"/>
      <c r="LVT3" s="42"/>
      <c r="LVU3" s="42"/>
      <c r="LVV3" s="42"/>
      <c r="LVW3" s="42"/>
      <c r="LVX3" s="42"/>
      <c r="LVY3" s="42"/>
      <c r="LVZ3" s="42"/>
      <c r="LWA3" s="42"/>
      <c r="LWB3" s="42"/>
      <c r="LWC3" s="42"/>
      <c r="LWD3" s="42"/>
      <c r="LWE3" s="42"/>
      <c r="LWF3" s="42"/>
      <c r="LWG3" s="42"/>
      <c r="LWH3" s="42"/>
      <c r="LWI3" s="42"/>
      <c r="LWJ3" s="42"/>
      <c r="LWK3" s="42"/>
      <c r="LWL3" s="42"/>
      <c r="LWM3" s="42"/>
      <c r="LWN3" s="42"/>
      <c r="LWO3" s="42"/>
      <c r="LWP3" s="42"/>
      <c r="LWQ3" s="42"/>
      <c r="LWR3" s="42"/>
      <c r="LWS3" s="42"/>
      <c r="LWT3" s="42"/>
      <c r="LWU3" s="42"/>
      <c r="LWV3" s="42"/>
      <c r="LWW3" s="42"/>
      <c r="LWX3" s="42"/>
      <c r="LWY3" s="42"/>
      <c r="LWZ3" s="42"/>
      <c r="LXA3" s="42"/>
      <c r="LXB3" s="42"/>
      <c r="LXC3" s="42"/>
      <c r="LXD3" s="42"/>
      <c r="LXE3" s="42"/>
      <c r="LXF3" s="42"/>
      <c r="LXG3" s="42"/>
      <c r="LXH3" s="42"/>
      <c r="LXI3" s="42"/>
      <c r="LXJ3" s="42"/>
      <c r="LXK3" s="42"/>
      <c r="LXL3" s="42"/>
      <c r="LXM3" s="42"/>
      <c r="LXN3" s="42"/>
      <c r="LXO3" s="42"/>
      <c r="LXP3" s="42"/>
      <c r="LXQ3" s="42"/>
      <c r="LXR3" s="42"/>
      <c r="LXS3" s="42"/>
      <c r="LXT3" s="42"/>
      <c r="LXU3" s="42"/>
      <c r="LXV3" s="42"/>
      <c r="LXW3" s="42"/>
      <c r="LXX3" s="42"/>
      <c r="LXY3" s="42"/>
      <c r="LXZ3" s="42"/>
      <c r="LYA3" s="42"/>
      <c r="LYB3" s="42"/>
      <c r="LYC3" s="42"/>
      <c r="LYD3" s="42"/>
      <c r="LYE3" s="42"/>
      <c r="LYF3" s="42"/>
      <c r="LYG3" s="42"/>
      <c r="LYH3" s="42"/>
      <c r="LYI3" s="42"/>
      <c r="LYJ3" s="42"/>
      <c r="LYK3" s="42"/>
      <c r="LYL3" s="42"/>
      <c r="LYM3" s="42"/>
      <c r="LYN3" s="42"/>
      <c r="LYO3" s="42"/>
      <c r="LYP3" s="42"/>
      <c r="LYQ3" s="42"/>
      <c r="LYR3" s="42"/>
      <c r="LYS3" s="42"/>
      <c r="LYT3" s="42"/>
      <c r="LYU3" s="42"/>
      <c r="LYV3" s="42"/>
      <c r="LYW3" s="42"/>
      <c r="LYX3" s="42"/>
      <c r="LYY3" s="42"/>
      <c r="LYZ3" s="42"/>
      <c r="LZA3" s="42"/>
      <c r="LZB3" s="42"/>
      <c r="LZC3" s="42"/>
      <c r="LZD3" s="42"/>
      <c r="LZE3" s="42"/>
      <c r="LZF3" s="42"/>
      <c r="LZG3" s="42"/>
      <c r="LZH3" s="42"/>
      <c r="LZI3" s="42"/>
      <c r="LZJ3" s="42"/>
      <c r="LZK3" s="42"/>
      <c r="LZL3" s="42"/>
      <c r="LZM3" s="42"/>
      <c r="LZN3" s="42"/>
      <c r="LZO3" s="42"/>
      <c r="LZP3" s="42"/>
      <c r="LZQ3" s="42"/>
      <c r="LZR3" s="42"/>
      <c r="LZS3" s="42"/>
      <c r="LZT3" s="42"/>
      <c r="LZU3" s="42"/>
      <c r="LZV3" s="42"/>
      <c r="LZW3" s="42"/>
      <c r="LZX3" s="42"/>
      <c r="LZY3" s="42"/>
      <c r="LZZ3" s="42"/>
      <c r="MAA3" s="42"/>
      <c r="MAB3" s="42"/>
      <c r="MAC3" s="42"/>
      <c r="MAD3" s="42"/>
      <c r="MAE3" s="42"/>
      <c r="MAF3" s="42"/>
      <c r="MAG3" s="42"/>
      <c r="MAH3" s="42"/>
      <c r="MAI3" s="42"/>
      <c r="MAJ3" s="42"/>
      <c r="MAK3" s="42"/>
      <c r="MAL3" s="42"/>
      <c r="MAM3" s="42"/>
      <c r="MAN3" s="42"/>
      <c r="MAO3" s="42"/>
      <c r="MAP3" s="42"/>
      <c r="MAQ3" s="42"/>
      <c r="MAR3" s="42"/>
      <c r="MAS3" s="42"/>
      <c r="MAT3" s="42"/>
      <c r="MAU3" s="42"/>
      <c r="MAV3" s="42"/>
      <c r="MAW3" s="42"/>
      <c r="MAX3" s="42"/>
      <c r="MAY3" s="42"/>
      <c r="MAZ3" s="42"/>
      <c r="MBA3" s="42"/>
      <c r="MBB3" s="42"/>
      <c r="MBC3" s="42"/>
      <c r="MBD3" s="42"/>
      <c r="MBE3" s="42"/>
      <c r="MBF3" s="42"/>
      <c r="MBG3" s="42"/>
      <c r="MBH3" s="42"/>
      <c r="MBI3" s="42"/>
      <c r="MBJ3" s="42"/>
      <c r="MBK3" s="42"/>
      <c r="MBL3" s="42"/>
      <c r="MBM3" s="42"/>
      <c r="MBN3" s="42"/>
      <c r="MBO3" s="42"/>
      <c r="MBP3" s="42"/>
      <c r="MBQ3" s="42"/>
      <c r="MBR3" s="42"/>
      <c r="MBS3" s="42"/>
      <c r="MBT3" s="42"/>
      <c r="MBU3" s="42"/>
      <c r="MBV3" s="42"/>
      <c r="MBW3" s="42"/>
      <c r="MBX3" s="42"/>
      <c r="MBY3" s="42"/>
      <c r="MBZ3" s="42"/>
      <c r="MCA3" s="42"/>
      <c r="MCB3" s="42"/>
      <c r="MCC3" s="42"/>
      <c r="MCD3" s="42"/>
      <c r="MCE3" s="42"/>
      <c r="MCF3" s="42"/>
      <c r="MCG3" s="42"/>
      <c r="MCH3" s="42"/>
      <c r="MCI3" s="42"/>
      <c r="MCJ3" s="42"/>
      <c r="MCK3" s="42"/>
      <c r="MCL3" s="42"/>
      <c r="MCM3" s="42"/>
      <c r="MCN3" s="42"/>
      <c r="MCO3" s="42"/>
      <c r="MCP3" s="42"/>
      <c r="MCQ3" s="42"/>
      <c r="MCR3" s="42"/>
      <c r="MCS3" s="42"/>
      <c r="MCT3" s="42"/>
      <c r="MCU3" s="42"/>
      <c r="MCV3" s="42"/>
      <c r="MCW3" s="42"/>
      <c r="MCX3" s="42"/>
      <c r="MCY3" s="42"/>
      <c r="MCZ3" s="42"/>
      <c r="MDA3" s="42"/>
      <c r="MDB3" s="42"/>
      <c r="MDC3" s="42"/>
      <c r="MDD3" s="42"/>
      <c r="MDE3" s="42"/>
      <c r="MDF3" s="42"/>
      <c r="MDG3" s="42"/>
      <c r="MDH3" s="42"/>
      <c r="MDI3" s="42"/>
      <c r="MDJ3" s="42"/>
      <c r="MDK3" s="42"/>
      <c r="MDL3" s="42"/>
      <c r="MDM3" s="42"/>
      <c r="MDN3" s="42"/>
      <c r="MDO3" s="42"/>
      <c r="MDP3" s="42"/>
      <c r="MDQ3" s="42"/>
      <c r="MDR3" s="42"/>
      <c r="MDS3" s="42"/>
      <c r="MDT3" s="42"/>
      <c r="MDU3" s="42"/>
      <c r="MDV3" s="42"/>
      <c r="MDW3" s="42"/>
      <c r="MDX3" s="42"/>
      <c r="MDY3" s="42"/>
      <c r="MDZ3" s="42"/>
      <c r="MEA3" s="42"/>
      <c r="MEB3" s="42"/>
      <c r="MEC3" s="42"/>
      <c r="MED3" s="42"/>
      <c r="MEE3" s="42"/>
      <c r="MEF3" s="42"/>
      <c r="MEG3" s="42"/>
      <c r="MEH3" s="42"/>
      <c r="MEI3" s="42"/>
      <c r="MEJ3" s="42"/>
      <c r="MEK3" s="42"/>
      <c r="MEL3" s="42"/>
      <c r="MEM3" s="42"/>
      <c r="MEN3" s="42"/>
      <c r="MEO3" s="42"/>
      <c r="MEP3" s="42"/>
      <c r="MEQ3" s="42"/>
      <c r="MER3" s="42"/>
      <c r="MES3" s="42"/>
      <c r="MET3" s="42"/>
      <c r="MEU3" s="42"/>
      <c r="MEV3" s="42"/>
      <c r="MEW3" s="42"/>
      <c r="MEX3" s="42"/>
      <c r="MEY3" s="42"/>
      <c r="MEZ3" s="42"/>
      <c r="MFA3" s="42"/>
      <c r="MFB3" s="42"/>
      <c r="MFC3" s="42"/>
      <c r="MFD3" s="42"/>
      <c r="MFE3" s="42"/>
      <c r="MFF3" s="42"/>
      <c r="MFG3" s="42"/>
      <c r="MFH3" s="42"/>
      <c r="MFI3" s="42"/>
      <c r="MFJ3" s="42"/>
      <c r="MFK3" s="42"/>
      <c r="MFL3" s="42"/>
      <c r="MFM3" s="42"/>
      <c r="MFN3" s="42"/>
      <c r="MFO3" s="42"/>
      <c r="MFP3" s="42"/>
      <c r="MFQ3" s="42"/>
      <c r="MFR3" s="42"/>
      <c r="MFS3" s="42"/>
      <c r="MFT3" s="42"/>
      <c r="MFU3" s="42"/>
      <c r="MFV3" s="42"/>
      <c r="MFW3" s="42"/>
      <c r="MFX3" s="42"/>
      <c r="MFY3" s="42"/>
      <c r="MFZ3" s="42"/>
      <c r="MGA3" s="42"/>
      <c r="MGB3" s="42"/>
      <c r="MGC3" s="42"/>
      <c r="MGD3" s="42"/>
      <c r="MGE3" s="42"/>
      <c r="MGF3" s="42"/>
      <c r="MGG3" s="42"/>
      <c r="MGH3" s="42"/>
      <c r="MGI3" s="42"/>
      <c r="MGJ3" s="42"/>
      <c r="MGK3" s="42"/>
      <c r="MGL3" s="42"/>
      <c r="MGM3" s="42"/>
      <c r="MGN3" s="42"/>
      <c r="MGO3" s="42"/>
      <c r="MGP3" s="42"/>
      <c r="MGQ3" s="42"/>
      <c r="MGR3" s="42"/>
      <c r="MGS3" s="42"/>
      <c r="MGT3" s="42"/>
      <c r="MGU3" s="42"/>
      <c r="MGV3" s="42"/>
      <c r="MGW3" s="42"/>
      <c r="MGX3" s="42"/>
      <c r="MGY3" s="42"/>
      <c r="MGZ3" s="42"/>
      <c r="MHA3" s="42"/>
      <c r="MHB3" s="42"/>
      <c r="MHC3" s="42"/>
      <c r="MHD3" s="42"/>
      <c r="MHE3" s="42"/>
      <c r="MHF3" s="42"/>
      <c r="MHG3" s="42"/>
      <c r="MHH3" s="42"/>
      <c r="MHI3" s="42"/>
      <c r="MHJ3" s="42"/>
      <c r="MHK3" s="42"/>
      <c r="MHL3" s="42"/>
      <c r="MHM3" s="42"/>
      <c r="MHN3" s="42"/>
      <c r="MHO3" s="42"/>
      <c r="MHP3" s="42"/>
      <c r="MHQ3" s="42"/>
      <c r="MHR3" s="42"/>
      <c r="MHS3" s="42"/>
      <c r="MHT3" s="42"/>
      <c r="MHU3" s="42"/>
      <c r="MHV3" s="42"/>
      <c r="MHW3" s="42"/>
      <c r="MHX3" s="42"/>
      <c r="MHY3" s="42"/>
      <c r="MHZ3" s="42"/>
      <c r="MIA3" s="42"/>
      <c r="MIB3" s="42"/>
      <c r="MIC3" s="42"/>
      <c r="MID3" s="42"/>
      <c r="MIE3" s="42"/>
      <c r="MIF3" s="42"/>
      <c r="MIG3" s="42"/>
      <c r="MIH3" s="42"/>
      <c r="MII3" s="42"/>
      <c r="MIJ3" s="42"/>
      <c r="MIK3" s="42"/>
      <c r="MIL3" s="42"/>
      <c r="MIM3" s="42"/>
      <c r="MIN3" s="42"/>
      <c r="MIO3" s="42"/>
      <c r="MIP3" s="42"/>
      <c r="MIQ3" s="42"/>
      <c r="MIR3" s="42"/>
      <c r="MIS3" s="42"/>
      <c r="MIT3" s="42"/>
      <c r="MIU3" s="42"/>
      <c r="MIV3" s="42"/>
      <c r="MIW3" s="42"/>
      <c r="MIX3" s="42"/>
      <c r="MIY3" s="42"/>
      <c r="MIZ3" s="42"/>
      <c r="MJA3" s="42"/>
      <c r="MJB3" s="42"/>
      <c r="MJC3" s="42"/>
      <c r="MJD3" s="42"/>
      <c r="MJE3" s="42"/>
      <c r="MJF3" s="42"/>
      <c r="MJG3" s="42"/>
      <c r="MJH3" s="42"/>
      <c r="MJI3" s="42"/>
      <c r="MJJ3" s="42"/>
      <c r="MJK3" s="42"/>
      <c r="MJL3" s="42"/>
      <c r="MJM3" s="42"/>
      <c r="MJN3" s="42"/>
      <c r="MJO3" s="42"/>
      <c r="MJP3" s="42"/>
      <c r="MJQ3" s="42"/>
      <c r="MJR3" s="42"/>
      <c r="MJS3" s="42"/>
      <c r="MJT3" s="42"/>
      <c r="MJU3" s="42"/>
      <c r="MJV3" s="42"/>
      <c r="MJW3" s="42"/>
      <c r="MJX3" s="42"/>
      <c r="MJY3" s="42"/>
      <c r="MJZ3" s="42"/>
      <c r="MKA3" s="42"/>
      <c r="MKB3" s="42"/>
      <c r="MKC3" s="42"/>
      <c r="MKD3" s="42"/>
      <c r="MKE3" s="42"/>
      <c r="MKF3" s="42"/>
      <c r="MKG3" s="42"/>
      <c r="MKH3" s="42"/>
      <c r="MKI3" s="42"/>
      <c r="MKJ3" s="42"/>
      <c r="MKK3" s="42"/>
      <c r="MKL3" s="42"/>
      <c r="MKM3" s="42"/>
      <c r="MKN3" s="42"/>
      <c r="MKO3" s="42"/>
      <c r="MKP3" s="42"/>
      <c r="MKQ3" s="42"/>
      <c r="MKR3" s="42"/>
      <c r="MKS3" s="42"/>
      <c r="MKT3" s="42"/>
      <c r="MKU3" s="42"/>
      <c r="MKV3" s="42"/>
      <c r="MKW3" s="42"/>
      <c r="MKX3" s="42"/>
      <c r="MKY3" s="42"/>
      <c r="MKZ3" s="42"/>
      <c r="MLA3" s="42"/>
      <c r="MLB3" s="42"/>
      <c r="MLC3" s="42"/>
      <c r="MLD3" s="42"/>
      <c r="MLE3" s="42"/>
      <c r="MLF3" s="42"/>
      <c r="MLG3" s="42"/>
      <c r="MLH3" s="42"/>
      <c r="MLI3" s="42"/>
      <c r="MLJ3" s="42"/>
      <c r="MLK3" s="42"/>
      <c r="MLL3" s="42"/>
      <c r="MLM3" s="42"/>
      <c r="MLN3" s="42"/>
      <c r="MLO3" s="42"/>
      <c r="MLP3" s="42"/>
      <c r="MLQ3" s="42"/>
      <c r="MLR3" s="42"/>
      <c r="MLS3" s="42"/>
      <c r="MLT3" s="42"/>
      <c r="MLU3" s="42"/>
      <c r="MLV3" s="42"/>
      <c r="MLW3" s="42"/>
      <c r="MLX3" s="42"/>
      <c r="MLY3" s="42"/>
      <c r="MLZ3" s="42"/>
      <c r="MMA3" s="42"/>
      <c r="MMB3" s="42"/>
      <c r="MMC3" s="42"/>
      <c r="MMD3" s="42"/>
      <c r="MME3" s="42"/>
      <c r="MMF3" s="42"/>
      <c r="MMG3" s="42"/>
      <c r="MMH3" s="42"/>
      <c r="MMI3" s="42"/>
      <c r="MMJ3" s="42"/>
      <c r="MMK3" s="42"/>
      <c r="MML3" s="42"/>
      <c r="MMM3" s="42"/>
      <c r="MMN3" s="42"/>
      <c r="MMO3" s="42"/>
      <c r="MMP3" s="42"/>
      <c r="MMQ3" s="42"/>
      <c r="MMR3" s="42"/>
      <c r="MMS3" s="42"/>
      <c r="MMT3" s="42"/>
      <c r="MMU3" s="42"/>
      <c r="MMV3" s="42"/>
      <c r="MMW3" s="42"/>
      <c r="MMX3" s="42"/>
      <c r="MMY3" s="42"/>
      <c r="MMZ3" s="42"/>
      <c r="MNA3" s="42"/>
      <c r="MNB3" s="42"/>
      <c r="MNC3" s="42"/>
      <c r="MND3" s="42"/>
      <c r="MNE3" s="42"/>
      <c r="MNF3" s="42"/>
      <c r="MNG3" s="42"/>
      <c r="MNH3" s="42"/>
      <c r="MNI3" s="42"/>
      <c r="MNJ3" s="42"/>
      <c r="MNK3" s="42"/>
      <c r="MNL3" s="42"/>
      <c r="MNM3" s="42"/>
      <c r="MNN3" s="42"/>
      <c r="MNO3" s="42"/>
      <c r="MNP3" s="42"/>
      <c r="MNQ3" s="42"/>
      <c r="MNR3" s="42"/>
      <c r="MNS3" s="42"/>
      <c r="MNT3" s="42"/>
      <c r="MNU3" s="42"/>
      <c r="MNV3" s="42"/>
      <c r="MNW3" s="42"/>
      <c r="MNX3" s="42"/>
      <c r="MNY3" s="42"/>
      <c r="MNZ3" s="42"/>
      <c r="MOA3" s="42"/>
      <c r="MOB3" s="42"/>
      <c r="MOC3" s="42"/>
      <c r="MOD3" s="42"/>
      <c r="MOE3" s="42"/>
      <c r="MOF3" s="42"/>
      <c r="MOG3" s="42"/>
      <c r="MOH3" s="42"/>
      <c r="MOI3" s="42"/>
      <c r="MOJ3" s="42"/>
      <c r="MOK3" s="42"/>
      <c r="MOL3" s="42"/>
      <c r="MOM3" s="42"/>
      <c r="MON3" s="42"/>
      <c r="MOO3" s="42"/>
      <c r="MOP3" s="42"/>
      <c r="MOQ3" s="42"/>
      <c r="MOR3" s="42"/>
      <c r="MOS3" s="42"/>
      <c r="MOT3" s="42"/>
      <c r="MOU3" s="42"/>
      <c r="MOV3" s="42"/>
      <c r="MOW3" s="42"/>
      <c r="MOX3" s="42"/>
      <c r="MOY3" s="42"/>
      <c r="MOZ3" s="42"/>
      <c r="MPA3" s="42"/>
      <c r="MPB3" s="42"/>
      <c r="MPC3" s="42"/>
      <c r="MPD3" s="42"/>
      <c r="MPE3" s="42"/>
      <c r="MPF3" s="42"/>
      <c r="MPG3" s="42"/>
      <c r="MPH3" s="42"/>
      <c r="MPI3" s="42"/>
      <c r="MPJ3" s="42"/>
      <c r="MPK3" s="42"/>
      <c r="MPL3" s="42"/>
      <c r="MPM3" s="42"/>
      <c r="MPN3" s="42"/>
      <c r="MPO3" s="42"/>
      <c r="MPP3" s="42"/>
      <c r="MPQ3" s="42"/>
      <c r="MPR3" s="42"/>
      <c r="MPS3" s="42"/>
      <c r="MPT3" s="42"/>
      <c r="MPU3" s="42"/>
      <c r="MPV3" s="42"/>
      <c r="MPW3" s="42"/>
      <c r="MPX3" s="42"/>
      <c r="MPY3" s="42"/>
      <c r="MPZ3" s="42"/>
      <c r="MQA3" s="42"/>
      <c r="MQB3" s="42"/>
      <c r="MQC3" s="42"/>
      <c r="MQD3" s="42"/>
      <c r="MQE3" s="42"/>
      <c r="MQF3" s="42"/>
      <c r="MQG3" s="42"/>
      <c r="MQH3" s="42"/>
      <c r="MQI3" s="42"/>
      <c r="MQJ3" s="42"/>
      <c r="MQK3" s="42"/>
      <c r="MQL3" s="42"/>
      <c r="MQM3" s="42"/>
      <c r="MQN3" s="42"/>
      <c r="MQO3" s="42"/>
      <c r="MQP3" s="42"/>
      <c r="MQQ3" s="42"/>
      <c r="MQR3" s="42"/>
      <c r="MQS3" s="42"/>
      <c r="MQT3" s="42"/>
      <c r="MQU3" s="42"/>
      <c r="MQV3" s="42"/>
      <c r="MQW3" s="42"/>
      <c r="MQX3" s="42"/>
      <c r="MQY3" s="42"/>
      <c r="MQZ3" s="42"/>
      <c r="MRA3" s="42"/>
      <c r="MRB3" s="42"/>
      <c r="MRC3" s="42"/>
      <c r="MRD3" s="42"/>
      <c r="MRE3" s="42"/>
      <c r="MRF3" s="42"/>
      <c r="MRG3" s="42"/>
      <c r="MRH3" s="42"/>
      <c r="MRI3" s="42"/>
      <c r="MRJ3" s="42"/>
      <c r="MRK3" s="42"/>
      <c r="MRL3" s="42"/>
      <c r="MRM3" s="42"/>
      <c r="MRN3" s="42"/>
      <c r="MRO3" s="42"/>
      <c r="MRP3" s="42"/>
      <c r="MRQ3" s="42"/>
      <c r="MRR3" s="42"/>
      <c r="MRS3" s="42"/>
      <c r="MRT3" s="42"/>
      <c r="MRU3" s="42"/>
      <c r="MRV3" s="42"/>
      <c r="MRW3" s="42"/>
      <c r="MRX3" s="42"/>
      <c r="MRY3" s="42"/>
      <c r="MRZ3" s="42"/>
      <c r="MSA3" s="42"/>
      <c r="MSB3" s="42"/>
      <c r="MSC3" s="42"/>
      <c r="MSD3" s="42"/>
      <c r="MSE3" s="42"/>
      <c r="MSF3" s="42"/>
      <c r="MSG3" s="42"/>
      <c r="MSH3" s="42"/>
      <c r="MSI3" s="42"/>
      <c r="MSJ3" s="42"/>
      <c r="MSK3" s="42"/>
      <c r="MSL3" s="42"/>
      <c r="MSM3" s="42"/>
      <c r="MSN3" s="42"/>
      <c r="MSO3" s="42"/>
      <c r="MSP3" s="42"/>
      <c r="MSQ3" s="42"/>
      <c r="MSR3" s="42"/>
      <c r="MSS3" s="42"/>
      <c r="MST3" s="42"/>
      <c r="MSU3" s="42"/>
      <c r="MSV3" s="42"/>
      <c r="MSW3" s="42"/>
      <c r="MSX3" s="42"/>
      <c r="MSY3" s="42"/>
      <c r="MSZ3" s="42"/>
      <c r="MTA3" s="42"/>
      <c r="MTB3" s="42"/>
      <c r="MTC3" s="42"/>
      <c r="MTD3" s="42"/>
      <c r="MTE3" s="42"/>
      <c r="MTF3" s="42"/>
      <c r="MTG3" s="42"/>
      <c r="MTH3" s="42"/>
      <c r="MTI3" s="42"/>
      <c r="MTJ3" s="42"/>
      <c r="MTK3" s="42"/>
      <c r="MTL3" s="42"/>
      <c r="MTM3" s="42"/>
      <c r="MTN3" s="42"/>
      <c r="MTO3" s="42"/>
      <c r="MTP3" s="42"/>
      <c r="MTQ3" s="42"/>
      <c r="MTR3" s="42"/>
      <c r="MTS3" s="42"/>
      <c r="MTT3" s="42"/>
      <c r="MTU3" s="42"/>
      <c r="MTV3" s="42"/>
      <c r="MTW3" s="42"/>
      <c r="MTX3" s="42"/>
      <c r="MTY3" s="42"/>
      <c r="MTZ3" s="42"/>
      <c r="MUA3" s="42"/>
      <c r="MUB3" s="42"/>
      <c r="MUC3" s="42"/>
      <c r="MUD3" s="42"/>
      <c r="MUE3" s="42"/>
      <c r="MUF3" s="42"/>
      <c r="MUG3" s="42"/>
      <c r="MUH3" s="42"/>
      <c r="MUI3" s="42"/>
      <c r="MUJ3" s="42"/>
      <c r="MUK3" s="42"/>
      <c r="MUL3" s="42"/>
      <c r="MUM3" s="42"/>
      <c r="MUN3" s="42"/>
      <c r="MUO3" s="42"/>
      <c r="MUP3" s="42"/>
      <c r="MUQ3" s="42"/>
      <c r="MUR3" s="42"/>
      <c r="MUS3" s="42"/>
      <c r="MUT3" s="42"/>
      <c r="MUU3" s="42"/>
      <c r="MUV3" s="42"/>
      <c r="MUW3" s="42"/>
      <c r="MUX3" s="42"/>
      <c r="MUY3" s="42"/>
      <c r="MUZ3" s="42"/>
      <c r="MVA3" s="42"/>
      <c r="MVB3" s="42"/>
      <c r="MVC3" s="42"/>
      <c r="MVD3" s="42"/>
      <c r="MVE3" s="42"/>
      <c r="MVF3" s="42"/>
      <c r="MVG3" s="42"/>
      <c r="MVH3" s="42"/>
      <c r="MVI3" s="42"/>
      <c r="MVJ3" s="42"/>
      <c r="MVK3" s="42"/>
      <c r="MVL3" s="42"/>
      <c r="MVM3" s="42"/>
      <c r="MVN3" s="42"/>
      <c r="MVO3" s="42"/>
      <c r="MVP3" s="42"/>
      <c r="MVQ3" s="42"/>
      <c r="MVR3" s="42"/>
      <c r="MVS3" s="42"/>
      <c r="MVT3" s="42"/>
      <c r="MVU3" s="42"/>
      <c r="MVV3" s="42"/>
      <c r="MVW3" s="42"/>
      <c r="MVX3" s="42"/>
      <c r="MVY3" s="42"/>
      <c r="MVZ3" s="42"/>
      <c r="MWA3" s="42"/>
      <c r="MWB3" s="42"/>
      <c r="MWC3" s="42"/>
      <c r="MWD3" s="42"/>
      <c r="MWE3" s="42"/>
      <c r="MWF3" s="42"/>
      <c r="MWG3" s="42"/>
      <c r="MWH3" s="42"/>
      <c r="MWI3" s="42"/>
      <c r="MWJ3" s="42"/>
      <c r="MWK3" s="42"/>
      <c r="MWL3" s="42"/>
      <c r="MWM3" s="42"/>
      <c r="MWN3" s="42"/>
      <c r="MWO3" s="42"/>
      <c r="MWP3" s="42"/>
      <c r="MWQ3" s="42"/>
      <c r="MWR3" s="42"/>
      <c r="MWS3" s="42"/>
      <c r="MWT3" s="42"/>
      <c r="MWU3" s="42"/>
      <c r="MWV3" s="42"/>
      <c r="MWW3" s="42"/>
      <c r="MWX3" s="42"/>
      <c r="MWY3" s="42"/>
      <c r="MWZ3" s="42"/>
      <c r="MXA3" s="42"/>
      <c r="MXB3" s="42"/>
      <c r="MXC3" s="42"/>
      <c r="MXD3" s="42"/>
      <c r="MXE3" s="42"/>
      <c r="MXF3" s="42"/>
      <c r="MXG3" s="42"/>
      <c r="MXH3" s="42"/>
      <c r="MXI3" s="42"/>
      <c r="MXJ3" s="42"/>
      <c r="MXK3" s="42"/>
      <c r="MXL3" s="42"/>
      <c r="MXM3" s="42"/>
      <c r="MXN3" s="42"/>
      <c r="MXO3" s="42"/>
      <c r="MXP3" s="42"/>
      <c r="MXQ3" s="42"/>
      <c r="MXR3" s="42"/>
      <c r="MXS3" s="42"/>
      <c r="MXT3" s="42"/>
      <c r="MXU3" s="42"/>
      <c r="MXV3" s="42"/>
      <c r="MXW3" s="42"/>
      <c r="MXX3" s="42"/>
      <c r="MXY3" s="42"/>
      <c r="MXZ3" s="42"/>
      <c r="MYA3" s="42"/>
      <c r="MYB3" s="42"/>
      <c r="MYC3" s="42"/>
      <c r="MYD3" s="42"/>
      <c r="MYE3" s="42"/>
      <c r="MYF3" s="42"/>
      <c r="MYG3" s="42"/>
      <c r="MYH3" s="42"/>
      <c r="MYI3" s="42"/>
      <c r="MYJ3" s="42"/>
      <c r="MYK3" s="42"/>
      <c r="MYL3" s="42"/>
      <c r="MYM3" s="42"/>
      <c r="MYN3" s="42"/>
      <c r="MYO3" s="42"/>
      <c r="MYP3" s="42"/>
      <c r="MYQ3" s="42"/>
      <c r="MYR3" s="42"/>
      <c r="MYS3" s="42"/>
      <c r="MYT3" s="42"/>
      <c r="MYU3" s="42"/>
      <c r="MYV3" s="42"/>
      <c r="MYW3" s="42"/>
      <c r="MYX3" s="42"/>
      <c r="MYY3" s="42"/>
      <c r="MYZ3" s="42"/>
      <c r="MZA3" s="42"/>
      <c r="MZB3" s="42"/>
      <c r="MZC3" s="42"/>
      <c r="MZD3" s="42"/>
      <c r="MZE3" s="42"/>
      <c r="MZF3" s="42"/>
      <c r="MZG3" s="42"/>
      <c r="MZH3" s="42"/>
      <c r="MZI3" s="42"/>
      <c r="MZJ3" s="42"/>
      <c r="MZK3" s="42"/>
      <c r="MZL3" s="42"/>
      <c r="MZM3" s="42"/>
      <c r="MZN3" s="42"/>
      <c r="MZO3" s="42"/>
      <c r="MZP3" s="42"/>
      <c r="MZQ3" s="42"/>
      <c r="MZR3" s="42"/>
      <c r="MZS3" s="42"/>
      <c r="MZT3" s="42"/>
      <c r="MZU3" s="42"/>
      <c r="MZV3" s="42"/>
      <c r="MZW3" s="42"/>
      <c r="MZX3" s="42"/>
      <c r="MZY3" s="42"/>
      <c r="MZZ3" s="42"/>
      <c r="NAA3" s="42"/>
      <c r="NAB3" s="42"/>
      <c r="NAC3" s="42"/>
      <c r="NAD3" s="42"/>
      <c r="NAE3" s="42"/>
      <c r="NAF3" s="42"/>
      <c r="NAG3" s="42"/>
      <c r="NAH3" s="42"/>
      <c r="NAI3" s="42"/>
      <c r="NAJ3" s="42"/>
      <c r="NAK3" s="42"/>
      <c r="NAL3" s="42"/>
      <c r="NAM3" s="42"/>
      <c r="NAN3" s="42"/>
      <c r="NAO3" s="42"/>
      <c r="NAP3" s="42"/>
      <c r="NAQ3" s="42"/>
      <c r="NAR3" s="42"/>
      <c r="NAS3" s="42"/>
      <c r="NAT3" s="42"/>
      <c r="NAU3" s="42"/>
      <c r="NAV3" s="42"/>
      <c r="NAW3" s="42"/>
      <c r="NAX3" s="42"/>
      <c r="NAY3" s="42"/>
      <c r="NAZ3" s="42"/>
      <c r="NBA3" s="42"/>
      <c r="NBB3" s="42"/>
      <c r="NBC3" s="42"/>
      <c r="NBD3" s="42"/>
      <c r="NBE3" s="42"/>
      <c r="NBF3" s="42"/>
      <c r="NBG3" s="42"/>
      <c r="NBH3" s="42"/>
      <c r="NBI3" s="42"/>
      <c r="NBJ3" s="42"/>
      <c r="NBK3" s="42"/>
      <c r="NBL3" s="42"/>
      <c r="NBM3" s="42"/>
      <c r="NBN3" s="42"/>
      <c r="NBO3" s="42"/>
      <c r="NBP3" s="42"/>
      <c r="NBQ3" s="42"/>
      <c r="NBR3" s="42"/>
      <c r="NBS3" s="42"/>
      <c r="NBT3" s="42"/>
      <c r="NBU3" s="42"/>
      <c r="NBV3" s="42"/>
      <c r="NBW3" s="42"/>
      <c r="NBX3" s="42"/>
      <c r="NBY3" s="42"/>
      <c r="NBZ3" s="42"/>
      <c r="NCA3" s="42"/>
      <c r="NCB3" s="42"/>
      <c r="NCC3" s="42"/>
      <c r="NCD3" s="42"/>
      <c r="NCE3" s="42"/>
      <c r="NCF3" s="42"/>
      <c r="NCG3" s="42"/>
      <c r="NCH3" s="42"/>
      <c r="NCI3" s="42"/>
      <c r="NCJ3" s="42"/>
      <c r="NCK3" s="42"/>
      <c r="NCL3" s="42"/>
      <c r="NCM3" s="42"/>
      <c r="NCN3" s="42"/>
      <c r="NCO3" s="42"/>
      <c r="NCP3" s="42"/>
      <c r="NCQ3" s="42"/>
      <c r="NCR3" s="42"/>
      <c r="NCS3" s="42"/>
      <c r="NCT3" s="42"/>
      <c r="NCU3" s="42"/>
      <c r="NCV3" s="42"/>
      <c r="NCW3" s="42"/>
      <c r="NCX3" s="42"/>
      <c r="NCY3" s="42"/>
      <c r="NCZ3" s="42"/>
      <c r="NDA3" s="42"/>
      <c r="NDB3" s="42"/>
      <c r="NDC3" s="42"/>
      <c r="NDD3" s="42"/>
      <c r="NDE3" s="42"/>
      <c r="NDF3" s="42"/>
      <c r="NDG3" s="42"/>
      <c r="NDH3" s="42"/>
      <c r="NDI3" s="42"/>
      <c r="NDJ3" s="42"/>
      <c r="NDK3" s="42"/>
      <c r="NDL3" s="42"/>
      <c r="NDM3" s="42"/>
      <c r="NDN3" s="42"/>
      <c r="NDO3" s="42"/>
      <c r="NDP3" s="42"/>
      <c r="NDQ3" s="42"/>
      <c r="NDR3" s="42"/>
      <c r="NDS3" s="42"/>
      <c r="NDT3" s="42"/>
      <c r="NDU3" s="42"/>
      <c r="NDV3" s="42"/>
      <c r="NDW3" s="42"/>
      <c r="NDX3" s="42"/>
      <c r="NDY3" s="42"/>
      <c r="NDZ3" s="42"/>
      <c r="NEA3" s="42"/>
      <c r="NEB3" s="42"/>
      <c r="NEC3" s="42"/>
      <c r="NED3" s="42"/>
      <c r="NEE3" s="42"/>
      <c r="NEF3" s="42"/>
      <c r="NEG3" s="42"/>
      <c r="NEH3" s="42"/>
      <c r="NEI3" s="42"/>
      <c r="NEJ3" s="42"/>
      <c r="NEK3" s="42"/>
      <c r="NEL3" s="42"/>
      <c r="NEM3" s="42"/>
      <c r="NEN3" s="42"/>
      <c r="NEO3" s="42"/>
      <c r="NEP3" s="42"/>
      <c r="NEQ3" s="42"/>
      <c r="NER3" s="42"/>
      <c r="NES3" s="42"/>
      <c r="NET3" s="42"/>
      <c r="NEU3" s="42"/>
      <c r="NEV3" s="42"/>
      <c r="NEW3" s="42"/>
      <c r="NEX3" s="42"/>
      <c r="NEY3" s="42"/>
      <c r="NEZ3" s="42"/>
      <c r="NFA3" s="42"/>
      <c r="NFB3" s="42"/>
      <c r="NFC3" s="42"/>
      <c r="NFD3" s="42"/>
      <c r="NFE3" s="42"/>
      <c r="NFF3" s="42"/>
      <c r="NFG3" s="42"/>
      <c r="NFH3" s="42"/>
      <c r="NFI3" s="42"/>
      <c r="NFJ3" s="42"/>
      <c r="NFK3" s="42"/>
      <c r="NFL3" s="42"/>
      <c r="NFM3" s="42"/>
      <c r="NFN3" s="42"/>
      <c r="NFO3" s="42"/>
      <c r="NFP3" s="42"/>
      <c r="NFQ3" s="42"/>
      <c r="NFR3" s="42"/>
      <c r="NFS3" s="42"/>
      <c r="NFT3" s="42"/>
      <c r="NFU3" s="42"/>
      <c r="NFV3" s="42"/>
      <c r="NFW3" s="42"/>
      <c r="NFX3" s="42"/>
      <c r="NFY3" s="42"/>
      <c r="NFZ3" s="42"/>
      <c r="NGA3" s="42"/>
      <c r="NGB3" s="42"/>
      <c r="NGC3" s="42"/>
      <c r="NGD3" s="42"/>
      <c r="NGE3" s="42"/>
      <c r="NGF3" s="42"/>
      <c r="NGG3" s="42"/>
      <c r="NGH3" s="42"/>
      <c r="NGI3" s="42"/>
      <c r="NGJ3" s="42"/>
      <c r="NGK3" s="42"/>
      <c r="NGL3" s="42"/>
      <c r="NGM3" s="42"/>
      <c r="NGN3" s="42"/>
      <c r="NGO3" s="42"/>
      <c r="NGP3" s="42"/>
      <c r="NGQ3" s="42"/>
      <c r="NGR3" s="42"/>
      <c r="NGS3" s="42"/>
      <c r="NGT3" s="42"/>
      <c r="NGU3" s="42"/>
      <c r="NGV3" s="42"/>
      <c r="NGW3" s="42"/>
      <c r="NGX3" s="42"/>
      <c r="NGY3" s="42"/>
      <c r="NGZ3" s="42"/>
      <c r="NHA3" s="42"/>
      <c r="NHB3" s="42"/>
      <c r="NHC3" s="42"/>
      <c r="NHD3" s="42"/>
      <c r="NHE3" s="42"/>
      <c r="NHF3" s="42"/>
      <c r="NHG3" s="42"/>
      <c r="NHH3" s="42"/>
      <c r="NHI3" s="42"/>
      <c r="NHJ3" s="42"/>
      <c r="NHK3" s="42"/>
      <c r="NHL3" s="42"/>
      <c r="NHM3" s="42"/>
      <c r="NHN3" s="42"/>
      <c r="NHO3" s="42"/>
      <c r="NHP3" s="42"/>
      <c r="NHQ3" s="42"/>
      <c r="NHR3" s="42"/>
      <c r="NHS3" s="42"/>
      <c r="NHT3" s="42"/>
      <c r="NHU3" s="42"/>
      <c r="NHV3" s="42"/>
      <c r="NHW3" s="42"/>
      <c r="NHX3" s="42"/>
      <c r="NHY3" s="42"/>
      <c r="NHZ3" s="42"/>
      <c r="NIA3" s="42"/>
      <c r="NIB3" s="42"/>
      <c r="NIC3" s="42"/>
      <c r="NID3" s="42"/>
      <c r="NIE3" s="42"/>
      <c r="NIF3" s="42"/>
      <c r="NIG3" s="42"/>
      <c r="NIH3" s="42"/>
      <c r="NII3" s="42"/>
      <c r="NIJ3" s="42"/>
      <c r="NIK3" s="42"/>
      <c r="NIL3" s="42"/>
      <c r="NIM3" s="42"/>
      <c r="NIN3" s="42"/>
      <c r="NIO3" s="42"/>
      <c r="NIP3" s="42"/>
      <c r="NIQ3" s="42"/>
      <c r="NIR3" s="42"/>
      <c r="NIS3" s="42"/>
      <c r="NIT3" s="42"/>
      <c r="NIU3" s="42"/>
      <c r="NIV3" s="42"/>
      <c r="NIW3" s="42"/>
      <c r="NIX3" s="42"/>
      <c r="NIY3" s="42"/>
      <c r="NIZ3" s="42"/>
      <c r="NJA3" s="42"/>
      <c r="NJB3" s="42"/>
      <c r="NJC3" s="42"/>
      <c r="NJD3" s="42"/>
      <c r="NJE3" s="42"/>
      <c r="NJF3" s="42"/>
      <c r="NJG3" s="42"/>
      <c r="NJH3" s="42"/>
      <c r="NJI3" s="42"/>
      <c r="NJJ3" s="42"/>
      <c r="NJK3" s="42"/>
      <c r="NJL3" s="42"/>
      <c r="NJM3" s="42"/>
      <c r="NJN3" s="42"/>
      <c r="NJO3" s="42"/>
      <c r="NJP3" s="42"/>
      <c r="NJQ3" s="42"/>
      <c r="NJR3" s="42"/>
      <c r="NJS3" s="42"/>
      <c r="NJT3" s="42"/>
      <c r="NJU3" s="42"/>
      <c r="NJV3" s="42"/>
      <c r="NJW3" s="42"/>
      <c r="NJX3" s="42"/>
      <c r="NJY3" s="42"/>
      <c r="NJZ3" s="42"/>
      <c r="NKA3" s="42"/>
      <c r="NKB3" s="42"/>
      <c r="NKC3" s="42"/>
      <c r="NKD3" s="42"/>
      <c r="NKE3" s="42"/>
      <c r="NKF3" s="42"/>
      <c r="NKG3" s="42"/>
      <c r="NKH3" s="42"/>
      <c r="NKI3" s="42"/>
      <c r="NKJ3" s="42"/>
      <c r="NKK3" s="42"/>
      <c r="NKL3" s="42"/>
      <c r="NKM3" s="42"/>
      <c r="NKN3" s="42"/>
      <c r="NKO3" s="42"/>
      <c r="NKP3" s="42"/>
      <c r="NKQ3" s="42"/>
      <c r="NKR3" s="42"/>
      <c r="NKS3" s="42"/>
      <c r="NKT3" s="42"/>
      <c r="NKU3" s="42"/>
      <c r="NKV3" s="42"/>
      <c r="NKW3" s="42"/>
      <c r="NKX3" s="42"/>
      <c r="NKY3" s="42"/>
      <c r="NKZ3" s="42"/>
      <c r="NLA3" s="42"/>
      <c r="NLB3" s="42"/>
      <c r="NLC3" s="42"/>
      <c r="NLD3" s="42"/>
      <c r="NLE3" s="42"/>
      <c r="NLF3" s="42"/>
      <c r="NLG3" s="42"/>
      <c r="NLH3" s="42"/>
      <c r="NLI3" s="42"/>
      <c r="NLJ3" s="42"/>
      <c r="NLK3" s="42"/>
      <c r="NLL3" s="42"/>
      <c r="NLM3" s="42"/>
      <c r="NLN3" s="42"/>
      <c r="NLO3" s="42"/>
      <c r="NLP3" s="42"/>
      <c r="NLQ3" s="42"/>
      <c r="NLR3" s="42"/>
      <c r="NLS3" s="42"/>
      <c r="NLT3" s="42"/>
      <c r="NLU3" s="42"/>
      <c r="NLV3" s="42"/>
      <c r="NLW3" s="42"/>
      <c r="NLX3" s="42"/>
      <c r="NLY3" s="42"/>
      <c r="NLZ3" s="42"/>
      <c r="NMA3" s="42"/>
      <c r="NMB3" s="42"/>
      <c r="NMC3" s="42"/>
      <c r="NMD3" s="42"/>
      <c r="NME3" s="42"/>
      <c r="NMF3" s="42"/>
      <c r="NMG3" s="42"/>
      <c r="NMH3" s="42"/>
      <c r="NMI3" s="42"/>
      <c r="NMJ3" s="42"/>
      <c r="NMK3" s="42"/>
      <c r="NML3" s="42"/>
      <c r="NMM3" s="42"/>
      <c r="NMN3" s="42"/>
      <c r="NMO3" s="42"/>
      <c r="NMP3" s="42"/>
      <c r="NMQ3" s="42"/>
      <c r="NMR3" s="42"/>
      <c r="NMS3" s="42"/>
      <c r="NMT3" s="42"/>
      <c r="NMU3" s="42"/>
      <c r="NMV3" s="42"/>
      <c r="NMW3" s="42"/>
      <c r="NMX3" s="42"/>
      <c r="NMY3" s="42"/>
      <c r="NMZ3" s="42"/>
      <c r="NNA3" s="42"/>
      <c r="NNB3" s="42"/>
      <c r="NNC3" s="42"/>
      <c r="NND3" s="42"/>
      <c r="NNE3" s="42"/>
      <c r="NNF3" s="42"/>
      <c r="NNG3" s="42"/>
      <c r="NNH3" s="42"/>
      <c r="NNI3" s="42"/>
      <c r="NNJ3" s="42"/>
      <c r="NNK3" s="42"/>
      <c r="NNL3" s="42"/>
      <c r="NNM3" s="42"/>
      <c r="NNN3" s="42"/>
      <c r="NNO3" s="42"/>
      <c r="NNP3" s="42"/>
      <c r="NNQ3" s="42"/>
      <c r="NNR3" s="42"/>
      <c r="NNS3" s="42"/>
      <c r="NNT3" s="42"/>
      <c r="NNU3" s="42"/>
      <c r="NNV3" s="42"/>
      <c r="NNW3" s="42"/>
      <c r="NNX3" s="42"/>
      <c r="NNY3" s="42"/>
      <c r="NNZ3" s="42"/>
      <c r="NOA3" s="42"/>
      <c r="NOB3" s="42"/>
      <c r="NOC3" s="42"/>
      <c r="NOD3" s="42"/>
      <c r="NOE3" s="42"/>
      <c r="NOF3" s="42"/>
      <c r="NOG3" s="42"/>
      <c r="NOH3" s="42"/>
      <c r="NOI3" s="42"/>
      <c r="NOJ3" s="42"/>
      <c r="NOK3" s="42"/>
      <c r="NOL3" s="42"/>
      <c r="NOM3" s="42"/>
      <c r="NON3" s="42"/>
      <c r="NOO3" s="42"/>
      <c r="NOP3" s="42"/>
      <c r="NOQ3" s="42"/>
      <c r="NOR3" s="42"/>
      <c r="NOS3" s="42"/>
      <c r="NOT3" s="42"/>
      <c r="NOU3" s="42"/>
      <c r="NOV3" s="42"/>
      <c r="NOW3" s="42"/>
      <c r="NOX3" s="42"/>
      <c r="NOY3" s="42"/>
      <c r="NOZ3" s="42"/>
      <c r="NPA3" s="42"/>
      <c r="NPB3" s="42"/>
      <c r="NPC3" s="42"/>
      <c r="NPD3" s="42"/>
      <c r="NPE3" s="42"/>
      <c r="NPF3" s="42"/>
      <c r="NPG3" s="42"/>
      <c r="NPH3" s="42"/>
      <c r="NPI3" s="42"/>
      <c r="NPJ3" s="42"/>
      <c r="NPK3" s="42"/>
      <c r="NPL3" s="42"/>
      <c r="NPM3" s="42"/>
      <c r="NPN3" s="42"/>
      <c r="NPO3" s="42"/>
      <c r="NPP3" s="42"/>
      <c r="NPQ3" s="42"/>
      <c r="NPR3" s="42"/>
      <c r="NPS3" s="42"/>
      <c r="NPT3" s="42"/>
      <c r="NPU3" s="42"/>
      <c r="NPV3" s="42"/>
      <c r="NPW3" s="42"/>
      <c r="NPX3" s="42"/>
      <c r="NPY3" s="42"/>
      <c r="NPZ3" s="42"/>
      <c r="NQA3" s="42"/>
      <c r="NQB3" s="42"/>
      <c r="NQC3" s="42"/>
      <c r="NQD3" s="42"/>
      <c r="NQE3" s="42"/>
      <c r="NQF3" s="42"/>
      <c r="NQG3" s="42"/>
      <c r="NQH3" s="42"/>
      <c r="NQI3" s="42"/>
      <c r="NQJ3" s="42"/>
      <c r="NQK3" s="42"/>
      <c r="NQL3" s="42"/>
      <c r="NQM3" s="42"/>
      <c r="NQN3" s="42"/>
      <c r="NQO3" s="42"/>
      <c r="NQP3" s="42"/>
      <c r="NQQ3" s="42"/>
      <c r="NQR3" s="42"/>
      <c r="NQS3" s="42"/>
      <c r="NQT3" s="42"/>
      <c r="NQU3" s="42"/>
      <c r="NQV3" s="42"/>
      <c r="NQW3" s="42"/>
      <c r="NQX3" s="42"/>
      <c r="NQY3" s="42"/>
      <c r="NQZ3" s="42"/>
      <c r="NRA3" s="42"/>
      <c r="NRB3" s="42"/>
      <c r="NRC3" s="42"/>
      <c r="NRD3" s="42"/>
      <c r="NRE3" s="42"/>
      <c r="NRF3" s="42"/>
      <c r="NRG3" s="42"/>
      <c r="NRH3" s="42"/>
      <c r="NRI3" s="42"/>
      <c r="NRJ3" s="42"/>
      <c r="NRK3" s="42"/>
      <c r="NRL3" s="42"/>
      <c r="NRM3" s="42"/>
      <c r="NRN3" s="42"/>
      <c r="NRO3" s="42"/>
      <c r="NRP3" s="42"/>
      <c r="NRQ3" s="42"/>
      <c r="NRR3" s="42"/>
      <c r="NRS3" s="42"/>
      <c r="NRT3" s="42"/>
      <c r="NRU3" s="42"/>
      <c r="NRV3" s="42"/>
      <c r="NRW3" s="42"/>
      <c r="NRX3" s="42"/>
      <c r="NRY3" s="42"/>
      <c r="NRZ3" s="42"/>
      <c r="NSA3" s="42"/>
      <c r="NSB3" s="42"/>
      <c r="NSC3" s="42"/>
      <c r="NSD3" s="42"/>
      <c r="NSE3" s="42"/>
      <c r="NSF3" s="42"/>
      <c r="NSG3" s="42"/>
      <c r="NSH3" s="42"/>
      <c r="NSI3" s="42"/>
      <c r="NSJ3" s="42"/>
      <c r="NSK3" s="42"/>
      <c r="NSL3" s="42"/>
      <c r="NSM3" s="42"/>
      <c r="NSN3" s="42"/>
      <c r="NSO3" s="42"/>
      <c r="NSP3" s="42"/>
      <c r="NSQ3" s="42"/>
      <c r="NSR3" s="42"/>
      <c r="NSS3" s="42"/>
      <c r="NST3" s="42"/>
      <c r="NSU3" s="42"/>
      <c r="NSV3" s="42"/>
      <c r="NSW3" s="42"/>
      <c r="NSX3" s="42"/>
      <c r="NSY3" s="42"/>
      <c r="NSZ3" s="42"/>
      <c r="NTA3" s="42"/>
      <c r="NTB3" s="42"/>
      <c r="NTC3" s="42"/>
      <c r="NTD3" s="42"/>
      <c r="NTE3" s="42"/>
      <c r="NTF3" s="42"/>
      <c r="NTG3" s="42"/>
      <c r="NTH3" s="42"/>
      <c r="NTI3" s="42"/>
      <c r="NTJ3" s="42"/>
      <c r="NTK3" s="42"/>
      <c r="NTL3" s="42"/>
      <c r="NTM3" s="42"/>
      <c r="NTN3" s="42"/>
      <c r="NTO3" s="42"/>
      <c r="NTP3" s="42"/>
      <c r="NTQ3" s="42"/>
      <c r="NTR3" s="42"/>
      <c r="NTS3" s="42"/>
      <c r="NTT3" s="42"/>
      <c r="NTU3" s="42"/>
      <c r="NTV3" s="42"/>
      <c r="NTW3" s="42"/>
      <c r="NTX3" s="42"/>
      <c r="NTY3" s="42"/>
      <c r="NTZ3" s="42"/>
      <c r="NUA3" s="42"/>
      <c r="NUB3" s="42"/>
      <c r="NUC3" s="42"/>
      <c r="NUD3" s="42"/>
      <c r="NUE3" s="42"/>
      <c r="NUF3" s="42"/>
      <c r="NUG3" s="42"/>
      <c r="NUH3" s="42"/>
      <c r="NUI3" s="42"/>
      <c r="NUJ3" s="42"/>
      <c r="NUK3" s="42"/>
      <c r="NUL3" s="42"/>
      <c r="NUM3" s="42"/>
      <c r="NUN3" s="42"/>
      <c r="NUO3" s="42"/>
      <c r="NUP3" s="42"/>
      <c r="NUQ3" s="42"/>
      <c r="NUR3" s="42"/>
      <c r="NUS3" s="42"/>
      <c r="NUT3" s="42"/>
      <c r="NUU3" s="42"/>
      <c r="NUV3" s="42"/>
      <c r="NUW3" s="42"/>
      <c r="NUX3" s="42"/>
      <c r="NUY3" s="42"/>
      <c r="NUZ3" s="42"/>
      <c r="NVA3" s="42"/>
      <c r="NVB3" s="42"/>
      <c r="NVC3" s="42"/>
      <c r="NVD3" s="42"/>
      <c r="NVE3" s="42"/>
      <c r="NVF3" s="42"/>
      <c r="NVG3" s="42"/>
      <c r="NVH3" s="42"/>
      <c r="NVI3" s="42"/>
      <c r="NVJ3" s="42"/>
      <c r="NVK3" s="42"/>
      <c r="NVL3" s="42"/>
      <c r="NVM3" s="42"/>
      <c r="NVN3" s="42"/>
      <c r="NVO3" s="42"/>
      <c r="NVP3" s="42"/>
      <c r="NVQ3" s="42"/>
      <c r="NVR3" s="42"/>
      <c r="NVS3" s="42"/>
      <c r="NVT3" s="42"/>
      <c r="NVU3" s="42"/>
      <c r="NVV3" s="42"/>
      <c r="NVW3" s="42"/>
      <c r="NVX3" s="42"/>
      <c r="NVY3" s="42"/>
      <c r="NVZ3" s="42"/>
      <c r="NWA3" s="42"/>
      <c r="NWB3" s="42"/>
      <c r="NWC3" s="42"/>
      <c r="NWD3" s="42"/>
      <c r="NWE3" s="42"/>
      <c r="NWF3" s="42"/>
      <c r="NWG3" s="42"/>
      <c r="NWH3" s="42"/>
      <c r="NWI3" s="42"/>
      <c r="NWJ3" s="42"/>
      <c r="NWK3" s="42"/>
      <c r="NWL3" s="42"/>
      <c r="NWM3" s="42"/>
      <c r="NWN3" s="42"/>
      <c r="NWO3" s="42"/>
      <c r="NWP3" s="42"/>
      <c r="NWQ3" s="42"/>
      <c r="NWR3" s="42"/>
      <c r="NWS3" s="42"/>
      <c r="NWT3" s="42"/>
      <c r="NWU3" s="42"/>
      <c r="NWV3" s="42"/>
      <c r="NWW3" s="42"/>
      <c r="NWX3" s="42"/>
      <c r="NWY3" s="42"/>
      <c r="NWZ3" s="42"/>
      <c r="NXA3" s="42"/>
      <c r="NXB3" s="42"/>
      <c r="NXC3" s="42"/>
      <c r="NXD3" s="42"/>
      <c r="NXE3" s="42"/>
      <c r="NXF3" s="42"/>
      <c r="NXG3" s="42"/>
      <c r="NXH3" s="42"/>
      <c r="NXI3" s="42"/>
      <c r="NXJ3" s="42"/>
      <c r="NXK3" s="42"/>
      <c r="NXL3" s="42"/>
      <c r="NXM3" s="42"/>
      <c r="NXN3" s="42"/>
      <c r="NXO3" s="42"/>
      <c r="NXP3" s="42"/>
      <c r="NXQ3" s="42"/>
      <c r="NXR3" s="42"/>
      <c r="NXS3" s="42"/>
      <c r="NXT3" s="42"/>
      <c r="NXU3" s="42"/>
      <c r="NXV3" s="42"/>
      <c r="NXW3" s="42"/>
      <c r="NXX3" s="42"/>
      <c r="NXY3" s="42"/>
      <c r="NXZ3" s="42"/>
      <c r="NYA3" s="42"/>
      <c r="NYB3" s="42"/>
      <c r="NYC3" s="42"/>
      <c r="NYD3" s="42"/>
      <c r="NYE3" s="42"/>
      <c r="NYF3" s="42"/>
      <c r="NYG3" s="42"/>
      <c r="NYH3" s="42"/>
      <c r="NYI3" s="42"/>
      <c r="NYJ3" s="42"/>
      <c r="NYK3" s="42"/>
      <c r="NYL3" s="42"/>
      <c r="NYM3" s="42"/>
      <c r="NYN3" s="42"/>
      <c r="NYO3" s="42"/>
      <c r="NYP3" s="42"/>
      <c r="NYQ3" s="42"/>
      <c r="NYR3" s="42"/>
      <c r="NYS3" s="42"/>
      <c r="NYT3" s="42"/>
      <c r="NYU3" s="42"/>
      <c r="NYV3" s="42"/>
      <c r="NYW3" s="42"/>
      <c r="NYX3" s="42"/>
      <c r="NYY3" s="42"/>
      <c r="NYZ3" s="42"/>
      <c r="NZA3" s="42"/>
      <c r="NZB3" s="42"/>
      <c r="NZC3" s="42"/>
      <c r="NZD3" s="42"/>
      <c r="NZE3" s="42"/>
      <c r="NZF3" s="42"/>
      <c r="NZG3" s="42"/>
      <c r="NZH3" s="42"/>
      <c r="NZI3" s="42"/>
      <c r="NZJ3" s="42"/>
      <c r="NZK3" s="42"/>
      <c r="NZL3" s="42"/>
      <c r="NZM3" s="42"/>
      <c r="NZN3" s="42"/>
      <c r="NZO3" s="42"/>
      <c r="NZP3" s="42"/>
      <c r="NZQ3" s="42"/>
      <c r="NZR3" s="42"/>
      <c r="NZS3" s="42"/>
      <c r="NZT3" s="42"/>
      <c r="NZU3" s="42"/>
      <c r="NZV3" s="42"/>
      <c r="NZW3" s="42"/>
      <c r="NZX3" s="42"/>
      <c r="NZY3" s="42"/>
      <c r="NZZ3" s="42"/>
      <c r="OAA3" s="42"/>
      <c r="OAB3" s="42"/>
      <c r="OAC3" s="42"/>
      <c r="OAD3" s="42"/>
      <c r="OAE3" s="42"/>
      <c r="OAF3" s="42"/>
      <c r="OAG3" s="42"/>
      <c r="OAH3" s="42"/>
      <c r="OAI3" s="42"/>
      <c r="OAJ3" s="42"/>
      <c r="OAK3" s="42"/>
      <c r="OAL3" s="42"/>
      <c r="OAM3" s="42"/>
      <c r="OAN3" s="42"/>
      <c r="OAO3" s="42"/>
      <c r="OAP3" s="42"/>
      <c r="OAQ3" s="42"/>
      <c r="OAR3" s="42"/>
      <c r="OAS3" s="42"/>
      <c r="OAT3" s="42"/>
      <c r="OAU3" s="42"/>
      <c r="OAV3" s="42"/>
      <c r="OAW3" s="42"/>
      <c r="OAX3" s="42"/>
      <c r="OAY3" s="42"/>
      <c r="OAZ3" s="42"/>
      <c r="OBA3" s="42"/>
      <c r="OBB3" s="42"/>
      <c r="OBC3" s="42"/>
      <c r="OBD3" s="42"/>
      <c r="OBE3" s="42"/>
      <c r="OBF3" s="42"/>
      <c r="OBG3" s="42"/>
      <c r="OBH3" s="42"/>
      <c r="OBI3" s="42"/>
      <c r="OBJ3" s="42"/>
      <c r="OBK3" s="42"/>
      <c r="OBL3" s="42"/>
      <c r="OBM3" s="42"/>
      <c r="OBN3" s="42"/>
      <c r="OBO3" s="42"/>
      <c r="OBP3" s="42"/>
      <c r="OBQ3" s="42"/>
      <c r="OBR3" s="42"/>
      <c r="OBS3" s="42"/>
      <c r="OBT3" s="42"/>
      <c r="OBU3" s="42"/>
      <c r="OBV3" s="42"/>
      <c r="OBW3" s="42"/>
      <c r="OBX3" s="42"/>
      <c r="OBY3" s="42"/>
      <c r="OBZ3" s="42"/>
      <c r="OCA3" s="42"/>
      <c r="OCB3" s="42"/>
      <c r="OCC3" s="42"/>
      <c r="OCD3" s="42"/>
      <c r="OCE3" s="42"/>
      <c r="OCF3" s="42"/>
      <c r="OCG3" s="42"/>
      <c r="OCH3" s="42"/>
      <c r="OCI3" s="42"/>
      <c r="OCJ3" s="42"/>
      <c r="OCK3" s="42"/>
      <c r="OCL3" s="42"/>
      <c r="OCM3" s="42"/>
      <c r="OCN3" s="42"/>
      <c r="OCO3" s="42"/>
      <c r="OCP3" s="42"/>
      <c r="OCQ3" s="42"/>
      <c r="OCR3" s="42"/>
      <c r="OCS3" s="42"/>
      <c r="OCT3" s="42"/>
      <c r="OCU3" s="42"/>
      <c r="OCV3" s="42"/>
      <c r="OCW3" s="42"/>
      <c r="OCX3" s="42"/>
      <c r="OCY3" s="42"/>
      <c r="OCZ3" s="42"/>
      <c r="ODA3" s="42"/>
      <c r="ODB3" s="42"/>
      <c r="ODC3" s="42"/>
      <c r="ODD3" s="42"/>
      <c r="ODE3" s="42"/>
      <c r="ODF3" s="42"/>
      <c r="ODG3" s="42"/>
      <c r="ODH3" s="42"/>
      <c r="ODI3" s="42"/>
      <c r="ODJ3" s="42"/>
      <c r="ODK3" s="42"/>
      <c r="ODL3" s="42"/>
      <c r="ODM3" s="42"/>
      <c r="ODN3" s="42"/>
      <c r="ODO3" s="42"/>
      <c r="ODP3" s="42"/>
      <c r="ODQ3" s="42"/>
      <c r="ODR3" s="42"/>
      <c r="ODS3" s="42"/>
      <c r="ODT3" s="42"/>
      <c r="ODU3" s="42"/>
      <c r="ODV3" s="42"/>
      <c r="ODW3" s="42"/>
      <c r="ODX3" s="42"/>
      <c r="ODY3" s="42"/>
      <c r="ODZ3" s="42"/>
      <c r="OEA3" s="42"/>
      <c r="OEB3" s="42"/>
      <c r="OEC3" s="42"/>
      <c r="OED3" s="42"/>
      <c r="OEE3" s="42"/>
      <c r="OEF3" s="42"/>
      <c r="OEG3" s="42"/>
      <c r="OEH3" s="42"/>
      <c r="OEI3" s="42"/>
      <c r="OEJ3" s="42"/>
      <c r="OEK3" s="42"/>
      <c r="OEL3" s="42"/>
      <c r="OEM3" s="42"/>
      <c r="OEN3" s="42"/>
      <c r="OEO3" s="42"/>
      <c r="OEP3" s="42"/>
      <c r="OEQ3" s="42"/>
      <c r="OER3" s="42"/>
      <c r="OES3" s="42"/>
      <c r="OET3" s="42"/>
      <c r="OEU3" s="42"/>
      <c r="OEV3" s="42"/>
      <c r="OEW3" s="42"/>
      <c r="OEX3" s="42"/>
      <c r="OEY3" s="42"/>
      <c r="OEZ3" s="42"/>
      <c r="OFA3" s="42"/>
      <c r="OFB3" s="42"/>
      <c r="OFC3" s="42"/>
      <c r="OFD3" s="42"/>
      <c r="OFE3" s="42"/>
      <c r="OFF3" s="42"/>
      <c r="OFG3" s="42"/>
      <c r="OFH3" s="42"/>
      <c r="OFI3" s="42"/>
      <c r="OFJ3" s="42"/>
      <c r="OFK3" s="42"/>
      <c r="OFL3" s="42"/>
      <c r="OFM3" s="42"/>
      <c r="OFN3" s="42"/>
      <c r="OFO3" s="42"/>
      <c r="OFP3" s="42"/>
      <c r="OFQ3" s="42"/>
      <c r="OFR3" s="42"/>
      <c r="OFS3" s="42"/>
      <c r="OFT3" s="42"/>
      <c r="OFU3" s="42"/>
      <c r="OFV3" s="42"/>
      <c r="OFW3" s="42"/>
      <c r="OFX3" s="42"/>
      <c r="OFY3" s="42"/>
      <c r="OFZ3" s="42"/>
      <c r="OGA3" s="42"/>
      <c r="OGB3" s="42"/>
      <c r="OGC3" s="42"/>
      <c r="OGD3" s="42"/>
      <c r="OGE3" s="42"/>
      <c r="OGF3" s="42"/>
      <c r="OGG3" s="42"/>
      <c r="OGH3" s="42"/>
      <c r="OGI3" s="42"/>
      <c r="OGJ3" s="42"/>
      <c r="OGK3" s="42"/>
      <c r="OGL3" s="42"/>
      <c r="OGM3" s="42"/>
      <c r="OGN3" s="42"/>
      <c r="OGO3" s="42"/>
      <c r="OGP3" s="42"/>
      <c r="OGQ3" s="42"/>
      <c r="OGR3" s="42"/>
      <c r="OGS3" s="42"/>
      <c r="OGT3" s="42"/>
      <c r="OGU3" s="42"/>
      <c r="OGV3" s="42"/>
      <c r="OGW3" s="42"/>
      <c r="OGX3" s="42"/>
      <c r="OGY3" s="42"/>
      <c r="OGZ3" s="42"/>
      <c r="OHA3" s="42"/>
      <c r="OHB3" s="42"/>
      <c r="OHC3" s="42"/>
      <c r="OHD3" s="42"/>
      <c r="OHE3" s="42"/>
      <c r="OHF3" s="42"/>
      <c r="OHG3" s="42"/>
      <c r="OHH3" s="42"/>
      <c r="OHI3" s="42"/>
      <c r="OHJ3" s="42"/>
      <c r="OHK3" s="42"/>
      <c r="OHL3" s="42"/>
      <c r="OHM3" s="42"/>
      <c r="OHN3" s="42"/>
      <c r="OHO3" s="42"/>
      <c r="OHP3" s="42"/>
      <c r="OHQ3" s="42"/>
      <c r="OHR3" s="42"/>
      <c r="OHS3" s="42"/>
      <c r="OHT3" s="42"/>
      <c r="OHU3" s="42"/>
      <c r="OHV3" s="42"/>
      <c r="OHW3" s="42"/>
      <c r="OHX3" s="42"/>
      <c r="OHY3" s="42"/>
      <c r="OHZ3" s="42"/>
      <c r="OIA3" s="42"/>
      <c r="OIB3" s="42"/>
      <c r="OIC3" s="42"/>
      <c r="OID3" s="42"/>
      <c r="OIE3" s="42"/>
      <c r="OIF3" s="42"/>
      <c r="OIG3" s="42"/>
      <c r="OIH3" s="42"/>
      <c r="OII3" s="42"/>
      <c r="OIJ3" s="42"/>
      <c r="OIK3" s="42"/>
      <c r="OIL3" s="42"/>
      <c r="OIM3" s="42"/>
      <c r="OIN3" s="42"/>
      <c r="OIO3" s="42"/>
      <c r="OIP3" s="42"/>
      <c r="OIQ3" s="42"/>
      <c r="OIR3" s="42"/>
      <c r="OIS3" s="42"/>
      <c r="OIT3" s="42"/>
      <c r="OIU3" s="42"/>
      <c r="OIV3" s="42"/>
      <c r="OIW3" s="42"/>
      <c r="OIX3" s="42"/>
      <c r="OIY3" s="42"/>
      <c r="OIZ3" s="42"/>
      <c r="OJA3" s="42"/>
      <c r="OJB3" s="42"/>
      <c r="OJC3" s="42"/>
      <c r="OJD3" s="42"/>
      <c r="OJE3" s="42"/>
      <c r="OJF3" s="42"/>
      <c r="OJG3" s="42"/>
      <c r="OJH3" s="42"/>
      <c r="OJI3" s="42"/>
      <c r="OJJ3" s="42"/>
      <c r="OJK3" s="42"/>
      <c r="OJL3" s="42"/>
      <c r="OJM3" s="42"/>
      <c r="OJN3" s="42"/>
      <c r="OJO3" s="42"/>
      <c r="OJP3" s="42"/>
      <c r="OJQ3" s="42"/>
      <c r="OJR3" s="42"/>
      <c r="OJS3" s="42"/>
      <c r="OJT3" s="42"/>
      <c r="OJU3" s="42"/>
      <c r="OJV3" s="42"/>
      <c r="OJW3" s="42"/>
      <c r="OJX3" s="42"/>
      <c r="OJY3" s="42"/>
      <c r="OJZ3" s="42"/>
      <c r="OKA3" s="42"/>
      <c r="OKB3" s="42"/>
      <c r="OKC3" s="42"/>
      <c r="OKD3" s="42"/>
      <c r="OKE3" s="42"/>
      <c r="OKF3" s="42"/>
      <c r="OKG3" s="42"/>
      <c r="OKH3" s="42"/>
      <c r="OKI3" s="42"/>
      <c r="OKJ3" s="42"/>
      <c r="OKK3" s="42"/>
      <c r="OKL3" s="42"/>
      <c r="OKM3" s="42"/>
      <c r="OKN3" s="42"/>
      <c r="OKO3" s="42"/>
      <c r="OKP3" s="42"/>
      <c r="OKQ3" s="42"/>
      <c r="OKR3" s="42"/>
      <c r="OKS3" s="42"/>
      <c r="OKT3" s="42"/>
      <c r="OKU3" s="42"/>
      <c r="OKV3" s="42"/>
      <c r="OKW3" s="42"/>
      <c r="OKX3" s="42"/>
      <c r="OKY3" s="42"/>
      <c r="OKZ3" s="42"/>
      <c r="OLA3" s="42"/>
      <c r="OLB3" s="42"/>
      <c r="OLC3" s="42"/>
      <c r="OLD3" s="42"/>
      <c r="OLE3" s="42"/>
      <c r="OLF3" s="42"/>
      <c r="OLG3" s="42"/>
      <c r="OLH3" s="42"/>
      <c r="OLI3" s="42"/>
      <c r="OLJ3" s="42"/>
      <c r="OLK3" s="42"/>
      <c r="OLL3" s="42"/>
      <c r="OLM3" s="42"/>
      <c r="OLN3" s="42"/>
      <c r="OLO3" s="42"/>
      <c r="OLP3" s="42"/>
      <c r="OLQ3" s="42"/>
      <c r="OLR3" s="42"/>
      <c r="OLS3" s="42"/>
      <c r="OLT3" s="42"/>
      <c r="OLU3" s="42"/>
      <c r="OLV3" s="42"/>
      <c r="OLW3" s="42"/>
      <c r="OLX3" s="42"/>
      <c r="OLY3" s="42"/>
      <c r="OLZ3" s="42"/>
      <c r="OMA3" s="42"/>
      <c r="OMB3" s="42"/>
      <c r="OMC3" s="42"/>
      <c r="OMD3" s="42"/>
      <c r="OME3" s="42"/>
      <c r="OMF3" s="42"/>
      <c r="OMG3" s="42"/>
      <c r="OMH3" s="42"/>
      <c r="OMI3" s="42"/>
      <c r="OMJ3" s="42"/>
      <c r="OMK3" s="42"/>
      <c r="OML3" s="42"/>
      <c r="OMM3" s="42"/>
      <c r="OMN3" s="42"/>
      <c r="OMO3" s="42"/>
      <c r="OMP3" s="42"/>
      <c r="OMQ3" s="42"/>
      <c r="OMR3" s="42"/>
      <c r="OMS3" s="42"/>
      <c r="OMT3" s="42"/>
      <c r="OMU3" s="42"/>
      <c r="OMV3" s="42"/>
      <c r="OMW3" s="42"/>
      <c r="OMX3" s="42"/>
      <c r="OMY3" s="42"/>
      <c r="OMZ3" s="42"/>
      <c r="ONA3" s="42"/>
      <c r="ONB3" s="42"/>
      <c r="ONC3" s="42"/>
      <c r="OND3" s="42"/>
      <c r="ONE3" s="42"/>
      <c r="ONF3" s="42"/>
      <c r="ONG3" s="42"/>
      <c r="ONH3" s="42"/>
      <c r="ONI3" s="42"/>
      <c r="ONJ3" s="42"/>
      <c r="ONK3" s="42"/>
      <c r="ONL3" s="42"/>
      <c r="ONM3" s="42"/>
      <c r="ONN3" s="42"/>
      <c r="ONO3" s="42"/>
      <c r="ONP3" s="42"/>
      <c r="ONQ3" s="42"/>
      <c r="ONR3" s="42"/>
      <c r="ONS3" s="42"/>
      <c r="ONT3" s="42"/>
      <c r="ONU3" s="42"/>
      <c r="ONV3" s="42"/>
      <c r="ONW3" s="42"/>
      <c r="ONX3" s="42"/>
      <c r="ONY3" s="42"/>
      <c r="ONZ3" s="42"/>
      <c r="OOA3" s="42"/>
      <c r="OOB3" s="42"/>
      <c r="OOC3" s="42"/>
      <c r="OOD3" s="42"/>
      <c r="OOE3" s="42"/>
      <c r="OOF3" s="42"/>
      <c r="OOG3" s="42"/>
      <c r="OOH3" s="42"/>
      <c r="OOI3" s="42"/>
      <c r="OOJ3" s="42"/>
      <c r="OOK3" s="42"/>
      <c r="OOL3" s="42"/>
      <c r="OOM3" s="42"/>
      <c r="OON3" s="42"/>
      <c r="OOO3" s="42"/>
      <c r="OOP3" s="42"/>
      <c r="OOQ3" s="42"/>
      <c r="OOR3" s="42"/>
      <c r="OOS3" s="42"/>
      <c r="OOT3" s="42"/>
      <c r="OOU3" s="42"/>
      <c r="OOV3" s="42"/>
      <c r="OOW3" s="42"/>
      <c r="OOX3" s="42"/>
      <c r="OOY3" s="42"/>
      <c r="OOZ3" s="42"/>
      <c r="OPA3" s="42"/>
      <c r="OPB3" s="42"/>
      <c r="OPC3" s="42"/>
      <c r="OPD3" s="42"/>
      <c r="OPE3" s="42"/>
      <c r="OPF3" s="42"/>
      <c r="OPG3" s="42"/>
      <c r="OPH3" s="42"/>
      <c r="OPI3" s="42"/>
      <c r="OPJ3" s="42"/>
      <c r="OPK3" s="42"/>
      <c r="OPL3" s="42"/>
      <c r="OPM3" s="42"/>
      <c r="OPN3" s="42"/>
      <c r="OPO3" s="42"/>
      <c r="OPP3" s="42"/>
      <c r="OPQ3" s="42"/>
      <c r="OPR3" s="42"/>
      <c r="OPS3" s="42"/>
      <c r="OPT3" s="42"/>
      <c r="OPU3" s="42"/>
      <c r="OPV3" s="42"/>
      <c r="OPW3" s="42"/>
      <c r="OPX3" s="42"/>
      <c r="OPY3" s="42"/>
      <c r="OPZ3" s="42"/>
      <c r="OQA3" s="42"/>
      <c r="OQB3" s="42"/>
      <c r="OQC3" s="42"/>
      <c r="OQD3" s="42"/>
      <c r="OQE3" s="42"/>
      <c r="OQF3" s="42"/>
      <c r="OQG3" s="42"/>
      <c r="OQH3" s="42"/>
      <c r="OQI3" s="42"/>
      <c r="OQJ3" s="42"/>
      <c r="OQK3" s="42"/>
      <c r="OQL3" s="42"/>
      <c r="OQM3" s="42"/>
      <c r="OQN3" s="42"/>
      <c r="OQO3" s="42"/>
      <c r="OQP3" s="42"/>
      <c r="OQQ3" s="42"/>
      <c r="OQR3" s="42"/>
      <c r="OQS3" s="42"/>
      <c r="OQT3" s="42"/>
      <c r="OQU3" s="42"/>
      <c r="OQV3" s="42"/>
      <c r="OQW3" s="42"/>
      <c r="OQX3" s="42"/>
      <c r="OQY3" s="42"/>
      <c r="OQZ3" s="42"/>
      <c r="ORA3" s="42"/>
      <c r="ORB3" s="42"/>
      <c r="ORC3" s="42"/>
      <c r="ORD3" s="42"/>
      <c r="ORE3" s="42"/>
      <c r="ORF3" s="42"/>
      <c r="ORG3" s="42"/>
      <c r="ORH3" s="42"/>
      <c r="ORI3" s="42"/>
      <c r="ORJ3" s="42"/>
      <c r="ORK3" s="42"/>
      <c r="ORL3" s="42"/>
      <c r="ORM3" s="42"/>
      <c r="ORN3" s="42"/>
      <c r="ORO3" s="42"/>
      <c r="ORP3" s="42"/>
      <c r="ORQ3" s="42"/>
      <c r="ORR3" s="42"/>
      <c r="ORS3" s="42"/>
      <c r="ORT3" s="42"/>
      <c r="ORU3" s="42"/>
      <c r="ORV3" s="42"/>
      <c r="ORW3" s="42"/>
      <c r="ORX3" s="42"/>
      <c r="ORY3" s="42"/>
      <c r="ORZ3" s="42"/>
      <c r="OSA3" s="42"/>
      <c r="OSB3" s="42"/>
      <c r="OSC3" s="42"/>
      <c r="OSD3" s="42"/>
      <c r="OSE3" s="42"/>
      <c r="OSF3" s="42"/>
      <c r="OSG3" s="42"/>
      <c r="OSH3" s="42"/>
      <c r="OSI3" s="42"/>
      <c r="OSJ3" s="42"/>
      <c r="OSK3" s="42"/>
      <c r="OSL3" s="42"/>
      <c r="OSM3" s="42"/>
      <c r="OSN3" s="42"/>
      <c r="OSO3" s="42"/>
      <c r="OSP3" s="42"/>
      <c r="OSQ3" s="42"/>
      <c r="OSR3" s="42"/>
      <c r="OSS3" s="42"/>
      <c r="OST3" s="42"/>
      <c r="OSU3" s="42"/>
      <c r="OSV3" s="42"/>
      <c r="OSW3" s="42"/>
      <c r="OSX3" s="42"/>
      <c r="OSY3" s="42"/>
      <c r="OSZ3" s="42"/>
      <c r="OTA3" s="42"/>
      <c r="OTB3" s="42"/>
      <c r="OTC3" s="42"/>
      <c r="OTD3" s="42"/>
      <c r="OTE3" s="42"/>
      <c r="OTF3" s="42"/>
      <c r="OTG3" s="42"/>
      <c r="OTH3" s="42"/>
      <c r="OTI3" s="42"/>
      <c r="OTJ3" s="42"/>
      <c r="OTK3" s="42"/>
      <c r="OTL3" s="42"/>
      <c r="OTM3" s="42"/>
      <c r="OTN3" s="42"/>
      <c r="OTO3" s="42"/>
      <c r="OTP3" s="42"/>
      <c r="OTQ3" s="42"/>
      <c r="OTR3" s="42"/>
      <c r="OTS3" s="42"/>
      <c r="OTT3" s="42"/>
      <c r="OTU3" s="42"/>
      <c r="OTV3" s="42"/>
      <c r="OTW3" s="42"/>
      <c r="OTX3" s="42"/>
      <c r="OTY3" s="42"/>
      <c r="OTZ3" s="42"/>
      <c r="OUA3" s="42"/>
      <c r="OUB3" s="42"/>
      <c r="OUC3" s="42"/>
      <c r="OUD3" s="42"/>
      <c r="OUE3" s="42"/>
      <c r="OUF3" s="42"/>
      <c r="OUG3" s="42"/>
      <c r="OUH3" s="42"/>
      <c r="OUI3" s="42"/>
      <c r="OUJ3" s="42"/>
      <c r="OUK3" s="42"/>
      <c r="OUL3" s="42"/>
      <c r="OUM3" s="42"/>
      <c r="OUN3" s="42"/>
      <c r="OUO3" s="42"/>
      <c r="OUP3" s="42"/>
      <c r="OUQ3" s="42"/>
      <c r="OUR3" s="42"/>
      <c r="OUS3" s="42"/>
      <c r="OUT3" s="42"/>
      <c r="OUU3" s="42"/>
      <c r="OUV3" s="42"/>
      <c r="OUW3" s="42"/>
      <c r="OUX3" s="42"/>
      <c r="OUY3" s="42"/>
      <c r="OUZ3" s="42"/>
      <c r="OVA3" s="42"/>
      <c r="OVB3" s="42"/>
      <c r="OVC3" s="42"/>
      <c r="OVD3" s="42"/>
      <c r="OVE3" s="42"/>
      <c r="OVF3" s="42"/>
      <c r="OVG3" s="42"/>
      <c r="OVH3" s="42"/>
      <c r="OVI3" s="42"/>
      <c r="OVJ3" s="42"/>
      <c r="OVK3" s="42"/>
      <c r="OVL3" s="42"/>
      <c r="OVM3" s="42"/>
      <c r="OVN3" s="42"/>
      <c r="OVO3" s="42"/>
      <c r="OVP3" s="42"/>
      <c r="OVQ3" s="42"/>
      <c r="OVR3" s="42"/>
      <c r="OVS3" s="42"/>
      <c r="OVT3" s="42"/>
      <c r="OVU3" s="42"/>
      <c r="OVV3" s="42"/>
      <c r="OVW3" s="42"/>
      <c r="OVX3" s="42"/>
      <c r="OVY3" s="42"/>
      <c r="OVZ3" s="42"/>
      <c r="OWA3" s="42"/>
      <c r="OWB3" s="42"/>
      <c r="OWC3" s="42"/>
      <c r="OWD3" s="42"/>
      <c r="OWE3" s="42"/>
      <c r="OWF3" s="42"/>
      <c r="OWG3" s="42"/>
      <c r="OWH3" s="42"/>
      <c r="OWI3" s="42"/>
      <c r="OWJ3" s="42"/>
      <c r="OWK3" s="42"/>
      <c r="OWL3" s="42"/>
      <c r="OWM3" s="42"/>
      <c r="OWN3" s="42"/>
      <c r="OWO3" s="42"/>
      <c r="OWP3" s="42"/>
      <c r="OWQ3" s="42"/>
      <c r="OWR3" s="42"/>
      <c r="OWS3" s="42"/>
      <c r="OWT3" s="42"/>
      <c r="OWU3" s="42"/>
      <c r="OWV3" s="42"/>
      <c r="OWW3" s="42"/>
      <c r="OWX3" s="42"/>
      <c r="OWY3" s="42"/>
      <c r="OWZ3" s="42"/>
      <c r="OXA3" s="42"/>
      <c r="OXB3" s="42"/>
      <c r="OXC3" s="42"/>
      <c r="OXD3" s="42"/>
      <c r="OXE3" s="42"/>
      <c r="OXF3" s="42"/>
      <c r="OXG3" s="42"/>
      <c r="OXH3" s="42"/>
      <c r="OXI3" s="42"/>
      <c r="OXJ3" s="42"/>
      <c r="OXK3" s="42"/>
      <c r="OXL3" s="42"/>
      <c r="OXM3" s="42"/>
      <c r="OXN3" s="42"/>
      <c r="OXO3" s="42"/>
      <c r="OXP3" s="42"/>
      <c r="OXQ3" s="42"/>
      <c r="OXR3" s="42"/>
      <c r="OXS3" s="42"/>
      <c r="OXT3" s="42"/>
      <c r="OXU3" s="42"/>
      <c r="OXV3" s="42"/>
      <c r="OXW3" s="42"/>
      <c r="OXX3" s="42"/>
      <c r="OXY3" s="42"/>
      <c r="OXZ3" s="42"/>
      <c r="OYA3" s="42"/>
      <c r="OYB3" s="42"/>
      <c r="OYC3" s="42"/>
      <c r="OYD3" s="42"/>
      <c r="OYE3" s="42"/>
      <c r="OYF3" s="42"/>
      <c r="OYG3" s="42"/>
      <c r="OYH3" s="42"/>
      <c r="OYI3" s="42"/>
      <c r="OYJ3" s="42"/>
      <c r="OYK3" s="42"/>
      <c r="OYL3" s="42"/>
      <c r="OYM3" s="42"/>
      <c r="OYN3" s="42"/>
      <c r="OYO3" s="42"/>
      <c r="OYP3" s="42"/>
      <c r="OYQ3" s="42"/>
      <c r="OYR3" s="42"/>
      <c r="OYS3" s="42"/>
      <c r="OYT3" s="42"/>
      <c r="OYU3" s="42"/>
      <c r="OYV3" s="42"/>
      <c r="OYW3" s="42"/>
      <c r="OYX3" s="42"/>
      <c r="OYY3" s="42"/>
      <c r="OYZ3" s="42"/>
      <c r="OZA3" s="42"/>
      <c r="OZB3" s="42"/>
      <c r="OZC3" s="42"/>
      <c r="OZD3" s="42"/>
      <c r="OZE3" s="42"/>
      <c r="OZF3" s="42"/>
      <c r="OZG3" s="42"/>
      <c r="OZH3" s="42"/>
      <c r="OZI3" s="42"/>
      <c r="OZJ3" s="42"/>
      <c r="OZK3" s="42"/>
      <c r="OZL3" s="42"/>
      <c r="OZM3" s="42"/>
      <c r="OZN3" s="42"/>
      <c r="OZO3" s="42"/>
      <c r="OZP3" s="42"/>
      <c r="OZQ3" s="42"/>
      <c r="OZR3" s="42"/>
      <c r="OZS3" s="42"/>
      <c r="OZT3" s="42"/>
      <c r="OZU3" s="42"/>
      <c r="OZV3" s="42"/>
      <c r="OZW3" s="42"/>
      <c r="OZX3" s="42"/>
      <c r="OZY3" s="42"/>
      <c r="OZZ3" s="42"/>
      <c r="PAA3" s="42"/>
      <c r="PAB3" s="42"/>
      <c r="PAC3" s="42"/>
      <c r="PAD3" s="42"/>
      <c r="PAE3" s="42"/>
      <c r="PAF3" s="42"/>
      <c r="PAG3" s="42"/>
      <c r="PAH3" s="42"/>
      <c r="PAI3" s="42"/>
      <c r="PAJ3" s="42"/>
      <c r="PAK3" s="42"/>
      <c r="PAL3" s="42"/>
      <c r="PAM3" s="42"/>
      <c r="PAN3" s="42"/>
      <c r="PAO3" s="42"/>
      <c r="PAP3" s="42"/>
      <c r="PAQ3" s="42"/>
      <c r="PAR3" s="42"/>
      <c r="PAS3" s="42"/>
      <c r="PAT3" s="42"/>
      <c r="PAU3" s="42"/>
      <c r="PAV3" s="42"/>
      <c r="PAW3" s="42"/>
      <c r="PAX3" s="42"/>
      <c r="PAY3" s="42"/>
      <c r="PAZ3" s="42"/>
      <c r="PBA3" s="42"/>
      <c r="PBB3" s="42"/>
      <c r="PBC3" s="42"/>
      <c r="PBD3" s="42"/>
      <c r="PBE3" s="42"/>
      <c r="PBF3" s="42"/>
      <c r="PBG3" s="42"/>
      <c r="PBH3" s="42"/>
      <c r="PBI3" s="42"/>
      <c r="PBJ3" s="42"/>
      <c r="PBK3" s="42"/>
      <c r="PBL3" s="42"/>
      <c r="PBM3" s="42"/>
      <c r="PBN3" s="42"/>
      <c r="PBO3" s="42"/>
      <c r="PBP3" s="42"/>
      <c r="PBQ3" s="42"/>
      <c r="PBR3" s="42"/>
      <c r="PBS3" s="42"/>
      <c r="PBT3" s="42"/>
      <c r="PBU3" s="42"/>
      <c r="PBV3" s="42"/>
      <c r="PBW3" s="42"/>
      <c r="PBX3" s="42"/>
      <c r="PBY3" s="42"/>
      <c r="PBZ3" s="42"/>
      <c r="PCA3" s="42"/>
      <c r="PCB3" s="42"/>
      <c r="PCC3" s="42"/>
      <c r="PCD3" s="42"/>
      <c r="PCE3" s="42"/>
      <c r="PCF3" s="42"/>
      <c r="PCG3" s="42"/>
      <c r="PCH3" s="42"/>
      <c r="PCI3" s="42"/>
      <c r="PCJ3" s="42"/>
      <c r="PCK3" s="42"/>
      <c r="PCL3" s="42"/>
      <c r="PCM3" s="42"/>
      <c r="PCN3" s="42"/>
      <c r="PCO3" s="42"/>
      <c r="PCP3" s="42"/>
      <c r="PCQ3" s="42"/>
      <c r="PCR3" s="42"/>
      <c r="PCS3" s="42"/>
      <c r="PCT3" s="42"/>
      <c r="PCU3" s="42"/>
      <c r="PCV3" s="42"/>
      <c r="PCW3" s="42"/>
      <c r="PCX3" s="42"/>
      <c r="PCY3" s="42"/>
      <c r="PCZ3" s="42"/>
      <c r="PDA3" s="42"/>
      <c r="PDB3" s="42"/>
      <c r="PDC3" s="42"/>
      <c r="PDD3" s="42"/>
      <c r="PDE3" s="42"/>
      <c r="PDF3" s="42"/>
      <c r="PDG3" s="42"/>
      <c r="PDH3" s="42"/>
      <c r="PDI3" s="42"/>
      <c r="PDJ3" s="42"/>
      <c r="PDK3" s="42"/>
      <c r="PDL3" s="42"/>
      <c r="PDM3" s="42"/>
      <c r="PDN3" s="42"/>
      <c r="PDO3" s="42"/>
      <c r="PDP3" s="42"/>
      <c r="PDQ3" s="42"/>
      <c r="PDR3" s="42"/>
      <c r="PDS3" s="42"/>
      <c r="PDT3" s="42"/>
      <c r="PDU3" s="42"/>
      <c r="PDV3" s="42"/>
      <c r="PDW3" s="42"/>
      <c r="PDX3" s="42"/>
      <c r="PDY3" s="42"/>
      <c r="PDZ3" s="42"/>
      <c r="PEA3" s="42"/>
      <c r="PEB3" s="42"/>
      <c r="PEC3" s="42"/>
      <c r="PED3" s="42"/>
      <c r="PEE3" s="42"/>
      <c r="PEF3" s="42"/>
      <c r="PEG3" s="42"/>
      <c r="PEH3" s="42"/>
      <c r="PEI3" s="42"/>
      <c r="PEJ3" s="42"/>
      <c r="PEK3" s="42"/>
      <c r="PEL3" s="42"/>
      <c r="PEM3" s="42"/>
      <c r="PEN3" s="42"/>
      <c r="PEO3" s="42"/>
      <c r="PEP3" s="42"/>
      <c r="PEQ3" s="42"/>
      <c r="PER3" s="42"/>
      <c r="PES3" s="42"/>
      <c r="PET3" s="42"/>
      <c r="PEU3" s="42"/>
      <c r="PEV3" s="42"/>
      <c r="PEW3" s="42"/>
      <c r="PEX3" s="42"/>
      <c r="PEY3" s="42"/>
      <c r="PEZ3" s="42"/>
      <c r="PFA3" s="42"/>
      <c r="PFB3" s="42"/>
      <c r="PFC3" s="42"/>
      <c r="PFD3" s="42"/>
      <c r="PFE3" s="42"/>
      <c r="PFF3" s="42"/>
      <c r="PFG3" s="42"/>
      <c r="PFH3" s="42"/>
      <c r="PFI3" s="42"/>
      <c r="PFJ3" s="42"/>
      <c r="PFK3" s="42"/>
      <c r="PFL3" s="42"/>
      <c r="PFM3" s="42"/>
      <c r="PFN3" s="42"/>
      <c r="PFO3" s="42"/>
      <c r="PFP3" s="42"/>
      <c r="PFQ3" s="42"/>
      <c r="PFR3" s="42"/>
      <c r="PFS3" s="42"/>
      <c r="PFT3" s="42"/>
      <c r="PFU3" s="42"/>
      <c r="PFV3" s="42"/>
      <c r="PFW3" s="42"/>
      <c r="PFX3" s="42"/>
      <c r="PFY3" s="42"/>
      <c r="PFZ3" s="42"/>
      <c r="PGA3" s="42"/>
      <c r="PGB3" s="42"/>
      <c r="PGC3" s="42"/>
      <c r="PGD3" s="42"/>
      <c r="PGE3" s="42"/>
      <c r="PGF3" s="42"/>
      <c r="PGG3" s="42"/>
      <c r="PGH3" s="42"/>
      <c r="PGI3" s="42"/>
      <c r="PGJ3" s="42"/>
      <c r="PGK3" s="42"/>
      <c r="PGL3" s="42"/>
      <c r="PGM3" s="42"/>
      <c r="PGN3" s="42"/>
      <c r="PGO3" s="42"/>
      <c r="PGP3" s="42"/>
      <c r="PGQ3" s="42"/>
      <c r="PGR3" s="42"/>
      <c r="PGS3" s="42"/>
      <c r="PGT3" s="42"/>
      <c r="PGU3" s="42"/>
      <c r="PGV3" s="42"/>
      <c r="PGW3" s="42"/>
      <c r="PGX3" s="42"/>
      <c r="PGY3" s="42"/>
      <c r="PGZ3" s="42"/>
      <c r="PHA3" s="42"/>
      <c r="PHB3" s="42"/>
      <c r="PHC3" s="42"/>
      <c r="PHD3" s="42"/>
      <c r="PHE3" s="42"/>
      <c r="PHF3" s="42"/>
      <c r="PHG3" s="42"/>
      <c r="PHH3" s="42"/>
      <c r="PHI3" s="42"/>
      <c r="PHJ3" s="42"/>
      <c r="PHK3" s="42"/>
      <c r="PHL3" s="42"/>
      <c r="PHM3" s="42"/>
      <c r="PHN3" s="42"/>
      <c r="PHO3" s="42"/>
      <c r="PHP3" s="42"/>
      <c r="PHQ3" s="42"/>
      <c r="PHR3" s="42"/>
      <c r="PHS3" s="42"/>
      <c r="PHT3" s="42"/>
      <c r="PHU3" s="42"/>
      <c r="PHV3" s="42"/>
      <c r="PHW3" s="42"/>
      <c r="PHX3" s="42"/>
      <c r="PHY3" s="42"/>
      <c r="PHZ3" s="42"/>
      <c r="PIA3" s="42"/>
      <c r="PIB3" s="42"/>
      <c r="PIC3" s="42"/>
      <c r="PID3" s="42"/>
      <c r="PIE3" s="42"/>
      <c r="PIF3" s="42"/>
      <c r="PIG3" s="42"/>
      <c r="PIH3" s="42"/>
      <c r="PII3" s="42"/>
      <c r="PIJ3" s="42"/>
      <c r="PIK3" s="42"/>
      <c r="PIL3" s="42"/>
      <c r="PIM3" s="42"/>
      <c r="PIN3" s="42"/>
      <c r="PIO3" s="42"/>
      <c r="PIP3" s="42"/>
      <c r="PIQ3" s="42"/>
      <c r="PIR3" s="42"/>
      <c r="PIS3" s="42"/>
      <c r="PIT3" s="42"/>
      <c r="PIU3" s="42"/>
      <c r="PIV3" s="42"/>
      <c r="PIW3" s="42"/>
      <c r="PIX3" s="42"/>
      <c r="PIY3" s="42"/>
      <c r="PIZ3" s="42"/>
      <c r="PJA3" s="42"/>
      <c r="PJB3" s="42"/>
      <c r="PJC3" s="42"/>
      <c r="PJD3" s="42"/>
      <c r="PJE3" s="42"/>
      <c r="PJF3" s="42"/>
      <c r="PJG3" s="42"/>
      <c r="PJH3" s="42"/>
      <c r="PJI3" s="42"/>
      <c r="PJJ3" s="42"/>
      <c r="PJK3" s="42"/>
      <c r="PJL3" s="42"/>
      <c r="PJM3" s="42"/>
      <c r="PJN3" s="42"/>
      <c r="PJO3" s="42"/>
      <c r="PJP3" s="42"/>
      <c r="PJQ3" s="42"/>
      <c r="PJR3" s="42"/>
      <c r="PJS3" s="42"/>
      <c r="PJT3" s="42"/>
      <c r="PJU3" s="42"/>
      <c r="PJV3" s="42"/>
      <c r="PJW3" s="42"/>
      <c r="PJX3" s="42"/>
      <c r="PJY3" s="42"/>
      <c r="PJZ3" s="42"/>
      <c r="PKA3" s="42"/>
      <c r="PKB3" s="42"/>
      <c r="PKC3" s="42"/>
      <c r="PKD3" s="42"/>
      <c r="PKE3" s="42"/>
      <c r="PKF3" s="42"/>
      <c r="PKG3" s="42"/>
      <c r="PKH3" s="42"/>
      <c r="PKI3" s="42"/>
      <c r="PKJ3" s="42"/>
      <c r="PKK3" s="42"/>
      <c r="PKL3" s="42"/>
      <c r="PKM3" s="42"/>
      <c r="PKN3" s="42"/>
      <c r="PKO3" s="42"/>
      <c r="PKP3" s="42"/>
      <c r="PKQ3" s="42"/>
      <c r="PKR3" s="42"/>
      <c r="PKS3" s="42"/>
      <c r="PKT3" s="42"/>
      <c r="PKU3" s="42"/>
      <c r="PKV3" s="42"/>
      <c r="PKW3" s="42"/>
      <c r="PKX3" s="42"/>
      <c r="PKY3" s="42"/>
      <c r="PKZ3" s="42"/>
      <c r="PLA3" s="42"/>
      <c r="PLB3" s="42"/>
      <c r="PLC3" s="42"/>
      <c r="PLD3" s="42"/>
      <c r="PLE3" s="42"/>
      <c r="PLF3" s="42"/>
      <c r="PLG3" s="42"/>
      <c r="PLH3" s="42"/>
      <c r="PLI3" s="42"/>
      <c r="PLJ3" s="42"/>
      <c r="PLK3" s="42"/>
      <c r="PLL3" s="42"/>
      <c r="PLM3" s="42"/>
      <c r="PLN3" s="42"/>
      <c r="PLO3" s="42"/>
      <c r="PLP3" s="42"/>
      <c r="PLQ3" s="42"/>
      <c r="PLR3" s="42"/>
      <c r="PLS3" s="42"/>
      <c r="PLT3" s="42"/>
      <c r="PLU3" s="42"/>
      <c r="PLV3" s="42"/>
      <c r="PLW3" s="42"/>
      <c r="PLX3" s="42"/>
      <c r="PLY3" s="42"/>
      <c r="PLZ3" s="42"/>
      <c r="PMA3" s="42"/>
      <c r="PMB3" s="42"/>
      <c r="PMC3" s="42"/>
      <c r="PMD3" s="42"/>
      <c r="PME3" s="42"/>
      <c r="PMF3" s="42"/>
      <c r="PMG3" s="42"/>
      <c r="PMH3" s="42"/>
      <c r="PMI3" s="42"/>
      <c r="PMJ3" s="42"/>
      <c r="PMK3" s="42"/>
      <c r="PML3" s="42"/>
      <c r="PMM3" s="42"/>
      <c r="PMN3" s="42"/>
      <c r="PMO3" s="42"/>
      <c r="PMP3" s="42"/>
      <c r="PMQ3" s="42"/>
      <c r="PMR3" s="42"/>
      <c r="PMS3" s="42"/>
      <c r="PMT3" s="42"/>
      <c r="PMU3" s="42"/>
      <c r="PMV3" s="42"/>
      <c r="PMW3" s="42"/>
      <c r="PMX3" s="42"/>
      <c r="PMY3" s="42"/>
      <c r="PMZ3" s="42"/>
      <c r="PNA3" s="42"/>
      <c r="PNB3" s="42"/>
      <c r="PNC3" s="42"/>
      <c r="PND3" s="42"/>
      <c r="PNE3" s="42"/>
      <c r="PNF3" s="42"/>
      <c r="PNG3" s="42"/>
      <c r="PNH3" s="42"/>
      <c r="PNI3" s="42"/>
      <c r="PNJ3" s="42"/>
      <c r="PNK3" s="42"/>
      <c r="PNL3" s="42"/>
      <c r="PNM3" s="42"/>
      <c r="PNN3" s="42"/>
      <c r="PNO3" s="42"/>
      <c r="PNP3" s="42"/>
      <c r="PNQ3" s="42"/>
      <c r="PNR3" s="42"/>
      <c r="PNS3" s="42"/>
      <c r="PNT3" s="42"/>
      <c r="PNU3" s="42"/>
      <c r="PNV3" s="42"/>
      <c r="PNW3" s="42"/>
      <c r="PNX3" s="42"/>
      <c r="PNY3" s="42"/>
      <c r="PNZ3" s="42"/>
      <c r="POA3" s="42"/>
      <c r="POB3" s="42"/>
      <c r="POC3" s="42"/>
      <c r="POD3" s="42"/>
      <c r="POE3" s="42"/>
      <c r="POF3" s="42"/>
      <c r="POG3" s="42"/>
      <c r="POH3" s="42"/>
      <c r="POI3" s="42"/>
      <c r="POJ3" s="42"/>
      <c r="POK3" s="42"/>
      <c r="POL3" s="42"/>
      <c r="POM3" s="42"/>
      <c r="PON3" s="42"/>
      <c r="POO3" s="42"/>
      <c r="POP3" s="42"/>
      <c r="POQ3" s="42"/>
      <c r="POR3" s="42"/>
      <c r="POS3" s="42"/>
      <c r="POT3" s="42"/>
      <c r="POU3" s="42"/>
      <c r="POV3" s="42"/>
      <c r="POW3" s="42"/>
      <c r="POX3" s="42"/>
      <c r="POY3" s="42"/>
      <c r="POZ3" s="42"/>
      <c r="PPA3" s="42"/>
      <c r="PPB3" s="42"/>
      <c r="PPC3" s="42"/>
      <c r="PPD3" s="42"/>
      <c r="PPE3" s="42"/>
      <c r="PPF3" s="42"/>
      <c r="PPG3" s="42"/>
      <c r="PPH3" s="42"/>
      <c r="PPI3" s="42"/>
      <c r="PPJ3" s="42"/>
      <c r="PPK3" s="42"/>
      <c r="PPL3" s="42"/>
      <c r="PPM3" s="42"/>
      <c r="PPN3" s="42"/>
      <c r="PPO3" s="42"/>
      <c r="PPP3" s="42"/>
      <c r="PPQ3" s="42"/>
      <c r="PPR3" s="42"/>
      <c r="PPS3" s="42"/>
      <c r="PPT3" s="42"/>
      <c r="PPU3" s="42"/>
      <c r="PPV3" s="42"/>
      <c r="PPW3" s="42"/>
      <c r="PPX3" s="42"/>
      <c r="PPY3" s="42"/>
      <c r="PPZ3" s="42"/>
      <c r="PQA3" s="42"/>
      <c r="PQB3" s="42"/>
      <c r="PQC3" s="42"/>
      <c r="PQD3" s="42"/>
      <c r="PQE3" s="42"/>
      <c r="PQF3" s="42"/>
      <c r="PQG3" s="42"/>
      <c r="PQH3" s="42"/>
      <c r="PQI3" s="42"/>
      <c r="PQJ3" s="42"/>
      <c r="PQK3" s="42"/>
      <c r="PQL3" s="42"/>
      <c r="PQM3" s="42"/>
      <c r="PQN3" s="42"/>
      <c r="PQO3" s="42"/>
      <c r="PQP3" s="42"/>
      <c r="PQQ3" s="42"/>
      <c r="PQR3" s="42"/>
      <c r="PQS3" s="42"/>
      <c r="PQT3" s="42"/>
      <c r="PQU3" s="42"/>
      <c r="PQV3" s="42"/>
      <c r="PQW3" s="42"/>
      <c r="PQX3" s="42"/>
      <c r="PQY3" s="42"/>
      <c r="PQZ3" s="42"/>
      <c r="PRA3" s="42"/>
      <c r="PRB3" s="42"/>
      <c r="PRC3" s="42"/>
      <c r="PRD3" s="42"/>
      <c r="PRE3" s="42"/>
      <c r="PRF3" s="42"/>
      <c r="PRG3" s="42"/>
      <c r="PRH3" s="42"/>
      <c r="PRI3" s="42"/>
      <c r="PRJ3" s="42"/>
      <c r="PRK3" s="42"/>
      <c r="PRL3" s="42"/>
      <c r="PRM3" s="42"/>
      <c r="PRN3" s="42"/>
      <c r="PRO3" s="42"/>
      <c r="PRP3" s="42"/>
      <c r="PRQ3" s="42"/>
      <c r="PRR3" s="42"/>
      <c r="PRS3" s="42"/>
      <c r="PRT3" s="42"/>
      <c r="PRU3" s="42"/>
      <c r="PRV3" s="42"/>
      <c r="PRW3" s="42"/>
      <c r="PRX3" s="42"/>
      <c r="PRY3" s="42"/>
      <c r="PRZ3" s="42"/>
      <c r="PSA3" s="42"/>
      <c r="PSB3" s="42"/>
      <c r="PSC3" s="42"/>
      <c r="PSD3" s="42"/>
      <c r="PSE3" s="42"/>
      <c r="PSF3" s="42"/>
      <c r="PSG3" s="42"/>
      <c r="PSH3" s="42"/>
      <c r="PSI3" s="42"/>
      <c r="PSJ3" s="42"/>
      <c r="PSK3" s="42"/>
      <c r="PSL3" s="42"/>
      <c r="PSM3" s="42"/>
      <c r="PSN3" s="42"/>
      <c r="PSO3" s="42"/>
      <c r="PSP3" s="42"/>
      <c r="PSQ3" s="42"/>
      <c r="PSR3" s="42"/>
      <c r="PSS3" s="42"/>
      <c r="PST3" s="42"/>
      <c r="PSU3" s="42"/>
      <c r="PSV3" s="42"/>
      <c r="PSW3" s="42"/>
      <c r="PSX3" s="42"/>
      <c r="PSY3" s="42"/>
      <c r="PSZ3" s="42"/>
      <c r="PTA3" s="42"/>
      <c r="PTB3" s="42"/>
      <c r="PTC3" s="42"/>
      <c r="PTD3" s="42"/>
      <c r="PTE3" s="42"/>
      <c r="PTF3" s="42"/>
      <c r="PTG3" s="42"/>
      <c r="PTH3" s="42"/>
      <c r="PTI3" s="42"/>
      <c r="PTJ3" s="42"/>
      <c r="PTK3" s="42"/>
      <c r="PTL3" s="42"/>
      <c r="PTM3" s="42"/>
      <c r="PTN3" s="42"/>
      <c r="PTO3" s="42"/>
      <c r="PTP3" s="42"/>
      <c r="PTQ3" s="42"/>
      <c r="PTR3" s="42"/>
      <c r="PTS3" s="42"/>
      <c r="PTT3" s="42"/>
      <c r="PTU3" s="42"/>
      <c r="PTV3" s="42"/>
      <c r="PTW3" s="42"/>
      <c r="PTX3" s="42"/>
      <c r="PTY3" s="42"/>
      <c r="PTZ3" s="42"/>
      <c r="PUA3" s="42"/>
      <c r="PUB3" s="42"/>
      <c r="PUC3" s="42"/>
      <c r="PUD3" s="42"/>
      <c r="PUE3" s="42"/>
      <c r="PUF3" s="42"/>
      <c r="PUG3" s="42"/>
      <c r="PUH3" s="42"/>
      <c r="PUI3" s="42"/>
      <c r="PUJ3" s="42"/>
      <c r="PUK3" s="42"/>
      <c r="PUL3" s="42"/>
      <c r="PUM3" s="42"/>
      <c r="PUN3" s="42"/>
      <c r="PUO3" s="42"/>
      <c r="PUP3" s="42"/>
      <c r="PUQ3" s="42"/>
      <c r="PUR3" s="42"/>
      <c r="PUS3" s="42"/>
      <c r="PUT3" s="42"/>
      <c r="PUU3" s="42"/>
      <c r="PUV3" s="42"/>
      <c r="PUW3" s="42"/>
      <c r="PUX3" s="42"/>
      <c r="PUY3" s="42"/>
      <c r="PUZ3" s="42"/>
      <c r="PVA3" s="42"/>
      <c r="PVB3" s="42"/>
      <c r="PVC3" s="42"/>
      <c r="PVD3" s="42"/>
      <c r="PVE3" s="42"/>
      <c r="PVF3" s="42"/>
      <c r="PVG3" s="42"/>
      <c r="PVH3" s="42"/>
      <c r="PVI3" s="42"/>
      <c r="PVJ3" s="42"/>
      <c r="PVK3" s="42"/>
      <c r="PVL3" s="42"/>
      <c r="PVM3" s="42"/>
      <c r="PVN3" s="42"/>
      <c r="PVO3" s="42"/>
      <c r="PVP3" s="42"/>
      <c r="PVQ3" s="42"/>
      <c r="PVR3" s="42"/>
      <c r="PVS3" s="42"/>
      <c r="PVT3" s="42"/>
      <c r="PVU3" s="42"/>
      <c r="PVV3" s="42"/>
      <c r="PVW3" s="42"/>
      <c r="PVX3" s="42"/>
      <c r="PVY3" s="42"/>
      <c r="PVZ3" s="42"/>
      <c r="PWA3" s="42"/>
      <c r="PWB3" s="42"/>
      <c r="PWC3" s="42"/>
      <c r="PWD3" s="42"/>
      <c r="PWE3" s="42"/>
      <c r="PWF3" s="42"/>
      <c r="PWG3" s="42"/>
      <c r="PWH3" s="42"/>
      <c r="PWI3" s="42"/>
      <c r="PWJ3" s="42"/>
      <c r="PWK3" s="42"/>
      <c r="PWL3" s="42"/>
      <c r="PWM3" s="42"/>
      <c r="PWN3" s="42"/>
      <c r="PWO3" s="42"/>
      <c r="PWP3" s="42"/>
      <c r="PWQ3" s="42"/>
      <c r="PWR3" s="42"/>
      <c r="PWS3" s="42"/>
      <c r="PWT3" s="42"/>
      <c r="PWU3" s="42"/>
      <c r="PWV3" s="42"/>
      <c r="PWW3" s="42"/>
      <c r="PWX3" s="42"/>
      <c r="PWY3" s="42"/>
      <c r="PWZ3" s="42"/>
      <c r="PXA3" s="42"/>
      <c r="PXB3" s="42"/>
      <c r="PXC3" s="42"/>
      <c r="PXD3" s="42"/>
      <c r="PXE3" s="42"/>
      <c r="PXF3" s="42"/>
      <c r="PXG3" s="42"/>
      <c r="PXH3" s="42"/>
      <c r="PXI3" s="42"/>
      <c r="PXJ3" s="42"/>
      <c r="PXK3" s="42"/>
      <c r="PXL3" s="42"/>
      <c r="PXM3" s="42"/>
      <c r="PXN3" s="42"/>
      <c r="PXO3" s="42"/>
      <c r="PXP3" s="42"/>
      <c r="PXQ3" s="42"/>
      <c r="PXR3" s="42"/>
      <c r="PXS3" s="42"/>
      <c r="PXT3" s="42"/>
      <c r="PXU3" s="42"/>
      <c r="PXV3" s="42"/>
      <c r="PXW3" s="42"/>
      <c r="PXX3" s="42"/>
      <c r="PXY3" s="42"/>
      <c r="PXZ3" s="42"/>
      <c r="PYA3" s="42"/>
      <c r="PYB3" s="42"/>
      <c r="PYC3" s="42"/>
      <c r="PYD3" s="42"/>
      <c r="PYE3" s="42"/>
      <c r="PYF3" s="42"/>
      <c r="PYG3" s="42"/>
      <c r="PYH3" s="42"/>
      <c r="PYI3" s="42"/>
      <c r="PYJ3" s="42"/>
      <c r="PYK3" s="42"/>
      <c r="PYL3" s="42"/>
      <c r="PYM3" s="42"/>
      <c r="PYN3" s="42"/>
      <c r="PYO3" s="42"/>
      <c r="PYP3" s="42"/>
      <c r="PYQ3" s="42"/>
      <c r="PYR3" s="42"/>
      <c r="PYS3" s="42"/>
      <c r="PYT3" s="42"/>
      <c r="PYU3" s="42"/>
      <c r="PYV3" s="42"/>
      <c r="PYW3" s="42"/>
      <c r="PYX3" s="42"/>
      <c r="PYY3" s="42"/>
      <c r="PYZ3" s="42"/>
      <c r="PZA3" s="42"/>
      <c r="PZB3" s="42"/>
      <c r="PZC3" s="42"/>
      <c r="PZD3" s="42"/>
      <c r="PZE3" s="42"/>
      <c r="PZF3" s="42"/>
      <c r="PZG3" s="42"/>
      <c r="PZH3" s="42"/>
      <c r="PZI3" s="42"/>
      <c r="PZJ3" s="42"/>
      <c r="PZK3" s="42"/>
      <c r="PZL3" s="42"/>
      <c r="PZM3" s="42"/>
      <c r="PZN3" s="42"/>
      <c r="PZO3" s="42"/>
      <c r="PZP3" s="42"/>
      <c r="PZQ3" s="42"/>
      <c r="PZR3" s="42"/>
      <c r="PZS3" s="42"/>
      <c r="PZT3" s="42"/>
      <c r="PZU3" s="42"/>
      <c r="PZV3" s="42"/>
      <c r="PZW3" s="42"/>
      <c r="PZX3" s="42"/>
      <c r="PZY3" s="42"/>
      <c r="PZZ3" s="42"/>
      <c r="QAA3" s="42"/>
      <c r="QAB3" s="42"/>
      <c r="QAC3" s="42"/>
      <c r="QAD3" s="42"/>
      <c r="QAE3" s="42"/>
      <c r="QAF3" s="42"/>
      <c r="QAG3" s="42"/>
      <c r="QAH3" s="42"/>
      <c r="QAI3" s="42"/>
      <c r="QAJ3" s="42"/>
      <c r="QAK3" s="42"/>
      <c r="QAL3" s="42"/>
      <c r="QAM3" s="42"/>
      <c r="QAN3" s="42"/>
      <c r="QAO3" s="42"/>
      <c r="QAP3" s="42"/>
      <c r="QAQ3" s="42"/>
      <c r="QAR3" s="42"/>
      <c r="QAS3" s="42"/>
      <c r="QAT3" s="42"/>
      <c r="QAU3" s="42"/>
      <c r="QAV3" s="42"/>
      <c r="QAW3" s="42"/>
      <c r="QAX3" s="42"/>
      <c r="QAY3" s="42"/>
      <c r="QAZ3" s="42"/>
      <c r="QBA3" s="42"/>
      <c r="QBB3" s="42"/>
      <c r="QBC3" s="42"/>
      <c r="QBD3" s="42"/>
      <c r="QBE3" s="42"/>
      <c r="QBF3" s="42"/>
      <c r="QBG3" s="42"/>
      <c r="QBH3" s="42"/>
      <c r="QBI3" s="42"/>
      <c r="QBJ3" s="42"/>
      <c r="QBK3" s="42"/>
      <c r="QBL3" s="42"/>
      <c r="QBM3" s="42"/>
      <c r="QBN3" s="42"/>
      <c r="QBO3" s="42"/>
      <c r="QBP3" s="42"/>
      <c r="QBQ3" s="42"/>
      <c r="QBR3" s="42"/>
      <c r="QBS3" s="42"/>
      <c r="QBT3" s="42"/>
      <c r="QBU3" s="42"/>
      <c r="QBV3" s="42"/>
      <c r="QBW3" s="42"/>
      <c r="QBX3" s="42"/>
      <c r="QBY3" s="42"/>
      <c r="QBZ3" s="42"/>
      <c r="QCA3" s="42"/>
      <c r="QCB3" s="42"/>
      <c r="QCC3" s="42"/>
      <c r="QCD3" s="42"/>
      <c r="QCE3" s="42"/>
      <c r="QCF3" s="42"/>
      <c r="QCG3" s="42"/>
      <c r="QCH3" s="42"/>
      <c r="QCI3" s="42"/>
      <c r="QCJ3" s="42"/>
      <c r="QCK3" s="42"/>
      <c r="QCL3" s="42"/>
      <c r="QCM3" s="42"/>
      <c r="QCN3" s="42"/>
      <c r="QCO3" s="42"/>
      <c r="QCP3" s="42"/>
      <c r="QCQ3" s="42"/>
      <c r="QCR3" s="42"/>
      <c r="QCS3" s="42"/>
      <c r="QCT3" s="42"/>
      <c r="QCU3" s="42"/>
      <c r="QCV3" s="42"/>
      <c r="QCW3" s="42"/>
      <c r="QCX3" s="42"/>
      <c r="QCY3" s="42"/>
      <c r="QCZ3" s="42"/>
      <c r="QDA3" s="42"/>
      <c r="QDB3" s="42"/>
      <c r="QDC3" s="42"/>
      <c r="QDD3" s="42"/>
      <c r="QDE3" s="42"/>
      <c r="QDF3" s="42"/>
      <c r="QDG3" s="42"/>
      <c r="QDH3" s="42"/>
      <c r="QDI3" s="42"/>
      <c r="QDJ3" s="42"/>
      <c r="QDK3" s="42"/>
      <c r="QDL3" s="42"/>
      <c r="QDM3" s="42"/>
      <c r="QDN3" s="42"/>
      <c r="QDO3" s="42"/>
      <c r="QDP3" s="42"/>
      <c r="QDQ3" s="42"/>
      <c r="QDR3" s="42"/>
      <c r="QDS3" s="42"/>
      <c r="QDT3" s="42"/>
      <c r="QDU3" s="42"/>
      <c r="QDV3" s="42"/>
      <c r="QDW3" s="42"/>
      <c r="QDX3" s="42"/>
      <c r="QDY3" s="42"/>
      <c r="QDZ3" s="42"/>
      <c r="QEA3" s="42"/>
      <c r="QEB3" s="42"/>
      <c r="QEC3" s="42"/>
      <c r="QED3" s="42"/>
      <c r="QEE3" s="42"/>
      <c r="QEF3" s="42"/>
      <c r="QEG3" s="42"/>
      <c r="QEH3" s="42"/>
      <c r="QEI3" s="42"/>
      <c r="QEJ3" s="42"/>
      <c r="QEK3" s="42"/>
      <c r="QEL3" s="42"/>
      <c r="QEM3" s="42"/>
      <c r="QEN3" s="42"/>
      <c r="QEO3" s="42"/>
      <c r="QEP3" s="42"/>
      <c r="QEQ3" s="42"/>
      <c r="QER3" s="42"/>
      <c r="QES3" s="42"/>
      <c r="QET3" s="42"/>
      <c r="QEU3" s="42"/>
      <c r="QEV3" s="42"/>
      <c r="QEW3" s="42"/>
      <c r="QEX3" s="42"/>
      <c r="QEY3" s="42"/>
      <c r="QEZ3" s="42"/>
      <c r="QFA3" s="42"/>
      <c r="QFB3" s="42"/>
      <c r="QFC3" s="42"/>
      <c r="QFD3" s="42"/>
      <c r="QFE3" s="42"/>
      <c r="QFF3" s="42"/>
      <c r="QFG3" s="42"/>
      <c r="QFH3" s="42"/>
      <c r="QFI3" s="42"/>
      <c r="QFJ3" s="42"/>
      <c r="QFK3" s="42"/>
      <c r="QFL3" s="42"/>
      <c r="QFM3" s="42"/>
      <c r="QFN3" s="42"/>
      <c r="QFO3" s="42"/>
      <c r="QFP3" s="42"/>
      <c r="QFQ3" s="42"/>
      <c r="QFR3" s="42"/>
      <c r="QFS3" s="42"/>
      <c r="QFT3" s="42"/>
      <c r="QFU3" s="42"/>
      <c r="QFV3" s="42"/>
      <c r="QFW3" s="42"/>
      <c r="QFX3" s="42"/>
      <c r="QFY3" s="42"/>
      <c r="QFZ3" s="42"/>
      <c r="QGA3" s="42"/>
      <c r="QGB3" s="42"/>
      <c r="QGC3" s="42"/>
      <c r="QGD3" s="42"/>
      <c r="QGE3" s="42"/>
      <c r="QGF3" s="42"/>
      <c r="QGG3" s="42"/>
      <c r="QGH3" s="42"/>
      <c r="QGI3" s="42"/>
      <c r="QGJ3" s="42"/>
      <c r="QGK3" s="42"/>
      <c r="QGL3" s="42"/>
      <c r="QGM3" s="42"/>
      <c r="QGN3" s="42"/>
      <c r="QGO3" s="42"/>
      <c r="QGP3" s="42"/>
      <c r="QGQ3" s="42"/>
      <c r="QGR3" s="42"/>
      <c r="QGS3" s="42"/>
      <c r="QGT3" s="42"/>
      <c r="QGU3" s="42"/>
      <c r="QGV3" s="42"/>
      <c r="QGW3" s="42"/>
      <c r="QGX3" s="42"/>
      <c r="QGY3" s="42"/>
      <c r="QGZ3" s="42"/>
      <c r="QHA3" s="42"/>
      <c r="QHB3" s="42"/>
      <c r="QHC3" s="42"/>
      <c r="QHD3" s="42"/>
      <c r="QHE3" s="42"/>
      <c r="QHF3" s="42"/>
      <c r="QHG3" s="42"/>
      <c r="QHH3" s="42"/>
      <c r="QHI3" s="42"/>
      <c r="QHJ3" s="42"/>
      <c r="QHK3" s="42"/>
      <c r="QHL3" s="42"/>
      <c r="QHM3" s="42"/>
      <c r="QHN3" s="42"/>
      <c r="QHO3" s="42"/>
      <c r="QHP3" s="42"/>
      <c r="QHQ3" s="42"/>
      <c r="QHR3" s="42"/>
      <c r="QHS3" s="42"/>
      <c r="QHT3" s="42"/>
      <c r="QHU3" s="42"/>
      <c r="QHV3" s="42"/>
      <c r="QHW3" s="42"/>
      <c r="QHX3" s="42"/>
      <c r="QHY3" s="42"/>
      <c r="QHZ3" s="42"/>
      <c r="QIA3" s="42"/>
      <c r="QIB3" s="42"/>
      <c r="QIC3" s="42"/>
      <c r="QID3" s="42"/>
      <c r="QIE3" s="42"/>
      <c r="QIF3" s="42"/>
      <c r="QIG3" s="42"/>
      <c r="QIH3" s="42"/>
      <c r="QII3" s="42"/>
      <c r="QIJ3" s="42"/>
      <c r="QIK3" s="42"/>
      <c r="QIL3" s="42"/>
      <c r="QIM3" s="42"/>
      <c r="QIN3" s="42"/>
      <c r="QIO3" s="42"/>
      <c r="QIP3" s="42"/>
      <c r="QIQ3" s="42"/>
      <c r="QIR3" s="42"/>
      <c r="QIS3" s="42"/>
      <c r="QIT3" s="42"/>
      <c r="QIU3" s="42"/>
      <c r="QIV3" s="42"/>
      <c r="QIW3" s="42"/>
      <c r="QIX3" s="42"/>
      <c r="QIY3" s="42"/>
      <c r="QIZ3" s="42"/>
      <c r="QJA3" s="42"/>
      <c r="QJB3" s="42"/>
      <c r="QJC3" s="42"/>
      <c r="QJD3" s="42"/>
      <c r="QJE3" s="42"/>
      <c r="QJF3" s="42"/>
      <c r="QJG3" s="42"/>
      <c r="QJH3" s="42"/>
      <c r="QJI3" s="42"/>
      <c r="QJJ3" s="42"/>
      <c r="QJK3" s="42"/>
      <c r="QJL3" s="42"/>
      <c r="QJM3" s="42"/>
      <c r="QJN3" s="42"/>
      <c r="QJO3" s="42"/>
      <c r="QJP3" s="42"/>
      <c r="QJQ3" s="42"/>
      <c r="QJR3" s="42"/>
      <c r="QJS3" s="42"/>
      <c r="QJT3" s="42"/>
      <c r="QJU3" s="42"/>
      <c r="QJV3" s="42"/>
      <c r="QJW3" s="42"/>
      <c r="QJX3" s="42"/>
      <c r="QJY3" s="42"/>
      <c r="QJZ3" s="42"/>
      <c r="QKA3" s="42"/>
      <c r="QKB3" s="42"/>
      <c r="QKC3" s="42"/>
      <c r="QKD3" s="42"/>
      <c r="QKE3" s="42"/>
      <c r="QKF3" s="42"/>
      <c r="QKG3" s="42"/>
      <c r="QKH3" s="42"/>
      <c r="QKI3" s="42"/>
      <c r="QKJ3" s="42"/>
      <c r="QKK3" s="42"/>
      <c r="QKL3" s="42"/>
      <c r="QKM3" s="42"/>
      <c r="QKN3" s="42"/>
      <c r="QKO3" s="42"/>
      <c r="QKP3" s="42"/>
      <c r="QKQ3" s="42"/>
      <c r="QKR3" s="42"/>
      <c r="QKS3" s="42"/>
      <c r="QKT3" s="42"/>
      <c r="QKU3" s="42"/>
      <c r="QKV3" s="42"/>
      <c r="QKW3" s="42"/>
      <c r="QKX3" s="42"/>
      <c r="QKY3" s="42"/>
      <c r="QKZ3" s="42"/>
      <c r="QLA3" s="42"/>
      <c r="QLB3" s="42"/>
      <c r="QLC3" s="42"/>
      <c r="QLD3" s="42"/>
      <c r="QLE3" s="42"/>
      <c r="QLF3" s="42"/>
      <c r="QLG3" s="42"/>
      <c r="QLH3" s="42"/>
      <c r="QLI3" s="42"/>
      <c r="QLJ3" s="42"/>
      <c r="QLK3" s="42"/>
      <c r="QLL3" s="42"/>
      <c r="QLM3" s="42"/>
      <c r="QLN3" s="42"/>
      <c r="QLO3" s="42"/>
      <c r="QLP3" s="42"/>
      <c r="QLQ3" s="42"/>
      <c r="QLR3" s="42"/>
      <c r="QLS3" s="42"/>
      <c r="QLT3" s="42"/>
      <c r="QLU3" s="42"/>
      <c r="QLV3" s="42"/>
      <c r="QLW3" s="42"/>
      <c r="QLX3" s="42"/>
      <c r="QLY3" s="42"/>
      <c r="QLZ3" s="42"/>
      <c r="QMA3" s="42"/>
      <c r="QMB3" s="42"/>
      <c r="QMC3" s="42"/>
      <c r="QMD3" s="42"/>
      <c r="QME3" s="42"/>
      <c r="QMF3" s="42"/>
      <c r="QMG3" s="42"/>
      <c r="QMH3" s="42"/>
      <c r="QMI3" s="42"/>
      <c r="QMJ3" s="42"/>
      <c r="QMK3" s="42"/>
      <c r="QML3" s="42"/>
      <c r="QMM3" s="42"/>
      <c r="QMN3" s="42"/>
      <c r="QMO3" s="42"/>
      <c r="QMP3" s="42"/>
      <c r="QMQ3" s="42"/>
      <c r="QMR3" s="42"/>
      <c r="QMS3" s="42"/>
      <c r="QMT3" s="42"/>
      <c r="QMU3" s="42"/>
      <c r="QMV3" s="42"/>
      <c r="QMW3" s="42"/>
      <c r="QMX3" s="42"/>
      <c r="QMY3" s="42"/>
      <c r="QMZ3" s="42"/>
      <c r="QNA3" s="42"/>
      <c r="QNB3" s="42"/>
      <c r="QNC3" s="42"/>
      <c r="QND3" s="42"/>
      <c r="QNE3" s="42"/>
      <c r="QNF3" s="42"/>
      <c r="QNG3" s="42"/>
      <c r="QNH3" s="42"/>
      <c r="QNI3" s="42"/>
      <c r="QNJ3" s="42"/>
      <c r="QNK3" s="42"/>
      <c r="QNL3" s="42"/>
      <c r="QNM3" s="42"/>
      <c r="QNN3" s="42"/>
      <c r="QNO3" s="42"/>
      <c r="QNP3" s="42"/>
      <c r="QNQ3" s="42"/>
      <c r="QNR3" s="42"/>
      <c r="QNS3" s="42"/>
      <c r="QNT3" s="42"/>
      <c r="QNU3" s="42"/>
      <c r="QNV3" s="42"/>
      <c r="QNW3" s="42"/>
      <c r="QNX3" s="42"/>
      <c r="QNY3" s="42"/>
      <c r="QNZ3" s="42"/>
      <c r="QOA3" s="42"/>
      <c r="QOB3" s="42"/>
      <c r="QOC3" s="42"/>
      <c r="QOD3" s="42"/>
      <c r="QOE3" s="42"/>
      <c r="QOF3" s="42"/>
      <c r="QOG3" s="42"/>
      <c r="QOH3" s="42"/>
      <c r="QOI3" s="42"/>
      <c r="QOJ3" s="42"/>
      <c r="QOK3" s="42"/>
      <c r="QOL3" s="42"/>
      <c r="QOM3" s="42"/>
      <c r="QON3" s="42"/>
      <c r="QOO3" s="42"/>
      <c r="QOP3" s="42"/>
      <c r="QOQ3" s="42"/>
      <c r="QOR3" s="42"/>
      <c r="QOS3" s="42"/>
      <c r="QOT3" s="42"/>
      <c r="QOU3" s="42"/>
      <c r="QOV3" s="42"/>
      <c r="QOW3" s="42"/>
      <c r="QOX3" s="42"/>
      <c r="QOY3" s="42"/>
      <c r="QOZ3" s="42"/>
      <c r="QPA3" s="42"/>
      <c r="QPB3" s="42"/>
      <c r="QPC3" s="42"/>
      <c r="QPD3" s="42"/>
      <c r="QPE3" s="42"/>
      <c r="QPF3" s="42"/>
      <c r="QPG3" s="42"/>
      <c r="QPH3" s="42"/>
      <c r="QPI3" s="42"/>
      <c r="QPJ3" s="42"/>
      <c r="QPK3" s="42"/>
      <c r="QPL3" s="42"/>
      <c r="QPM3" s="42"/>
      <c r="QPN3" s="42"/>
      <c r="QPO3" s="42"/>
      <c r="QPP3" s="42"/>
      <c r="QPQ3" s="42"/>
      <c r="QPR3" s="42"/>
      <c r="QPS3" s="42"/>
      <c r="QPT3" s="42"/>
      <c r="QPU3" s="42"/>
      <c r="QPV3" s="42"/>
      <c r="QPW3" s="42"/>
      <c r="QPX3" s="42"/>
      <c r="QPY3" s="42"/>
      <c r="QPZ3" s="42"/>
      <c r="QQA3" s="42"/>
      <c r="QQB3" s="42"/>
      <c r="QQC3" s="42"/>
      <c r="QQD3" s="42"/>
      <c r="QQE3" s="42"/>
      <c r="QQF3" s="42"/>
      <c r="QQG3" s="42"/>
      <c r="QQH3" s="42"/>
      <c r="QQI3" s="42"/>
      <c r="QQJ3" s="42"/>
      <c r="QQK3" s="42"/>
      <c r="QQL3" s="42"/>
      <c r="QQM3" s="42"/>
      <c r="QQN3" s="42"/>
      <c r="QQO3" s="42"/>
      <c r="QQP3" s="42"/>
      <c r="QQQ3" s="42"/>
      <c r="QQR3" s="42"/>
      <c r="QQS3" s="42"/>
      <c r="QQT3" s="42"/>
      <c r="QQU3" s="42"/>
      <c r="QQV3" s="42"/>
      <c r="QQW3" s="42"/>
      <c r="QQX3" s="42"/>
      <c r="QQY3" s="42"/>
      <c r="QQZ3" s="42"/>
      <c r="QRA3" s="42"/>
      <c r="QRB3" s="42"/>
      <c r="QRC3" s="42"/>
      <c r="QRD3" s="42"/>
      <c r="QRE3" s="42"/>
      <c r="QRF3" s="42"/>
      <c r="QRG3" s="42"/>
      <c r="QRH3" s="42"/>
      <c r="QRI3" s="42"/>
      <c r="QRJ3" s="42"/>
      <c r="QRK3" s="42"/>
      <c r="QRL3" s="42"/>
      <c r="QRM3" s="42"/>
      <c r="QRN3" s="42"/>
      <c r="QRO3" s="42"/>
      <c r="QRP3" s="42"/>
      <c r="QRQ3" s="42"/>
      <c r="QRR3" s="42"/>
      <c r="QRS3" s="42"/>
      <c r="QRT3" s="42"/>
      <c r="QRU3" s="42"/>
      <c r="QRV3" s="42"/>
      <c r="QRW3" s="42"/>
      <c r="QRX3" s="42"/>
      <c r="QRY3" s="42"/>
      <c r="QRZ3" s="42"/>
      <c r="QSA3" s="42"/>
      <c r="QSB3" s="42"/>
      <c r="QSC3" s="42"/>
      <c r="QSD3" s="42"/>
      <c r="QSE3" s="42"/>
      <c r="QSF3" s="42"/>
      <c r="QSG3" s="42"/>
      <c r="QSH3" s="42"/>
      <c r="QSI3" s="42"/>
      <c r="QSJ3" s="42"/>
      <c r="QSK3" s="42"/>
      <c r="QSL3" s="42"/>
      <c r="QSM3" s="42"/>
      <c r="QSN3" s="42"/>
      <c r="QSO3" s="42"/>
      <c r="QSP3" s="42"/>
      <c r="QSQ3" s="42"/>
      <c r="QSR3" s="42"/>
      <c r="QSS3" s="42"/>
      <c r="QST3" s="42"/>
      <c r="QSU3" s="42"/>
      <c r="QSV3" s="42"/>
      <c r="QSW3" s="42"/>
      <c r="QSX3" s="42"/>
      <c r="QSY3" s="42"/>
      <c r="QSZ3" s="42"/>
      <c r="QTA3" s="42"/>
      <c r="QTB3" s="42"/>
      <c r="QTC3" s="42"/>
      <c r="QTD3" s="42"/>
      <c r="QTE3" s="42"/>
      <c r="QTF3" s="42"/>
      <c r="QTG3" s="42"/>
      <c r="QTH3" s="42"/>
      <c r="QTI3" s="42"/>
      <c r="QTJ3" s="42"/>
      <c r="QTK3" s="42"/>
      <c r="QTL3" s="42"/>
      <c r="QTM3" s="42"/>
      <c r="QTN3" s="42"/>
      <c r="QTO3" s="42"/>
      <c r="QTP3" s="42"/>
      <c r="QTQ3" s="42"/>
      <c r="QTR3" s="42"/>
      <c r="QTS3" s="42"/>
      <c r="QTT3" s="42"/>
      <c r="QTU3" s="42"/>
      <c r="QTV3" s="42"/>
      <c r="QTW3" s="42"/>
      <c r="QTX3" s="42"/>
      <c r="QTY3" s="42"/>
      <c r="QTZ3" s="42"/>
      <c r="QUA3" s="42"/>
      <c r="QUB3" s="42"/>
      <c r="QUC3" s="42"/>
      <c r="QUD3" s="42"/>
      <c r="QUE3" s="42"/>
      <c r="QUF3" s="42"/>
      <c r="QUG3" s="42"/>
      <c r="QUH3" s="42"/>
      <c r="QUI3" s="42"/>
      <c r="QUJ3" s="42"/>
      <c r="QUK3" s="42"/>
      <c r="QUL3" s="42"/>
      <c r="QUM3" s="42"/>
      <c r="QUN3" s="42"/>
      <c r="QUO3" s="42"/>
      <c r="QUP3" s="42"/>
      <c r="QUQ3" s="42"/>
      <c r="QUR3" s="42"/>
      <c r="QUS3" s="42"/>
      <c r="QUT3" s="42"/>
      <c r="QUU3" s="42"/>
      <c r="QUV3" s="42"/>
      <c r="QUW3" s="42"/>
      <c r="QUX3" s="42"/>
      <c r="QUY3" s="42"/>
      <c r="QUZ3" s="42"/>
      <c r="QVA3" s="42"/>
      <c r="QVB3" s="42"/>
      <c r="QVC3" s="42"/>
      <c r="QVD3" s="42"/>
      <c r="QVE3" s="42"/>
      <c r="QVF3" s="42"/>
      <c r="QVG3" s="42"/>
      <c r="QVH3" s="42"/>
      <c r="QVI3" s="42"/>
      <c r="QVJ3" s="42"/>
      <c r="QVK3" s="42"/>
      <c r="QVL3" s="42"/>
      <c r="QVM3" s="42"/>
      <c r="QVN3" s="42"/>
      <c r="QVO3" s="42"/>
      <c r="QVP3" s="42"/>
      <c r="QVQ3" s="42"/>
      <c r="QVR3" s="42"/>
      <c r="QVS3" s="42"/>
      <c r="QVT3" s="42"/>
      <c r="QVU3" s="42"/>
      <c r="QVV3" s="42"/>
      <c r="QVW3" s="42"/>
      <c r="QVX3" s="42"/>
      <c r="QVY3" s="42"/>
      <c r="QVZ3" s="42"/>
      <c r="QWA3" s="42"/>
      <c r="QWB3" s="42"/>
      <c r="QWC3" s="42"/>
      <c r="QWD3" s="42"/>
      <c r="QWE3" s="42"/>
      <c r="QWF3" s="42"/>
      <c r="QWG3" s="42"/>
      <c r="QWH3" s="42"/>
      <c r="QWI3" s="42"/>
      <c r="QWJ3" s="42"/>
      <c r="QWK3" s="42"/>
      <c r="QWL3" s="42"/>
      <c r="QWM3" s="42"/>
      <c r="QWN3" s="42"/>
      <c r="QWO3" s="42"/>
      <c r="QWP3" s="42"/>
      <c r="QWQ3" s="42"/>
      <c r="QWR3" s="42"/>
      <c r="QWS3" s="42"/>
      <c r="QWT3" s="42"/>
      <c r="QWU3" s="42"/>
      <c r="QWV3" s="42"/>
      <c r="QWW3" s="42"/>
      <c r="QWX3" s="42"/>
      <c r="QWY3" s="42"/>
      <c r="QWZ3" s="42"/>
      <c r="QXA3" s="42"/>
      <c r="QXB3" s="42"/>
      <c r="QXC3" s="42"/>
      <c r="QXD3" s="42"/>
      <c r="QXE3" s="42"/>
      <c r="QXF3" s="42"/>
      <c r="QXG3" s="42"/>
      <c r="QXH3" s="42"/>
      <c r="QXI3" s="42"/>
      <c r="QXJ3" s="42"/>
      <c r="QXK3" s="42"/>
      <c r="QXL3" s="42"/>
      <c r="QXM3" s="42"/>
      <c r="QXN3" s="42"/>
      <c r="QXO3" s="42"/>
      <c r="QXP3" s="42"/>
      <c r="QXQ3" s="42"/>
      <c r="QXR3" s="42"/>
      <c r="QXS3" s="42"/>
      <c r="QXT3" s="42"/>
      <c r="QXU3" s="42"/>
      <c r="QXV3" s="42"/>
      <c r="QXW3" s="42"/>
      <c r="QXX3" s="42"/>
      <c r="QXY3" s="42"/>
      <c r="QXZ3" s="42"/>
      <c r="QYA3" s="42"/>
      <c r="QYB3" s="42"/>
      <c r="QYC3" s="42"/>
      <c r="QYD3" s="42"/>
      <c r="QYE3" s="42"/>
      <c r="QYF3" s="42"/>
      <c r="QYG3" s="42"/>
      <c r="QYH3" s="42"/>
      <c r="QYI3" s="42"/>
      <c r="QYJ3" s="42"/>
      <c r="QYK3" s="42"/>
      <c r="QYL3" s="42"/>
      <c r="QYM3" s="42"/>
      <c r="QYN3" s="42"/>
      <c r="QYO3" s="42"/>
      <c r="QYP3" s="42"/>
      <c r="QYQ3" s="42"/>
      <c r="QYR3" s="42"/>
      <c r="QYS3" s="42"/>
      <c r="QYT3" s="42"/>
      <c r="QYU3" s="42"/>
      <c r="QYV3" s="42"/>
      <c r="QYW3" s="42"/>
      <c r="QYX3" s="42"/>
      <c r="QYY3" s="42"/>
      <c r="QYZ3" s="42"/>
      <c r="QZA3" s="42"/>
      <c r="QZB3" s="42"/>
      <c r="QZC3" s="42"/>
      <c r="QZD3" s="42"/>
      <c r="QZE3" s="42"/>
      <c r="QZF3" s="42"/>
      <c r="QZG3" s="42"/>
      <c r="QZH3" s="42"/>
      <c r="QZI3" s="42"/>
      <c r="QZJ3" s="42"/>
      <c r="QZK3" s="42"/>
      <c r="QZL3" s="42"/>
      <c r="QZM3" s="42"/>
      <c r="QZN3" s="42"/>
      <c r="QZO3" s="42"/>
      <c r="QZP3" s="42"/>
      <c r="QZQ3" s="42"/>
      <c r="QZR3" s="42"/>
      <c r="QZS3" s="42"/>
      <c r="QZT3" s="42"/>
      <c r="QZU3" s="42"/>
      <c r="QZV3" s="42"/>
      <c r="QZW3" s="42"/>
      <c r="QZX3" s="42"/>
      <c r="QZY3" s="42"/>
      <c r="QZZ3" s="42"/>
      <c r="RAA3" s="42"/>
      <c r="RAB3" s="42"/>
      <c r="RAC3" s="42"/>
      <c r="RAD3" s="42"/>
      <c r="RAE3" s="42"/>
      <c r="RAF3" s="42"/>
      <c r="RAG3" s="42"/>
      <c r="RAH3" s="42"/>
      <c r="RAI3" s="42"/>
      <c r="RAJ3" s="42"/>
      <c r="RAK3" s="42"/>
      <c r="RAL3" s="42"/>
      <c r="RAM3" s="42"/>
      <c r="RAN3" s="42"/>
      <c r="RAO3" s="42"/>
      <c r="RAP3" s="42"/>
      <c r="RAQ3" s="42"/>
      <c r="RAR3" s="42"/>
      <c r="RAS3" s="42"/>
      <c r="RAT3" s="42"/>
      <c r="RAU3" s="42"/>
      <c r="RAV3" s="42"/>
      <c r="RAW3" s="42"/>
      <c r="RAX3" s="42"/>
      <c r="RAY3" s="42"/>
      <c r="RAZ3" s="42"/>
      <c r="RBA3" s="42"/>
      <c r="RBB3" s="42"/>
      <c r="RBC3" s="42"/>
      <c r="RBD3" s="42"/>
      <c r="RBE3" s="42"/>
      <c r="RBF3" s="42"/>
      <c r="RBG3" s="42"/>
      <c r="RBH3" s="42"/>
      <c r="RBI3" s="42"/>
      <c r="RBJ3" s="42"/>
      <c r="RBK3" s="42"/>
      <c r="RBL3" s="42"/>
      <c r="RBM3" s="42"/>
      <c r="RBN3" s="42"/>
      <c r="RBO3" s="42"/>
      <c r="RBP3" s="42"/>
      <c r="RBQ3" s="42"/>
      <c r="RBR3" s="42"/>
      <c r="RBS3" s="42"/>
      <c r="RBT3" s="42"/>
      <c r="RBU3" s="42"/>
      <c r="RBV3" s="42"/>
      <c r="RBW3" s="42"/>
      <c r="RBX3" s="42"/>
      <c r="RBY3" s="42"/>
      <c r="RBZ3" s="42"/>
      <c r="RCA3" s="42"/>
      <c r="RCB3" s="42"/>
      <c r="RCC3" s="42"/>
      <c r="RCD3" s="42"/>
      <c r="RCE3" s="42"/>
      <c r="RCF3" s="42"/>
      <c r="RCG3" s="42"/>
      <c r="RCH3" s="42"/>
      <c r="RCI3" s="42"/>
      <c r="RCJ3" s="42"/>
      <c r="RCK3" s="42"/>
      <c r="RCL3" s="42"/>
      <c r="RCM3" s="42"/>
      <c r="RCN3" s="42"/>
      <c r="RCO3" s="42"/>
      <c r="RCP3" s="42"/>
      <c r="RCQ3" s="42"/>
      <c r="RCR3" s="42"/>
      <c r="RCS3" s="42"/>
      <c r="RCT3" s="42"/>
      <c r="RCU3" s="42"/>
      <c r="RCV3" s="42"/>
      <c r="RCW3" s="42"/>
      <c r="RCX3" s="42"/>
      <c r="RCY3" s="42"/>
      <c r="RCZ3" s="42"/>
      <c r="RDA3" s="42"/>
      <c r="RDB3" s="42"/>
      <c r="RDC3" s="42"/>
      <c r="RDD3" s="42"/>
      <c r="RDE3" s="42"/>
      <c r="RDF3" s="42"/>
      <c r="RDG3" s="42"/>
      <c r="RDH3" s="42"/>
      <c r="RDI3" s="42"/>
      <c r="RDJ3" s="42"/>
      <c r="RDK3" s="42"/>
      <c r="RDL3" s="42"/>
      <c r="RDM3" s="42"/>
      <c r="RDN3" s="42"/>
      <c r="RDO3" s="42"/>
      <c r="RDP3" s="42"/>
      <c r="RDQ3" s="42"/>
      <c r="RDR3" s="42"/>
      <c r="RDS3" s="42"/>
      <c r="RDT3" s="42"/>
      <c r="RDU3" s="42"/>
      <c r="RDV3" s="42"/>
      <c r="RDW3" s="42"/>
      <c r="RDX3" s="42"/>
      <c r="RDY3" s="42"/>
      <c r="RDZ3" s="42"/>
      <c r="REA3" s="42"/>
      <c r="REB3" s="42"/>
      <c r="REC3" s="42"/>
      <c r="RED3" s="42"/>
      <c r="REE3" s="42"/>
      <c r="REF3" s="42"/>
      <c r="REG3" s="42"/>
      <c r="REH3" s="42"/>
      <c r="REI3" s="42"/>
      <c r="REJ3" s="42"/>
      <c r="REK3" s="42"/>
      <c r="REL3" s="42"/>
      <c r="REM3" s="42"/>
      <c r="REN3" s="42"/>
      <c r="REO3" s="42"/>
      <c r="REP3" s="42"/>
      <c r="REQ3" s="42"/>
      <c r="RER3" s="42"/>
      <c r="RES3" s="42"/>
      <c r="RET3" s="42"/>
      <c r="REU3" s="42"/>
      <c r="REV3" s="42"/>
      <c r="REW3" s="42"/>
      <c r="REX3" s="42"/>
      <c r="REY3" s="42"/>
      <c r="REZ3" s="42"/>
      <c r="RFA3" s="42"/>
      <c r="RFB3" s="42"/>
      <c r="RFC3" s="42"/>
      <c r="RFD3" s="42"/>
      <c r="RFE3" s="42"/>
      <c r="RFF3" s="42"/>
      <c r="RFG3" s="42"/>
      <c r="RFH3" s="42"/>
      <c r="RFI3" s="42"/>
      <c r="RFJ3" s="42"/>
      <c r="RFK3" s="42"/>
      <c r="RFL3" s="42"/>
      <c r="RFM3" s="42"/>
      <c r="RFN3" s="42"/>
      <c r="RFO3" s="42"/>
      <c r="RFP3" s="42"/>
      <c r="RFQ3" s="42"/>
      <c r="RFR3" s="42"/>
      <c r="RFS3" s="42"/>
      <c r="RFT3" s="42"/>
      <c r="RFU3" s="42"/>
      <c r="RFV3" s="42"/>
      <c r="RFW3" s="42"/>
      <c r="RFX3" s="42"/>
      <c r="RFY3" s="42"/>
      <c r="RFZ3" s="42"/>
      <c r="RGA3" s="42"/>
      <c r="RGB3" s="42"/>
      <c r="RGC3" s="42"/>
      <c r="RGD3" s="42"/>
      <c r="RGE3" s="42"/>
      <c r="RGF3" s="42"/>
      <c r="RGG3" s="42"/>
      <c r="RGH3" s="42"/>
      <c r="RGI3" s="42"/>
      <c r="RGJ3" s="42"/>
      <c r="RGK3" s="42"/>
      <c r="RGL3" s="42"/>
      <c r="RGM3" s="42"/>
      <c r="RGN3" s="42"/>
      <c r="RGO3" s="42"/>
      <c r="RGP3" s="42"/>
      <c r="RGQ3" s="42"/>
      <c r="RGR3" s="42"/>
      <c r="RGS3" s="42"/>
      <c r="RGT3" s="42"/>
      <c r="RGU3" s="42"/>
      <c r="RGV3" s="42"/>
      <c r="RGW3" s="42"/>
      <c r="RGX3" s="42"/>
      <c r="RGY3" s="42"/>
      <c r="RGZ3" s="42"/>
      <c r="RHA3" s="42"/>
      <c r="RHB3" s="42"/>
      <c r="RHC3" s="42"/>
      <c r="RHD3" s="42"/>
      <c r="RHE3" s="42"/>
      <c r="RHF3" s="42"/>
      <c r="RHG3" s="42"/>
      <c r="RHH3" s="42"/>
      <c r="RHI3" s="42"/>
      <c r="RHJ3" s="42"/>
      <c r="RHK3" s="42"/>
      <c r="RHL3" s="42"/>
      <c r="RHM3" s="42"/>
      <c r="RHN3" s="42"/>
      <c r="RHO3" s="42"/>
      <c r="RHP3" s="42"/>
      <c r="RHQ3" s="42"/>
      <c r="RHR3" s="42"/>
      <c r="RHS3" s="42"/>
      <c r="RHT3" s="42"/>
      <c r="RHU3" s="42"/>
      <c r="RHV3" s="42"/>
      <c r="RHW3" s="42"/>
      <c r="RHX3" s="42"/>
      <c r="RHY3" s="42"/>
      <c r="RHZ3" s="42"/>
      <c r="RIA3" s="42"/>
      <c r="RIB3" s="42"/>
      <c r="RIC3" s="42"/>
      <c r="RID3" s="42"/>
      <c r="RIE3" s="42"/>
      <c r="RIF3" s="42"/>
      <c r="RIG3" s="42"/>
      <c r="RIH3" s="42"/>
      <c r="RII3" s="42"/>
      <c r="RIJ3" s="42"/>
      <c r="RIK3" s="42"/>
      <c r="RIL3" s="42"/>
      <c r="RIM3" s="42"/>
      <c r="RIN3" s="42"/>
      <c r="RIO3" s="42"/>
      <c r="RIP3" s="42"/>
      <c r="RIQ3" s="42"/>
      <c r="RIR3" s="42"/>
      <c r="RIS3" s="42"/>
      <c r="RIT3" s="42"/>
      <c r="RIU3" s="42"/>
      <c r="RIV3" s="42"/>
      <c r="RIW3" s="42"/>
      <c r="RIX3" s="42"/>
      <c r="RIY3" s="42"/>
      <c r="RIZ3" s="42"/>
      <c r="RJA3" s="42"/>
      <c r="RJB3" s="42"/>
      <c r="RJC3" s="42"/>
      <c r="RJD3" s="42"/>
      <c r="RJE3" s="42"/>
      <c r="RJF3" s="42"/>
      <c r="RJG3" s="42"/>
      <c r="RJH3" s="42"/>
      <c r="RJI3" s="42"/>
      <c r="RJJ3" s="42"/>
      <c r="RJK3" s="42"/>
      <c r="RJL3" s="42"/>
      <c r="RJM3" s="42"/>
      <c r="RJN3" s="42"/>
      <c r="RJO3" s="42"/>
      <c r="RJP3" s="42"/>
      <c r="RJQ3" s="42"/>
      <c r="RJR3" s="42"/>
      <c r="RJS3" s="42"/>
      <c r="RJT3" s="42"/>
      <c r="RJU3" s="42"/>
      <c r="RJV3" s="42"/>
      <c r="RJW3" s="42"/>
      <c r="RJX3" s="42"/>
      <c r="RJY3" s="42"/>
      <c r="RJZ3" s="42"/>
      <c r="RKA3" s="42"/>
      <c r="RKB3" s="42"/>
      <c r="RKC3" s="42"/>
      <c r="RKD3" s="42"/>
      <c r="RKE3" s="42"/>
      <c r="RKF3" s="42"/>
      <c r="RKG3" s="42"/>
      <c r="RKH3" s="42"/>
      <c r="RKI3" s="42"/>
      <c r="RKJ3" s="42"/>
      <c r="RKK3" s="42"/>
      <c r="RKL3" s="42"/>
      <c r="RKM3" s="42"/>
      <c r="RKN3" s="42"/>
      <c r="RKO3" s="42"/>
      <c r="RKP3" s="42"/>
      <c r="RKQ3" s="42"/>
      <c r="RKR3" s="42"/>
      <c r="RKS3" s="42"/>
      <c r="RKT3" s="42"/>
      <c r="RKU3" s="42"/>
      <c r="RKV3" s="42"/>
      <c r="RKW3" s="42"/>
      <c r="RKX3" s="42"/>
      <c r="RKY3" s="42"/>
      <c r="RKZ3" s="42"/>
      <c r="RLA3" s="42"/>
      <c r="RLB3" s="42"/>
      <c r="RLC3" s="42"/>
      <c r="RLD3" s="42"/>
      <c r="RLE3" s="42"/>
      <c r="RLF3" s="42"/>
      <c r="RLG3" s="42"/>
      <c r="RLH3" s="42"/>
      <c r="RLI3" s="42"/>
      <c r="RLJ3" s="42"/>
      <c r="RLK3" s="42"/>
      <c r="RLL3" s="42"/>
      <c r="RLM3" s="42"/>
      <c r="RLN3" s="42"/>
      <c r="RLO3" s="42"/>
      <c r="RLP3" s="42"/>
      <c r="RLQ3" s="42"/>
      <c r="RLR3" s="42"/>
      <c r="RLS3" s="42"/>
      <c r="RLT3" s="42"/>
      <c r="RLU3" s="42"/>
      <c r="RLV3" s="42"/>
      <c r="RLW3" s="42"/>
      <c r="RLX3" s="42"/>
      <c r="RLY3" s="42"/>
      <c r="RLZ3" s="42"/>
      <c r="RMA3" s="42"/>
      <c r="RMB3" s="42"/>
      <c r="RMC3" s="42"/>
      <c r="RMD3" s="42"/>
      <c r="RME3" s="42"/>
      <c r="RMF3" s="42"/>
      <c r="RMG3" s="42"/>
      <c r="RMH3" s="42"/>
      <c r="RMI3" s="42"/>
      <c r="RMJ3" s="42"/>
      <c r="RMK3" s="42"/>
      <c r="RML3" s="42"/>
      <c r="RMM3" s="42"/>
      <c r="RMN3" s="42"/>
      <c r="RMO3" s="42"/>
      <c r="RMP3" s="42"/>
      <c r="RMQ3" s="42"/>
      <c r="RMR3" s="42"/>
      <c r="RMS3" s="42"/>
      <c r="RMT3" s="42"/>
      <c r="RMU3" s="42"/>
      <c r="RMV3" s="42"/>
      <c r="RMW3" s="42"/>
      <c r="RMX3" s="42"/>
      <c r="RMY3" s="42"/>
      <c r="RMZ3" s="42"/>
      <c r="RNA3" s="42"/>
      <c r="RNB3" s="42"/>
      <c r="RNC3" s="42"/>
      <c r="RND3" s="42"/>
      <c r="RNE3" s="42"/>
      <c r="RNF3" s="42"/>
      <c r="RNG3" s="42"/>
      <c r="RNH3" s="42"/>
      <c r="RNI3" s="42"/>
      <c r="RNJ3" s="42"/>
      <c r="RNK3" s="42"/>
      <c r="RNL3" s="42"/>
      <c r="RNM3" s="42"/>
      <c r="RNN3" s="42"/>
      <c r="RNO3" s="42"/>
      <c r="RNP3" s="42"/>
      <c r="RNQ3" s="42"/>
      <c r="RNR3" s="42"/>
      <c r="RNS3" s="42"/>
      <c r="RNT3" s="42"/>
      <c r="RNU3" s="42"/>
      <c r="RNV3" s="42"/>
      <c r="RNW3" s="42"/>
      <c r="RNX3" s="42"/>
      <c r="RNY3" s="42"/>
      <c r="RNZ3" s="42"/>
      <c r="ROA3" s="42"/>
      <c r="ROB3" s="42"/>
      <c r="ROC3" s="42"/>
      <c r="ROD3" s="42"/>
      <c r="ROE3" s="42"/>
      <c r="ROF3" s="42"/>
      <c r="ROG3" s="42"/>
      <c r="ROH3" s="42"/>
      <c r="ROI3" s="42"/>
      <c r="ROJ3" s="42"/>
      <c r="ROK3" s="42"/>
      <c r="ROL3" s="42"/>
      <c r="ROM3" s="42"/>
      <c r="RON3" s="42"/>
      <c r="ROO3" s="42"/>
      <c r="ROP3" s="42"/>
      <c r="ROQ3" s="42"/>
      <c r="ROR3" s="42"/>
      <c r="ROS3" s="42"/>
      <c r="ROT3" s="42"/>
      <c r="ROU3" s="42"/>
      <c r="ROV3" s="42"/>
      <c r="ROW3" s="42"/>
      <c r="ROX3" s="42"/>
      <c r="ROY3" s="42"/>
      <c r="ROZ3" s="42"/>
      <c r="RPA3" s="42"/>
      <c r="RPB3" s="42"/>
      <c r="RPC3" s="42"/>
      <c r="RPD3" s="42"/>
      <c r="RPE3" s="42"/>
      <c r="RPF3" s="42"/>
      <c r="RPG3" s="42"/>
      <c r="RPH3" s="42"/>
      <c r="RPI3" s="42"/>
      <c r="RPJ3" s="42"/>
      <c r="RPK3" s="42"/>
      <c r="RPL3" s="42"/>
      <c r="RPM3" s="42"/>
      <c r="RPN3" s="42"/>
      <c r="RPO3" s="42"/>
      <c r="RPP3" s="42"/>
      <c r="RPQ3" s="42"/>
      <c r="RPR3" s="42"/>
      <c r="RPS3" s="42"/>
      <c r="RPT3" s="42"/>
      <c r="RPU3" s="42"/>
      <c r="RPV3" s="42"/>
      <c r="RPW3" s="42"/>
      <c r="RPX3" s="42"/>
      <c r="RPY3" s="42"/>
      <c r="RPZ3" s="42"/>
      <c r="RQA3" s="42"/>
      <c r="RQB3" s="42"/>
      <c r="RQC3" s="42"/>
      <c r="RQD3" s="42"/>
      <c r="RQE3" s="42"/>
      <c r="RQF3" s="42"/>
      <c r="RQG3" s="42"/>
      <c r="RQH3" s="42"/>
      <c r="RQI3" s="42"/>
      <c r="RQJ3" s="42"/>
      <c r="RQK3" s="42"/>
      <c r="RQL3" s="42"/>
      <c r="RQM3" s="42"/>
      <c r="RQN3" s="42"/>
      <c r="RQO3" s="42"/>
      <c r="RQP3" s="42"/>
      <c r="RQQ3" s="42"/>
      <c r="RQR3" s="42"/>
      <c r="RQS3" s="42"/>
      <c r="RQT3" s="42"/>
      <c r="RQU3" s="42"/>
      <c r="RQV3" s="42"/>
      <c r="RQW3" s="42"/>
      <c r="RQX3" s="42"/>
      <c r="RQY3" s="42"/>
      <c r="RQZ3" s="42"/>
      <c r="RRA3" s="42"/>
      <c r="RRB3" s="42"/>
      <c r="RRC3" s="42"/>
      <c r="RRD3" s="42"/>
      <c r="RRE3" s="42"/>
      <c r="RRF3" s="42"/>
      <c r="RRG3" s="42"/>
      <c r="RRH3" s="42"/>
      <c r="RRI3" s="42"/>
      <c r="RRJ3" s="42"/>
      <c r="RRK3" s="42"/>
      <c r="RRL3" s="42"/>
      <c r="RRM3" s="42"/>
      <c r="RRN3" s="42"/>
      <c r="RRO3" s="42"/>
      <c r="RRP3" s="42"/>
      <c r="RRQ3" s="42"/>
      <c r="RRR3" s="42"/>
      <c r="RRS3" s="42"/>
      <c r="RRT3" s="42"/>
      <c r="RRU3" s="42"/>
      <c r="RRV3" s="42"/>
      <c r="RRW3" s="42"/>
      <c r="RRX3" s="42"/>
      <c r="RRY3" s="42"/>
      <c r="RRZ3" s="42"/>
      <c r="RSA3" s="42"/>
      <c r="RSB3" s="42"/>
      <c r="RSC3" s="42"/>
      <c r="RSD3" s="42"/>
      <c r="RSE3" s="42"/>
      <c r="RSF3" s="42"/>
      <c r="RSG3" s="42"/>
      <c r="RSH3" s="42"/>
      <c r="RSI3" s="42"/>
      <c r="RSJ3" s="42"/>
      <c r="RSK3" s="42"/>
      <c r="RSL3" s="42"/>
      <c r="RSM3" s="42"/>
      <c r="RSN3" s="42"/>
      <c r="RSO3" s="42"/>
      <c r="RSP3" s="42"/>
      <c r="RSQ3" s="42"/>
      <c r="RSR3" s="42"/>
      <c r="RSS3" s="42"/>
      <c r="RST3" s="42"/>
      <c r="RSU3" s="42"/>
      <c r="RSV3" s="42"/>
      <c r="RSW3" s="42"/>
      <c r="RSX3" s="42"/>
      <c r="RSY3" s="42"/>
      <c r="RSZ3" s="42"/>
      <c r="RTA3" s="42"/>
      <c r="RTB3" s="42"/>
      <c r="RTC3" s="42"/>
      <c r="RTD3" s="42"/>
      <c r="RTE3" s="42"/>
      <c r="RTF3" s="42"/>
      <c r="RTG3" s="42"/>
      <c r="RTH3" s="42"/>
      <c r="RTI3" s="42"/>
      <c r="RTJ3" s="42"/>
      <c r="RTK3" s="42"/>
      <c r="RTL3" s="42"/>
      <c r="RTM3" s="42"/>
      <c r="RTN3" s="42"/>
      <c r="RTO3" s="42"/>
      <c r="RTP3" s="42"/>
      <c r="RTQ3" s="42"/>
      <c r="RTR3" s="42"/>
      <c r="RTS3" s="42"/>
      <c r="RTT3" s="42"/>
      <c r="RTU3" s="42"/>
      <c r="RTV3" s="42"/>
      <c r="RTW3" s="42"/>
      <c r="RTX3" s="42"/>
      <c r="RTY3" s="42"/>
      <c r="RTZ3" s="42"/>
      <c r="RUA3" s="42"/>
      <c r="RUB3" s="42"/>
      <c r="RUC3" s="42"/>
      <c r="RUD3" s="42"/>
      <c r="RUE3" s="42"/>
      <c r="RUF3" s="42"/>
      <c r="RUG3" s="42"/>
      <c r="RUH3" s="42"/>
      <c r="RUI3" s="42"/>
      <c r="RUJ3" s="42"/>
      <c r="RUK3" s="42"/>
      <c r="RUL3" s="42"/>
      <c r="RUM3" s="42"/>
      <c r="RUN3" s="42"/>
      <c r="RUO3" s="42"/>
      <c r="RUP3" s="42"/>
      <c r="RUQ3" s="42"/>
      <c r="RUR3" s="42"/>
      <c r="RUS3" s="42"/>
      <c r="RUT3" s="42"/>
      <c r="RUU3" s="42"/>
      <c r="RUV3" s="42"/>
      <c r="RUW3" s="42"/>
      <c r="RUX3" s="42"/>
      <c r="RUY3" s="42"/>
      <c r="RUZ3" s="42"/>
      <c r="RVA3" s="42"/>
      <c r="RVB3" s="42"/>
      <c r="RVC3" s="42"/>
      <c r="RVD3" s="42"/>
      <c r="RVE3" s="42"/>
      <c r="RVF3" s="42"/>
      <c r="RVG3" s="42"/>
      <c r="RVH3" s="42"/>
      <c r="RVI3" s="42"/>
      <c r="RVJ3" s="42"/>
      <c r="RVK3" s="42"/>
      <c r="RVL3" s="42"/>
      <c r="RVM3" s="42"/>
      <c r="RVN3" s="42"/>
      <c r="RVO3" s="42"/>
      <c r="RVP3" s="42"/>
      <c r="RVQ3" s="42"/>
      <c r="RVR3" s="42"/>
      <c r="RVS3" s="42"/>
      <c r="RVT3" s="42"/>
      <c r="RVU3" s="42"/>
      <c r="RVV3" s="42"/>
      <c r="RVW3" s="42"/>
      <c r="RVX3" s="42"/>
      <c r="RVY3" s="42"/>
      <c r="RVZ3" s="42"/>
      <c r="RWA3" s="42"/>
      <c r="RWB3" s="42"/>
      <c r="RWC3" s="42"/>
      <c r="RWD3" s="42"/>
      <c r="RWE3" s="42"/>
      <c r="RWF3" s="42"/>
      <c r="RWG3" s="42"/>
      <c r="RWH3" s="42"/>
      <c r="RWI3" s="42"/>
      <c r="RWJ3" s="42"/>
      <c r="RWK3" s="42"/>
      <c r="RWL3" s="42"/>
      <c r="RWM3" s="42"/>
      <c r="RWN3" s="42"/>
      <c r="RWO3" s="42"/>
      <c r="RWP3" s="42"/>
      <c r="RWQ3" s="42"/>
      <c r="RWR3" s="42"/>
      <c r="RWS3" s="42"/>
      <c r="RWT3" s="42"/>
      <c r="RWU3" s="42"/>
      <c r="RWV3" s="42"/>
      <c r="RWW3" s="42"/>
      <c r="RWX3" s="42"/>
      <c r="RWY3" s="42"/>
      <c r="RWZ3" s="42"/>
      <c r="RXA3" s="42"/>
      <c r="RXB3" s="42"/>
      <c r="RXC3" s="42"/>
      <c r="RXD3" s="42"/>
      <c r="RXE3" s="42"/>
      <c r="RXF3" s="42"/>
      <c r="RXG3" s="42"/>
      <c r="RXH3" s="42"/>
      <c r="RXI3" s="42"/>
      <c r="RXJ3" s="42"/>
      <c r="RXK3" s="42"/>
      <c r="RXL3" s="42"/>
      <c r="RXM3" s="42"/>
      <c r="RXN3" s="42"/>
      <c r="RXO3" s="42"/>
      <c r="RXP3" s="42"/>
      <c r="RXQ3" s="42"/>
      <c r="RXR3" s="42"/>
      <c r="RXS3" s="42"/>
      <c r="RXT3" s="42"/>
      <c r="RXU3" s="42"/>
      <c r="RXV3" s="42"/>
      <c r="RXW3" s="42"/>
      <c r="RXX3" s="42"/>
      <c r="RXY3" s="42"/>
      <c r="RXZ3" s="42"/>
      <c r="RYA3" s="42"/>
      <c r="RYB3" s="42"/>
      <c r="RYC3" s="42"/>
      <c r="RYD3" s="42"/>
      <c r="RYE3" s="42"/>
      <c r="RYF3" s="42"/>
      <c r="RYG3" s="42"/>
      <c r="RYH3" s="42"/>
      <c r="RYI3" s="42"/>
      <c r="RYJ3" s="42"/>
      <c r="RYK3" s="42"/>
      <c r="RYL3" s="42"/>
      <c r="RYM3" s="42"/>
      <c r="RYN3" s="42"/>
      <c r="RYO3" s="42"/>
      <c r="RYP3" s="42"/>
      <c r="RYQ3" s="42"/>
      <c r="RYR3" s="42"/>
      <c r="RYS3" s="42"/>
      <c r="RYT3" s="42"/>
      <c r="RYU3" s="42"/>
      <c r="RYV3" s="42"/>
      <c r="RYW3" s="42"/>
      <c r="RYX3" s="42"/>
      <c r="RYY3" s="42"/>
      <c r="RYZ3" s="42"/>
      <c r="RZA3" s="42"/>
      <c r="RZB3" s="42"/>
      <c r="RZC3" s="42"/>
      <c r="RZD3" s="42"/>
      <c r="RZE3" s="42"/>
      <c r="RZF3" s="42"/>
      <c r="RZG3" s="42"/>
      <c r="RZH3" s="42"/>
      <c r="RZI3" s="42"/>
      <c r="RZJ3" s="42"/>
      <c r="RZK3" s="42"/>
      <c r="RZL3" s="42"/>
      <c r="RZM3" s="42"/>
      <c r="RZN3" s="42"/>
      <c r="RZO3" s="42"/>
      <c r="RZP3" s="42"/>
      <c r="RZQ3" s="42"/>
      <c r="RZR3" s="42"/>
      <c r="RZS3" s="42"/>
      <c r="RZT3" s="42"/>
      <c r="RZU3" s="42"/>
      <c r="RZV3" s="42"/>
      <c r="RZW3" s="42"/>
      <c r="RZX3" s="42"/>
      <c r="RZY3" s="42"/>
      <c r="RZZ3" s="42"/>
      <c r="SAA3" s="42"/>
      <c r="SAB3" s="42"/>
      <c r="SAC3" s="42"/>
      <c r="SAD3" s="42"/>
      <c r="SAE3" s="42"/>
      <c r="SAF3" s="42"/>
      <c r="SAG3" s="42"/>
      <c r="SAH3" s="42"/>
      <c r="SAI3" s="42"/>
      <c r="SAJ3" s="42"/>
      <c r="SAK3" s="42"/>
      <c r="SAL3" s="42"/>
      <c r="SAM3" s="42"/>
      <c r="SAN3" s="42"/>
      <c r="SAO3" s="42"/>
      <c r="SAP3" s="42"/>
      <c r="SAQ3" s="42"/>
      <c r="SAR3" s="42"/>
      <c r="SAS3" s="42"/>
      <c r="SAT3" s="42"/>
      <c r="SAU3" s="42"/>
      <c r="SAV3" s="42"/>
      <c r="SAW3" s="42"/>
      <c r="SAX3" s="42"/>
      <c r="SAY3" s="42"/>
      <c r="SAZ3" s="42"/>
      <c r="SBA3" s="42"/>
      <c r="SBB3" s="42"/>
      <c r="SBC3" s="42"/>
      <c r="SBD3" s="42"/>
      <c r="SBE3" s="42"/>
      <c r="SBF3" s="42"/>
      <c r="SBG3" s="42"/>
      <c r="SBH3" s="42"/>
      <c r="SBI3" s="42"/>
      <c r="SBJ3" s="42"/>
      <c r="SBK3" s="42"/>
      <c r="SBL3" s="42"/>
      <c r="SBM3" s="42"/>
      <c r="SBN3" s="42"/>
      <c r="SBO3" s="42"/>
      <c r="SBP3" s="42"/>
      <c r="SBQ3" s="42"/>
      <c r="SBR3" s="42"/>
      <c r="SBS3" s="42"/>
      <c r="SBT3" s="42"/>
      <c r="SBU3" s="42"/>
      <c r="SBV3" s="42"/>
      <c r="SBW3" s="42"/>
      <c r="SBX3" s="42"/>
      <c r="SBY3" s="42"/>
      <c r="SBZ3" s="42"/>
      <c r="SCA3" s="42"/>
      <c r="SCB3" s="42"/>
      <c r="SCC3" s="42"/>
      <c r="SCD3" s="42"/>
      <c r="SCE3" s="42"/>
      <c r="SCF3" s="42"/>
      <c r="SCG3" s="42"/>
      <c r="SCH3" s="42"/>
      <c r="SCI3" s="42"/>
      <c r="SCJ3" s="42"/>
      <c r="SCK3" s="42"/>
      <c r="SCL3" s="42"/>
      <c r="SCM3" s="42"/>
      <c r="SCN3" s="42"/>
      <c r="SCO3" s="42"/>
      <c r="SCP3" s="42"/>
      <c r="SCQ3" s="42"/>
      <c r="SCR3" s="42"/>
      <c r="SCS3" s="42"/>
      <c r="SCT3" s="42"/>
      <c r="SCU3" s="42"/>
      <c r="SCV3" s="42"/>
      <c r="SCW3" s="42"/>
      <c r="SCX3" s="42"/>
      <c r="SCY3" s="42"/>
      <c r="SCZ3" s="42"/>
      <c r="SDA3" s="42"/>
      <c r="SDB3" s="42"/>
      <c r="SDC3" s="42"/>
      <c r="SDD3" s="42"/>
      <c r="SDE3" s="42"/>
      <c r="SDF3" s="42"/>
      <c r="SDG3" s="42"/>
      <c r="SDH3" s="42"/>
      <c r="SDI3" s="42"/>
      <c r="SDJ3" s="42"/>
      <c r="SDK3" s="42"/>
      <c r="SDL3" s="42"/>
      <c r="SDM3" s="42"/>
      <c r="SDN3" s="42"/>
      <c r="SDO3" s="42"/>
      <c r="SDP3" s="42"/>
      <c r="SDQ3" s="42"/>
      <c r="SDR3" s="42"/>
      <c r="SDS3" s="42"/>
      <c r="SDT3" s="42"/>
      <c r="SDU3" s="42"/>
      <c r="SDV3" s="42"/>
      <c r="SDW3" s="42"/>
      <c r="SDX3" s="42"/>
      <c r="SDY3" s="42"/>
      <c r="SDZ3" s="42"/>
      <c r="SEA3" s="42"/>
      <c r="SEB3" s="42"/>
      <c r="SEC3" s="42"/>
      <c r="SED3" s="42"/>
      <c r="SEE3" s="42"/>
      <c r="SEF3" s="42"/>
      <c r="SEG3" s="42"/>
      <c r="SEH3" s="42"/>
      <c r="SEI3" s="42"/>
      <c r="SEJ3" s="42"/>
      <c r="SEK3" s="42"/>
      <c r="SEL3" s="42"/>
      <c r="SEM3" s="42"/>
      <c r="SEN3" s="42"/>
      <c r="SEO3" s="42"/>
      <c r="SEP3" s="42"/>
      <c r="SEQ3" s="42"/>
      <c r="SER3" s="42"/>
      <c r="SES3" s="42"/>
      <c r="SET3" s="42"/>
      <c r="SEU3" s="42"/>
      <c r="SEV3" s="42"/>
      <c r="SEW3" s="42"/>
      <c r="SEX3" s="42"/>
      <c r="SEY3" s="42"/>
      <c r="SEZ3" s="42"/>
      <c r="SFA3" s="42"/>
      <c r="SFB3" s="42"/>
      <c r="SFC3" s="42"/>
      <c r="SFD3" s="42"/>
      <c r="SFE3" s="42"/>
      <c r="SFF3" s="42"/>
      <c r="SFG3" s="42"/>
      <c r="SFH3" s="42"/>
      <c r="SFI3" s="42"/>
      <c r="SFJ3" s="42"/>
      <c r="SFK3" s="42"/>
      <c r="SFL3" s="42"/>
      <c r="SFM3" s="42"/>
      <c r="SFN3" s="42"/>
      <c r="SFO3" s="42"/>
      <c r="SFP3" s="42"/>
      <c r="SFQ3" s="42"/>
      <c r="SFR3" s="42"/>
      <c r="SFS3" s="42"/>
      <c r="SFT3" s="42"/>
      <c r="SFU3" s="42"/>
      <c r="SFV3" s="42"/>
      <c r="SFW3" s="42"/>
      <c r="SFX3" s="42"/>
      <c r="SFY3" s="42"/>
      <c r="SFZ3" s="42"/>
      <c r="SGA3" s="42"/>
      <c r="SGB3" s="42"/>
      <c r="SGC3" s="42"/>
      <c r="SGD3" s="42"/>
      <c r="SGE3" s="42"/>
      <c r="SGF3" s="42"/>
      <c r="SGG3" s="42"/>
      <c r="SGH3" s="42"/>
      <c r="SGI3" s="42"/>
      <c r="SGJ3" s="42"/>
      <c r="SGK3" s="42"/>
      <c r="SGL3" s="42"/>
      <c r="SGM3" s="42"/>
      <c r="SGN3" s="42"/>
      <c r="SGO3" s="42"/>
      <c r="SGP3" s="42"/>
      <c r="SGQ3" s="42"/>
      <c r="SGR3" s="42"/>
      <c r="SGS3" s="42"/>
      <c r="SGT3" s="42"/>
      <c r="SGU3" s="42"/>
      <c r="SGV3" s="42"/>
      <c r="SGW3" s="42"/>
      <c r="SGX3" s="42"/>
      <c r="SGY3" s="42"/>
      <c r="SGZ3" s="42"/>
      <c r="SHA3" s="42"/>
      <c r="SHB3" s="42"/>
      <c r="SHC3" s="42"/>
      <c r="SHD3" s="42"/>
      <c r="SHE3" s="42"/>
      <c r="SHF3" s="42"/>
      <c r="SHG3" s="42"/>
      <c r="SHH3" s="42"/>
      <c r="SHI3" s="42"/>
      <c r="SHJ3" s="42"/>
      <c r="SHK3" s="42"/>
      <c r="SHL3" s="42"/>
      <c r="SHM3" s="42"/>
      <c r="SHN3" s="42"/>
      <c r="SHO3" s="42"/>
      <c r="SHP3" s="42"/>
      <c r="SHQ3" s="42"/>
      <c r="SHR3" s="42"/>
      <c r="SHS3" s="42"/>
      <c r="SHT3" s="42"/>
      <c r="SHU3" s="42"/>
      <c r="SHV3" s="42"/>
      <c r="SHW3" s="42"/>
      <c r="SHX3" s="42"/>
      <c r="SHY3" s="42"/>
      <c r="SHZ3" s="42"/>
      <c r="SIA3" s="42"/>
      <c r="SIB3" s="42"/>
      <c r="SIC3" s="42"/>
      <c r="SID3" s="42"/>
      <c r="SIE3" s="42"/>
      <c r="SIF3" s="42"/>
      <c r="SIG3" s="42"/>
      <c r="SIH3" s="42"/>
      <c r="SII3" s="42"/>
      <c r="SIJ3" s="42"/>
      <c r="SIK3" s="42"/>
      <c r="SIL3" s="42"/>
      <c r="SIM3" s="42"/>
      <c r="SIN3" s="42"/>
      <c r="SIO3" s="42"/>
      <c r="SIP3" s="42"/>
      <c r="SIQ3" s="42"/>
      <c r="SIR3" s="42"/>
      <c r="SIS3" s="42"/>
      <c r="SIT3" s="42"/>
      <c r="SIU3" s="42"/>
      <c r="SIV3" s="42"/>
      <c r="SIW3" s="42"/>
      <c r="SIX3" s="42"/>
      <c r="SIY3" s="42"/>
      <c r="SIZ3" s="42"/>
      <c r="SJA3" s="42"/>
      <c r="SJB3" s="42"/>
      <c r="SJC3" s="42"/>
      <c r="SJD3" s="42"/>
      <c r="SJE3" s="42"/>
      <c r="SJF3" s="42"/>
      <c r="SJG3" s="42"/>
      <c r="SJH3" s="42"/>
      <c r="SJI3" s="42"/>
      <c r="SJJ3" s="42"/>
      <c r="SJK3" s="42"/>
      <c r="SJL3" s="42"/>
      <c r="SJM3" s="42"/>
      <c r="SJN3" s="42"/>
      <c r="SJO3" s="42"/>
      <c r="SJP3" s="42"/>
      <c r="SJQ3" s="42"/>
      <c r="SJR3" s="42"/>
      <c r="SJS3" s="42"/>
      <c r="SJT3" s="42"/>
      <c r="SJU3" s="42"/>
      <c r="SJV3" s="42"/>
      <c r="SJW3" s="42"/>
      <c r="SJX3" s="42"/>
      <c r="SJY3" s="42"/>
      <c r="SJZ3" s="42"/>
      <c r="SKA3" s="42"/>
      <c r="SKB3" s="42"/>
      <c r="SKC3" s="42"/>
      <c r="SKD3" s="42"/>
      <c r="SKE3" s="42"/>
      <c r="SKF3" s="42"/>
      <c r="SKG3" s="42"/>
      <c r="SKH3" s="42"/>
      <c r="SKI3" s="42"/>
      <c r="SKJ3" s="42"/>
      <c r="SKK3" s="42"/>
      <c r="SKL3" s="42"/>
      <c r="SKM3" s="42"/>
      <c r="SKN3" s="42"/>
      <c r="SKO3" s="42"/>
      <c r="SKP3" s="42"/>
      <c r="SKQ3" s="42"/>
      <c r="SKR3" s="42"/>
      <c r="SKS3" s="42"/>
      <c r="SKT3" s="42"/>
      <c r="SKU3" s="42"/>
      <c r="SKV3" s="42"/>
      <c r="SKW3" s="42"/>
      <c r="SKX3" s="42"/>
      <c r="SKY3" s="42"/>
      <c r="SKZ3" s="42"/>
      <c r="SLA3" s="42"/>
      <c r="SLB3" s="42"/>
      <c r="SLC3" s="42"/>
      <c r="SLD3" s="42"/>
      <c r="SLE3" s="42"/>
      <c r="SLF3" s="42"/>
      <c r="SLG3" s="42"/>
      <c r="SLH3" s="42"/>
      <c r="SLI3" s="42"/>
      <c r="SLJ3" s="42"/>
      <c r="SLK3" s="42"/>
      <c r="SLL3" s="42"/>
      <c r="SLM3" s="42"/>
      <c r="SLN3" s="42"/>
      <c r="SLO3" s="42"/>
      <c r="SLP3" s="42"/>
      <c r="SLQ3" s="42"/>
      <c r="SLR3" s="42"/>
      <c r="SLS3" s="42"/>
      <c r="SLT3" s="42"/>
      <c r="SLU3" s="42"/>
      <c r="SLV3" s="42"/>
      <c r="SLW3" s="42"/>
      <c r="SLX3" s="42"/>
      <c r="SLY3" s="42"/>
      <c r="SLZ3" s="42"/>
      <c r="SMA3" s="42"/>
      <c r="SMB3" s="42"/>
      <c r="SMC3" s="42"/>
      <c r="SMD3" s="42"/>
      <c r="SME3" s="42"/>
      <c r="SMF3" s="42"/>
      <c r="SMG3" s="42"/>
      <c r="SMH3" s="42"/>
      <c r="SMI3" s="42"/>
      <c r="SMJ3" s="42"/>
      <c r="SMK3" s="42"/>
      <c r="SML3" s="42"/>
      <c r="SMM3" s="42"/>
      <c r="SMN3" s="42"/>
      <c r="SMO3" s="42"/>
      <c r="SMP3" s="42"/>
      <c r="SMQ3" s="42"/>
      <c r="SMR3" s="42"/>
      <c r="SMS3" s="42"/>
      <c r="SMT3" s="42"/>
      <c r="SMU3" s="42"/>
      <c r="SMV3" s="42"/>
      <c r="SMW3" s="42"/>
      <c r="SMX3" s="42"/>
      <c r="SMY3" s="42"/>
      <c r="SMZ3" s="42"/>
      <c r="SNA3" s="42"/>
      <c r="SNB3" s="42"/>
      <c r="SNC3" s="42"/>
      <c r="SND3" s="42"/>
      <c r="SNE3" s="42"/>
      <c r="SNF3" s="42"/>
      <c r="SNG3" s="42"/>
      <c r="SNH3" s="42"/>
      <c r="SNI3" s="42"/>
      <c r="SNJ3" s="42"/>
      <c r="SNK3" s="42"/>
      <c r="SNL3" s="42"/>
      <c r="SNM3" s="42"/>
      <c r="SNN3" s="42"/>
      <c r="SNO3" s="42"/>
      <c r="SNP3" s="42"/>
      <c r="SNQ3" s="42"/>
      <c r="SNR3" s="42"/>
      <c r="SNS3" s="42"/>
      <c r="SNT3" s="42"/>
      <c r="SNU3" s="42"/>
      <c r="SNV3" s="42"/>
      <c r="SNW3" s="42"/>
      <c r="SNX3" s="42"/>
      <c r="SNY3" s="42"/>
      <c r="SNZ3" s="42"/>
      <c r="SOA3" s="42"/>
      <c r="SOB3" s="42"/>
      <c r="SOC3" s="42"/>
      <c r="SOD3" s="42"/>
      <c r="SOE3" s="42"/>
      <c r="SOF3" s="42"/>
      <c r="SOG3" s="42"/>
      <c r="SOH3" s="42"/>
      <c r="SOI3" s="42"/>
      <c r="SOJ3" s="42"/>
      <c r="SOK3" s="42"/>
      <c r="SOL3" s="42"/>
      <c r="SOM3" s="42"/>
      <c r="SON3" s="42"/>
      <c r="SOO3" s="42"/>
      <c r="SOP3" s="42"/>
      <c r="SOQ3" s="42"/>
      <c r="SOR3" s="42"/>
      <c r="SOS3" s="42"/>
      <c r="SOT3" s="42"/>
      <c r="SOU3" s="42"/>
      <c r="SOV3" s="42"/>
      <c r="SOW3" s="42"/>
      <c r="SOX3" s="42"/>
      <c r="SOY3" s="42"/>
      <c r="SOZ3" s="42"/>
      <c r="SPA3" s="42"/>
      <c r="SPB3" s="42"/>
      <c r="SPC3" s="42"/>
      <c r="SPD3" s="42"/>
      <c r="SPE3" s="42"/>
      <c r="SPF3" s="42"/>
      <c r="SPG3" s="42"/>
      <c r="SPH3" s="42"/>
      <c r="SPI3" s="42"/>
      <c r="SPJ3" s="42"/>
      <c r="SPK3" s="42"/>
      <c r="SPL3" s="42"/>
      <c r="SPM3" s="42"/>
      <c r="SPN3" s="42"/>
      <c r="SPO3" s="42"/>
      <c r="SPP3" s="42"/>
      <c r="SPQ3" s="42"/>
      <c r="SPR3" s="42"/>
      <c r="SPS3" s="42"/>
      <c r="SPT3" s="42"/>
      <c r="SPU3" s="42"/>
      <c r="SPV3" s="42"/>
      <c r="SPW3" s="42"/>
      <c r="SPX3" s="42"/>
      <c r="SPY3" s="42"/>
      <c r="SPZ3" s="42"/>
      <c r="SQA3" s="42"/>
      <c r="SQB3" s="42"/>
      <c r="SQC3" s="42"/>
      <c r="SQD3" s="42"/>
      <c r="SQE3" s="42"/>
      <c r="SQF3" s="42"/>
      <c r="SQG3" s="42"/>
      <c r="SQH3" s="42"/>
      <c r="SQI3" s="42"/>
      <c r="SQJ3" s="42"/>
      <c r="SQK3" s="42"/>
      <c r="SQL3" s="42"/>
      <c r="SQM3" s="42"/>
      <c r="SQN3" s="42"/>
      <c r="SQO3" s="42"/>
      <c r="SQP3" s="42"/>
      <c r="SQQ3" s="42"/>
      <c r="SQR3" s="42"/>
      <c r="SQS3" s="42"/>
      <c r="SQT3" s="42"/>
      <c r="SQU3" s="42"/>
      <c r="SQV3" s="42"/>
      <c r="SQW3" s="42"/>
      <c r="SQX3" s="42"/>
      <c r="SQY3" s="42"/>
      <c r="SQZ3" s="42"/>
      <c r="SRA3" s="42"/>
      <c r="SRB3" s="42"/>
      <c r="SRC3" s="42"/>
      <c r="SRD3" s="42"/>
      <c r="SRE3" s="42"/>
      <c r="SRF3" s="42"/>
      <c r="SRG3" s="42"/>
      <c r="SRH3" s="42"/>
      <c r="SRI3" s="42"/>
      <c r="SRJ3" s="42"/>
      <c r="SRK3" s="42"/>
      <c r="SRL3" s="42"/>
      <c r="SRM3" s="42"/>
      <c r="SRN3" s="42"/>
      <c r="SRO3" s="42"/>
      <c r="SRP3" s="42"/>
      <c r="SRQ3" s="42"/>
      <c r="SRR3" s="42"/>
      <c r="SRS3" s="42"/>
      <c r="SRT3" s="42"/>
      <c r="SRU3" s="42"/>
      <c r="SRV3" s="42"/>
      <c r="SRW3" s="42"/>
      <c r="SRX3" s="42"/>
      <c r="SRY3" s="42"/>
      <c r="SRZ3" s="42"/>
      <c r="SSA3" s="42"/>
      <c r="SSB3" s="42"/>
      <c r="SSC3" s="42"/>
      <c r="SSD3" s="42"/>
      <c r="SSE3" s="42"/>
      <c r="SSF3" s="42"/>
      <c r="SSG3" s="42"/>
      <c r="SSH3" s="42"/>
      <c r="SSI3" s="42"/>
      <c r="SSJ3" s="42"/>
      <c r="SSK3" s="42"/>
      <c r="SSL3" s="42"/>
      <c r="SSM3" s="42"/>
      <c r="SSN3" s="42"/>
      <c r="SSO3" s="42"/>
      <c r="SSP3" s="42"/>
      <c r="SSQ3" s="42"/>
      <c r="SSR3" s="42"/>
      <c r="SSS3" s="42"/>
      <c r="SST3" s="42"/>
      <c r="SSU3" s="42"/>
      <c r="SSV3" s="42"/>
      <c r="SSW3" s="42"/>
      <c r="SSX3" s="42"/>
      <c r="SSY3" s="42"/>
      <c r="SSZ3" s="42"/>
      <c r="STA3" s="42"/>
      <c r="STB3" s="42"/>
      <c r="STC3" s="42"/>
      <c r="STD3" s="42"/>
      <c r="STE3" s="42"/>
      <c r="STF3" s="42"/>
      <c r="STG3" s="42"/>
      <c r="STH3" s="42"/>
      <c r="STI3" s="42"/>
      <c r="STJ3" s="42"/>
      <c r="STK3" s="42"/>
      <c r="STL3" s="42"/>
      <c r="STM3" s="42"/>
      <c r="STN3" s="42"/>
      <c r="STO3" s="42"/>
      <c r="STP3" s="42"/>
      <c r="STQ3" s="42"/>
      <c r="STR3" s="42"/>
      <c r="STS3" s="42"/>
      <c r="STT3" s="42"/>
      <c r="STU3" s="42"/>
      <c r="STV3" s="42"/>
      <c r="STW3" s="42"/>
      <c r="STX3" s="42"/>
      <c r="STY3" s="42"/>
      <c r="STZ3" s="42"/>
      <c r="SUA3" s="42"/>
      <c r="SUB3" s="42"/>
      <c r="SUC3" s="42"/>
      <c r="SUD3" s="42"/>
      <c r="SUE3" s="42"/>
      <c r="SUF3" s="42"/>
      <c r="SUG3" s="42"/>
      <c r="SUH3" s="42"/>
      <c r="SUI3" s="42"/>
      <c r="SUJ3" s="42"/>
      <c r="SUK3" s="42"/>
      <c r="SUL3" s="42"/>
      <c r="SUM3" s="42"/>
      <c r="SUN3" s="42"/>
      <c r="SUO3" s="42"/>
      <c r="SUP3" s="42"/>
      <c r="SUQ3" s="42"/>
      <c r="SUR3" s="42"/>
      <c r="SUS3" s="42"/>
      <c r="SUT3" s="42"/>
      <c r="SUU3" s="42"/>
      <c r="SUV3" s="42"/>
      <c r="SUW3" s="42"/>
      <c r="SUX3" s="42"/>
      <c r="SUY3" s="42"/>
      <c r="SUZ3" s="42"/>
      <c r="SVA3" s="42"/>
      <c r="SVB3" s="42"/>
      <c r="SVC3" s="42"/>
      <c r="SVD3" s="42"/>
      <c r="SVE3" s="42"/>
      <c r="SVF3" s="42"/>
      <c r="SVG3" s="42"/>
      <c r="SVH3" s="42"/>
      <c r="SVI3" s="42"/>
      <c r="SVJ3" s="42"/>
      <c r="SVK3" s="42"/>
      <c r="SVL3" s="42"/>
      <c r="SVM3" s="42"/>
      <c r="SVN3" s="42"/>
      <c r="SVO3" s="42"/>
      <c r="SVP3" s="42"/>
      <c r="SVQ3" s="42"/>
      <c r="SVR3" s="42"/>
      <c r="SVS3" s="42"/>
      <c r="SVT3" s="42"/>
      <c r="SVU3" s="42"/>
      <c r="SVV3" s="42"/>
      <c r="SVW3" s="42"/>
      <c r="SVX3" s="42"/>
      <c r="SVY3" s="42"/>
      <c r="SVZ3" s="42"/>
      <c r="SWA3" s="42"/>
      <c r="SWB3" s="42"/>
      <c r="SWC3" s="42"/>
      <c r="SWD3" s="42"/>
      <c r="SWE3" s="42"/>
      <c r="SWF3" s="42"/>
      <c r="SWG3" s="42"/>
      <c r="SWH3" s="42"/>
      <c r="SWI3" s="42"/>
      <c r="SWJ3" s="42"/>
      <c r="SWK3" s="42"/>
      <c r="SWL3" s="42"/>
      <c r="SWM3" s="42"/>
      <c r="SWN3" s="42"/>
      <c r="SWO3" s="42"/>
      <c r="SWP3" s="42"/>
      <c r="SWQ3" s="42"/>
      <c r="SWR3" s="42"/>
      <c r="SWS3" s="42"/>
      <c r="SWT3" s="42"/>
      <c r="SWU3" s="42"/>
      <c r="SWV3" s="42"/>
      <c r="SWW3" s="42"/>
      <c r="SWX3" s="42"/>
      <c r="SWY3" s="42"/>
      <c r="SWZ3" s="42"/>
      <c r="SXA3" s="42"/>
      <c r="SXB3" s="42"/>
      <c r="SXC3" s="42"/>
      <c r="SXD3" s="42"/>
      <c r="SXE3" s="42"/>
      <c r="SXF3" s="42"/>
      <c r="SXG3" s="42"/>
      <c r="SXH3" s="42"/>
      <c r="SXI3" s="42"/>
      <c r="SXJ3" s="42"/>
      <c r="SXK3" s="42"/>
      <c r="SXL3" s="42"/>
      <c r="SXM3" s="42"/>
      <c r="SXN3" s="42"/>
      <c r="SXO3" s="42"/>
      <c r="SXP3" s="42"/>
      <c r="SXQ3" s="42"/>
      <c r="SXR3" s="42"/>
      <c r="SXS3" s="42"/>
      <c r="SXT3" s="42"/>
      <c r="SXU3" s="42"/>
      <c r="SXV3" s="42"/>
      <c r="SXW3" s="42"/>
      <c r="SXX3" s="42"/>
      <c r="SXY3" s="42"/>
      <c r="SXZ3" s="42"/>
      <c r="SYA3" s="42"/>
      <c r="SYB3" s="42"/>
      <c r="SYC3" s="42"/>
      <c r="SYD3" s="42"/>
      <c r="SYE3" s="42"/>
      <c r="SYF3" s="42"/>
      <c r="SYG3" s="42"/>
      <c r="SYH3" s="42"/>
      <c r="SYI3" s="42"/>
      <c r="SYJ3" s="42"/>
      <c r="SYK3" s="42"/>
      <c r="SYL3" s="42"/>
      <c r="SYM3" s="42"/>
      <c r="SYN3" s="42"/>
      <c r="SYO3" s="42"/>
      <c r="SYP3" s="42"/>
      <c r="SYQ3" s="42"/>
      <c r="SYR3" s="42"/>
      <c r="SYS3" s="42"/>
      <c r="SYT3" s="42"/>
      <c r="SYU3" s="42"/>
      <c r="SYV3" s="42"/>
      <c r="SYW3" s="42"/>
      <c r="SYX3" s="42"/>
      <c r="SYY3" s="42"/>
      <c r="SYZ3" s="42"/>
      <c r="SZA3" s="42"/>
      <c r="SZB3" s="42"/>
      <c r="SZC3" s="42"/>
      <c r="SZD3" s="42"/>
      <c r="SZE3" s="42"/>
      <c r="SZF3" s="42"/>
      <c r="SZG3" s="42"/>
      <c r="SZH3" s="42"/>
      <c r="SZI3" s="42"/>
      <c r="SZJ3" s="42"/>
      <c r="SZK3" s="42"/>
      <c r="SZL3" s="42"/>
      <c r="SZM3" s="42"/>
      <c r="SZN3" s="42"/>
      <c r="SZO3" s="42"/>
      <c r="SZP3" s="42"/>
      <c r="SZQ3" s="42"/>
      <c r="SZR3" s="42"/>
      <c r="SZS3" s="42"/>
      <c r="SZT3" s="42"/>
      <c r="SZU3" s="42"/>
      <c r="SZV3" s="42"/>
      <c r="SZW3" s="42"/>
      <c r="SZX3" s="42"/>
      <c r="SZY3" s="42"/>
      <c r="SZZ3" s="42"/>
      <c r="TAA3" s="42"/>
      <c r="TAB3" s="42"/>
      <c r="TAC3" s="42"/>
      <c r="TAD3" s="42"/>
      <c r="TAE3" s="42"/>
      <c r="TAF3" s="42"/>
      <c r="TAG3" s="42"/>
      <c r="TAH3" s="42"/>
      <c r="TAI3" s="42"/>
      <c r="TAJ3" s="42"/>
      <c r="TAK3" s="42"/>
      <c r="TAL3" s="42"/>
      <c r="TAM3" s="42"/>
      <c r="TAN3" s="42"/>
      <c r="TAO3" s="42"/>
      <c r="TAP3" s="42"/>
      <c r="TAQ3" s="42"/>
      <c r="TAR3" s="42"/>
      <c r="TAS3" s="42"/>
      <c r="TAT3" s="42"/>
      <c r="TAU3" s="42"/>
      <c r="TAV3" s="42"/>
      <c r="TAW3" s="42"/>
      <c r="TAX3" s="42"/>
      <c r="TAY3" s="42"/>
      <c r="TAZ3" s="42"/>
      <c r="TBA3" s="42"/>
      <c r="TBB3" s="42"/>
      <c r="TBC3" s="42"/>
      <c r="TBD3" s="42"/>
      <c r="TBE3" s="42"/>
      <c r="TBF3" s="42"/>
      <c r="TBG3" s="42"/>
      <c r="TBH3" s="42"/>
      <c r="TBI3" s="42"/>
      <c r="TBJ3" s="42"/>
      <c r="TBK3" s="42"/>
      <c r="TBL3" s="42"/>
      <c r="TBM3" s="42"/>
      <c r="TBN3" s="42"/>
      <c r="TBO3" s="42"/>
      <c r="TBP3" s="42"/>
      <c r="TBQ3" s="42"/>
      <c r="TBR3" s="42"/>
      <c r="TBS3" s="42"/>
      <c r="TBT3" s="42"/>
      <c r="TBU3" s="42"/>
      <c r="TBV3" s="42"/>
      <c r="TBW3" s="42"/>
      <c r="TBX3" s="42"/>
      <c r="TBY3" s="42"/>
      <c r="TBZ3" s="42"/>
      <c r="TCA3" s="42"/>
      <c r="TCB3" s="42"/>
      <c r="TCC3" s="42"/>
      <c r="TCD3" s="42"/>
      <c r="TCE3" s="42"/>
      <c r="TCF3" s="42"/>
      <c r="TCG3" s="42"/>
      <c r="TCH3" s="42"/>
      <c r="TCI3" s="42"/>
      <c r="TCJ3" s="42"/>
      <c r="TCK3" s="42"/>
      <c r="TCL3" s="42"/>
      <c r="TCM3" s="42"/>
      <c r="TCN3" s="42"/>
      <c r="TCO3" s="42"/>
      <c r="TCP3" s="42"/>
      <c r="TCQ3" s="42"/>
      <c r="TCR3" s="42"/>
      <c r="TCS3" s="42"/>
      <c r="TCT3" s="42"/>
      <c r="TCU3" s="42"/>
      <c r="TCV3" s="42"/>
      <c r="TCW3" s="42"/>
      <c r="TCX3" s="42"/>
      <c r="TCY3" s="42"/>
      <c r="TCZ3" s="42"/>
      <c r="TDA3" s="42"/>
      <c r="TDB3" s="42"/>
      <c r="TDC3" s="42"/>
      <c r="TDD3" s="42"/>
      <c r="TDE3" s="42"/>
      <c r="TDF3" s="42"/>
      <c r="TDG3" s="42"/>
      <c r="TDH3" s="42"/>
      <c r="TDI3" s="42"/>
      <c r="TDJ3" s="42"/>
      <c r="TDK3" s="42"/>
      <c r="TDL3" s="42"/>
      <c r="TDM3" s="42"/>
      <c r="TDN3" s="42"/>
      <c r="TDO3" s="42"/>
      <c r="TDP3" s="42"/>
      <c r="TDQ3" s="42"/>
      <c r="TDR3" s="42"/>
      <c r="TDS3" s="42"/>
      <c r="TDT3" s="42"/>
      <c r="TDU3" s="42"/>
      <c r="TDV3" s="42"/>
      <c r="TDW3" s="42"/>
      <c r="TDX3" s="42"/>
      <c r="TDY3" s="42"/>
      <c r="TDZ3" s="42"/>
      <c r="TEA3" s="42"/>
      <c r="TEB3" s="42"/>
      <c r="TEC3" s="42"/>
      <c r="TED3" s="42"/>
      <c r="TEE3" s="42"/>
      <c r="TEF3" s="42"/>
      <c r="TEG3" s="42"/>
      <c r="TEH3" s="42"/>
      <c r="TEI3" s="42"/>
      <c r="TEJ3" s="42"/>
      <c r="TEK3" s="42"/>
      <c r="TEL3" s="42"/>
      <c r="TEM3" s="42"/>
      <c r="TEN3" s="42"/>
      <c r="TEO3" s="42"/>
      <c r="TEP3" s="42"/>
      <c r="TEQ3" s="42"/>
      <c r="TER3" s="42"/>
      <c r="TES3" s="42"/>
      <c r="TET3" s="42"/>
      <c r="TEU3" s="42"/>
      <c r="TEV3" s="42"/>
      <c r="TEW3" s="42"/>
      <c r="TEX3" s="42"/>
      <c r="TEY3" s="42"/>
      <c r="TEZ3" s="42"/>
      <c r="TFA3" s="42"/>
      <c r="TFB3" s="42"/>
      <c r="TFC3" s="42"/>
      <c r="TFD3" s="42"/>
      <c r="TFE3" s="42"/>
      <c r="TFF3" s="42"/>
      <c r="TFG3" s="42"/>
      <c r="TFH3" s="42"/>
      <c r="TFI3" s="42"/>
      <c r="TFJ3" s="42"/>
      <c r="TFK3" s="42"/>
      <c r="TFL3" s="42"/>
      <c r="TFM3" s="42"/>
      <c r="TFN3" s="42"/>
      <c r="TFO3" s="42"/>
      <c r="TFP3" s="42"/>
      <c r="TFQ3" s="42"/>
      <c r="TFR3" s="42"/>
      <c r="TFS3" s="42"/>
      <c r="TFT3" s="42"/>
      <c r="TFU3" s="42"/>
      <c r="TFV3" s="42"/>
      <c r="TFW3" s="42"/>
      <c r="TFX3" s="42"/>
      <c r="TFY3" s="42"/>
      <c r="TFZ3" s="42"/>
      <c r="TGA3" s="42"/>
      <c r="TGB3" s="42"/>
      <c r="TGC3" s="42"/>
      <c r="TGD3" s="42"/>
      <c r="TGE3" s="42"/>
      <c r="TGF3" s="42"/>
      <c r="TGG3" s="42"/>
      <c r="TGH3" s="42"/>
      <c r="TGI3" s="42"/>
      <c r="TGJ3" s="42"/>
      <c r="TGK3" s="42"/>
      <c r="TGL3" s="42"/>
      <c r="TGM3" s="42"/>
      <c r="TGN3" s="42"/>
      <c r="TGO3" s="42"/>
      <c r="TGP3" s="42"/>
      <c r="TGQ3" s="42"/>
      <c r="TGR3" s="42"/>
      <c r="TGS3" s="42"/>
      <c r="TGT3" s="42"/>
      <c r="TGU3" s="42"/>
      <c r="TGV3" s="42"/>
      <c r="TGW3" s="42"/>
      <c r="TGX3" s="42"/>
      <c r="TGY3" s="42"/>
      <c r="TGZ3" s="42"/>
      <c r="THA3" s="42"/>
      <c r="THB3" s="42"/>
      <c r="THC3" s="42"/>
      <c r="THD3" s="42"/>
      <c r="THE3" s="42"/>
      <c r="THF3" s="42"/>
      <c r="THG3" s="42"/>
      <c r="THH3" s="42"/>
      <c r="THI3" s="42"/>
      <c r="THJ3" s="42"/>
      <c r="THK3" s="42"/>
      <c r="THL3" s="42"/>
      <c r="THM3" s="42"/>
      <c r="THN3" s="42"/>
      <c r="THO3" s="42"/>
      <c r="THP3" s="42"/>
      <c r="THQ3" s="42"/>
      <c r="THR3" s="42"/>
      <c r="THS3" s="42"/>
      <c r="THT3" s="42"/>
      <c r="THU3" s="42"/>
      <c r="THV3" s="42"/>
      <c r="THW3" s="42"/>
      <c r="THX3" s="42"/>
      <c r="THY3" s="42"/>
      <c r="THZ3" s="42"/>
      <c r="TIA3" s="42"/>
      <c r="TIB3" s="42"/>
      <c r="TIC3" s="42"/>
      <c r="TID3" s="42"/>
      <c r="TIE3" s="42"/>
      <c r="TIF3" s="42"/>
      <c r="TIG3" s="42"/>
      <c r="TIH3" s="42"/>
      <c r="TII3" s="42"/>
      <c r="TIJ3" s="42"/>
      <c r="TIK3" s="42"/>
      <c r="TIL3" s="42"/>
      <c r="TIM3" s="42"/>
      <c r="TIN3" s="42"/>
      <c r="TIO3" s="42"/>
      <c r="TIP3" s="42"/>
      <c r="TIQ3" s="42"/>
      <c r="TIR3" s="42"/>
      <c r="TIS3" s="42"/>
      <c r="TIT3" s="42"/>
      <c r="TIU3" s="42"/>
      <c r="TIV3" s="42"/>
      <c r="TIW3" s="42"/>
      <c r="TIX3" s="42"/>
      <c r="TIY3" s="42"/>
      <c r="TIZ3" s="42"/>
      <c r="TJA3" s="42"/>
      <c r="TJB3" s="42"/>
      <c r="TJC3" s="42"/>
      <c r="TJD3" s="42"/>
      <c r="TJE3" s="42"/>
      <c r="TJF3" s="42"/>
      <c r="TJG3" s="42"/>
      <c r="TJH3" s="42"/>
      <c r="TJI3" s="42"/>
      <c r="TJJ3" s="42"/>
      <c r="TJK3" s="42"/>
      <c r="TJL3" s="42"/>
      <c r="TJM3" s="42"/>
      <c r="TJN3" s="42"/>
      <c r="TJO3" s="42"/>
      <c r="TJP3" s="42"/>
      <c r="TJQ3" s="42"/>
      <c r="TJR3" s="42"/>
      <c r="TJS3" s="42"/>
      <c r="TJT3" s="42"/>
      <c r="TJU3" s="42"/>
      <c r="TJV3" s="42"/>
      <c r="TJW3" s="42"/>
      <c r="TJX3" s="42"/>
      <c r="TJY3" s="42"/>
      <c r="TJZ3" s="42"/>
      <c r="TKA3" s="42"/>
      <c r="TKB3" s="42"/>
      <c r="TKC3" s="42"/>
      <c r="TKD3" s="42"/>
      <c r="TKE3" s="42"/>
      <c r="TKF3" s="42"/>
      <c r="TKG3" s="42"/>
      <c r="TKH3" s="42"/>
      <c r="TKI3" s="42"/>
      <c r="TKJ3" s="42"/>
      <c r="TKK3" s="42"/>
      <c r="TKL3" s="42"/>
      <c r="TKM3" s="42"/>
      <c r="TKN3" s="42"/>
      <c r="TKO3" s="42"/>
      <c r="TKP3" s="42"/>
      <c r="TKQ3" s="42"/>
      <c r="TKR3" s="42"/>
      <c r="TKS3" s="42"/>
      <c r="TKT3" s="42"/>
      <c r="TKU3" s="42"/>
      <c r="TKV3" s="42"/>
      <c r="TKW3" s="42"/>
      <c r="TKX3" s="42"/>
      <c r="TKY3" s="42"/>
      <c r="TKZ3" s="42"/>
      <c r="TLA3" s="42"/>
      <c r="TLB3" s="42"/>
      <c r="TLC3" s="42"/>
      <c r="TLD3" s="42"/>
      <c r="TLE3" s="42"/>
      <c r="TLF3" s="42"/>
      <c r="TLG3" s="42"/>
      <c r="TLH3" s="42"/>
      <c r="TLI3" s="42"/>
      <c r="TLJ3" s="42"/>
      <c r="TLK3" s="42"/>
      <c r="TLL3" s="42"/>
      <c r="TLM3" s="42"/>
      <c r="TLN3" s="42"/>
      <c r="TLO3" s="42"/>
      <c r="TLP3" s="42"/>
      <c r="TLQ3" s="42"/>
      <c r="TLR3" s="42"/>
      <c r="TLS3" s="42"/>
      <c r="TLT3" s="42"/>
      <c r="TLU3" s="42"/>
      <c r="TLV3" s="42"/>
      <c r="TLW3" s="42"/>
      <c r="TLX3" s="42"/>
      <c r="TLY3" s="42"/>
      <c r="TLZ3" s="42"/>
      <c r="TMA3" s="42"/>
      <c r="TMB3" s="42"/>
      <c r="TMC3" s="42"/>
      <c r="TMD3" s="42"/>
      <c r="TME3" s="42"/>
      <c r="TMF3" s="42"/>
      <c r="TMG3" s="42"/>
      <c r="TMH3" s="42"/>
      <c r="TMI3" s="42"/>
      <c r="TMJ3" s="42"/>
      <c r="TMK3" s="42"/>
      <c r="TML3" s="42"/>
      <c r="TMM3" s="42"/>
      <c r="TMN3" s="42"/>
      <c r="TMO3" s="42"/>
      <c r="TMP3" s="42"/>
      <c r="TMQ3" s="42"/>
      <c r="TMR3" s="42"/>
      <c r="TMS3" s="42"/>
      <c r="TMT3" s="42"/>
      <c r="TMU3" s="42"/>
      <c r="TMV3" s="42"/>
      <c r="TMW3" s="42"/>
      <c r="TMX3" s="42"/>
      <c r="TMY3" s="42"/>
      <c r="TMZ3" s="42"/>
      <c r="TNA3" s="42"/>
      <c r="TNB3" s="42"/>
      <c r="TNC3" s="42"/>
      <c r="TND3" s="42"/>
      <c r="TNE3" s="42"/>
      <c r="TNF3" s="42"/>
      <c r="TNG3" s="42"/>
      <c r="TNH3" s="42"/>
      <c r="TNI3" s="42"/>
      <c r="TNJ3" s="42"/>
      <c r="TNK3" s="42"/>
      <c r="TNL3" s="42"/>
      <c r="TNM3" s="42"/>
      <c r="TNN3" s="42"/>
      <c r="TNO3" s="42"/>
      <c r="TNP3" s="42"/>
      <c r="TNQ3" s="42"/>
      <c r="TNR3" s="42"/>
      <c r="TNS3" s="42"/>
      <c r="TNT3" s="42"/>
      <c r="TNU3" s="42"/>
      <c r="TNV3" s="42"/>
      <c r="TNW3" s="42"/>
      <c r="TNX3" s="42"/>
      <c r="TNY3" s="42"/>
      <c r="TNZ3" s="42"/>
      <c r="TOA3" s="42"/>
      <c r="TOB3" s="42"/>
      <c r="TOC3" s="42"/>
      <c r="TOD3" s="42"/>
      <c r="TOE3" s="42"/>
      <c r="TOF3" s="42"/>
      <c r="TOG3" s="42"/>
      <c r="TOH3" s="42"/>
      <c r="TOI3" s="42"/>
      <c r="TOJ3" s="42"/>
      <c r="TOK3" s="42"/>
      <c r="TOL3" s="42"/>
      <c r="TOM3" s="42"/>
      <c r="TON3" s="42"/>
      <c r="TOO3" s="42"/>
      <c r="TOP3" s="42"/>
      <c r="TOQ3" s="42"/>
      <c r="TOR3" s="42"/>
      <c r="TOS3" s="42"/>
      <c r="TOT3" s="42"/>
      <c r="TOU3" s="42"/>
      <c r="TOV3" s="42"/>
      <c r="TOW3" s="42"/>
      <c r="TOX3" s="42"/>
      <c r="TOY3" s="42"/>
      <c r="TOZ3" s="42"/>
      <c r="TPA3" s="42"/>
      <c r="TPB3" s="42"/>
      <c r="TPC3" s="42"/>
      <c r="TPD3" s="42"/>
      <c r="TPE3" s="42"/>
      <c r="TPF3" s="42"/>
      <c r="TPG3" s="42"/>
      <c r="TPH3" s="42"/>
      <c r="TPI3" s="42"/>
      <c r="TPJ3" s="42"/>
      <c r="TPK3" s="42"/>
      <c r="TPL3" s="42"/>
      <c r="TPM3" s="42"/>
      <c r="TPN3" s="42"/>
      <c r="TPO3" s="42"/>
      <c r="TPP3" s="42"/>
      <c r="TPQ3" s="42"/>
      <c r="TPR3" s="42"/>
      <c r="TPS3" s="42"/>
      <c r="TPT3" s="42"/>
      <c r="TPU3" s="42"/>
      <c r="TPV3" s="42"/>
      <c r="TPW3" s="42"/>
      <c r="TPX3" s="42"/>
      <c r="TPY3" s="42"/>
      <c r="TPZ3" s="42"/>
      <c r="TQA3" s="42"/>
      <c r="TQB3" s="42"/>
      <c r="TQC3" s="42"/>
      <c r="TQD3" s="42"/>
      <c r="TQE3" s="42"/>
      <c r="TQF3" s="42"/>
      <c r="TQG3" s="42"/>
      <c r="TQH3" s="42"/>
      <c r="TQI3" s="42"/>
      <c r="TQJ3" s="42"/>
      <c r="TQK3" s="42"/>
      <c r="TQL3" s="42"/>
      <c r="TQM3" s="42"/>
      <c r="TQN3" s="42"/>
      <c r="TQO3" s="42"/>
      <c r="TQP3" s="42"/>
      <c r="TQQ3" s="42"/>
      <c r="TQR3" s="42"/>
      <c r="TQS3" s="42"/>
      <c r="TQT3" s="42"/>
      <c r="TQU3" s="42"/>
      <c r="TQV3" s="42"/>
      <c r="TQW3" s="42"/>
      <c r="TQX3" s="42"/>
      <c r="TQY3" s="42"/>
      <c r="TQZ3" s="42"/>
      <c r="TRA3" s="42"/>
      <c r="TRB3" s="42"/>
      <c r="TRC3" s="42"/>
      <c r="TRD3" s="42"/>
      <c r="TRE3" s="42"/>
      <c r="TRF3" s="42"/>
      <c r="TRG3" s="42"/>
      <c r="TRH3" s="42"/>
      <c r="TRI3" s="42"/>
      <c r="TRJ3" s="42"/>
      <c r="TRK3" s="42"/>
      <c r="TRL3" s="42"/>
      <c r="TRM3" s="42"/>
      <c r="TRN3" s="42"/>
      <c r="TRO3" s="42"/>
      <c r="TRP3" s="42"/>
      <c r="TRQ3" s="42"/>
      <c r="TRR3" s="42"/>
      <c r="TRS3" s="42"/>
      <c r="TRT3" s="42"/>
      <c r="TRU3" s="42"/>
      <c r="TRV3" s="42"/>
      <c r="TRW3" s="42"/>
      <c r="TRX3" s="42"/>
      <c r="TRY3" s="42"/>
      <c r="TRZ3" s="42"/>
      <c r="TSA3" s="42"/>
      <c r="TSB3" s="42"/>
      <c r="TSC3" s="42"/>
      <c r="TSD3" s="42"/>
      <c r="TSE3" s="42"/>
      <c r="TSF3" s="42"/>
      <c r="TSG3" s="42"/>
      <c r="TSH3" s="42"/>
      <c r="TSI3" s="42"/>
      <c r="TSJ3" s="42"/>
      <c r="TSK3" s="42"/>
      <c r="TSL3" s="42"/>
      <c r="TSM3" s="42"/>
      <c r="TSN3" s="42"/>
      <c r="TSO3" s="42"/>
      <c r="TSP3" s="42"/>
      <c r="TSQ3" s="42"/>
      <c r="TSR3" s="42"/>
      <c r="TSS3" s="42"/>
      <c r="TST3" s="42"/>
      <c r="TSU3" s="42"/>
      <c r="TSV3" s="42"/>
      <c r="TSW3" s="42"/>
      <c r="TSX3" s="42"/>
      <c r="TSY3" s="42"/>
      <c r="TSZ3" s="42"/>
      <c r="TTA3" s="42"/>
      <c r="TTB3" s="42"/>
      <c r="TTC3" s="42"/>
      <c r="TTD3" s="42"/>
      <c r="TTE3" s="42"/>
      <c r="TTF3" s="42"/>
      <c r="TTG3" s="42"/>
      <c r="TTH3" s="42"/>
      <c r="TTI3" s="42"/>
      <c r="TTJ3" s="42"/>
      <c r="TTK3" s="42"/>
      <c r="TTL3" s="42"/>
      <c r="TTM3" s="42"/>
      <c r="TTN3" s="42"/>
      <c r="TTO3" s="42"/>
      <c r="TTP3" s="42"/>
      <c r="TTQ3" s="42"/>
      <c r="TTR3" s="42"/>
      <c r="TTS3" s="42"/>
      <c r="TTT3" s="42"/>
      <c r="TTU3" s="42"/>
      <c r="TTV3" s="42"/>
      <c r="TTW3" s="42"/>
      <c r="TTX3" s="42"/>
      <c r="TTY3" s="42"/>
      <c r="TTZ3" s="42"/>
      <c r="TUA3" s="42"/>
      <c r="TUB3" s="42"/>
      <c r="TUC3" s="42"/>
      <c r="TUD3" s="42"/>
      <c r="TUE3" s="42"/>
      <c r="TUF3" s="42"/>
      <c r="TUG3" s="42"/>
      <c r="TUH3" s="42"/>
      <c r="TUI3" s="42"/>
      <c r="TUJ3" s="42"/>
      <c r="TUK3" s="42"/>
      <c r="TUL3" s="42"/>
      <c r="TUM3" s="42"/>
      <c r="TUN3" s="42"/>
      <c r="TUO3" s="42"/>
      <c r="TUP3" s="42"/>
      <c r="TUQ3" s="42"/>
      <c r="TUR3" s="42"/>
      <c r="TUS3" s="42"/>
      <c r="TUT3" s="42"/>
      <c r="TUU3" s="42"/>
      <c r="TUV3" s="42"/>
      <c r="TUW3" s="42"/>
      <c r="TUX3" s="42"/>
      <c r="TUY3" s="42"/>
      <c r="TUZ3" s="42"/>
      <c r="TVA3" s="42"/>
      <c r="TVB3" s="42"/>
      <c r="TVC3" s="42"/>
      <c r="TVD3" s="42"/>
      <c r="TVE3" s="42"/>
      <c r="TVF3" s="42"/>
      <c r="TVG3" s="42"/>
      <c r="TVH3" s="42"/>
      <c r="TVI3" s="42"/>
      <c r="TVJ3" s="42"/>
      <c r="TVK3" s="42"/>
      <c r="TVL3" s="42"/>
      <c r="TVM3" s="42"/>
      <c r="TVN3" s="42"/>
      <c r="TVO3" s="42"/>
      <c r="TVP3" s="42"/>
      <c r="TVQ3" s="42"/>
      <c r="TVR3" s="42"/>
      <c r="TVS3" s="42"/>
      <c r="TVT3" s="42"/>
      <c r="TVU3" s="42"/>
      <c r="TVV3" s="42"/>
      <c r="TVW3" s="42"/>
      <c r="TVX3" s="42"/>
      <c r="TVY3" s="42"/>
      <c r="TVZ3" s="42"/>
      <c r="TWA3" s="42"/>
      <c r="TWB3" s="42"/>
      <c r="TWC3" s="42"/>
      <c r="TWD3" s="42"/>
      <c r="TWE3" s="42"/>
      <c r="TWF3" s="42"/>
      <c r="TWG3" s="42"/>
      <c r="TWH3" s="42"/>
      <c r="TWI3" s="42"/>
      <c r="TWJ3" s="42"/>
      <c r="TWK3" s="42"/>
      <c r="TWL3" s="42"/>
      <c r="TWM3" s="42"/>
      <c r="TWN3" s="42"/>
      <c r="TWO3" s="42"/>
      <c r="TWP3" s="42"/>
      <c r="TWQ3" s="42"/>
      <c r="TWR3" s="42"/>
      <c r="TWS3" s="42"/>
      <c r="TWT3" s="42"/>
      <c r="TWU3" s="42"/>
      <c r="TWV3" s="42"/>
      <c r="TWW3" s="42"/>
      <c r="TWX3" s="42"/>
      <c r="TWY3" s="42"/>
      <c r="TWZ3" s="42"/>
      <c r="TXA3" s="42"/>
      <c r="TXB3" s="42"/>
      <c r="TXC3" s="42"/>
      <c r="TXD3" s="42"/>
      <c r="TXE3" s="42"/>
      <c r="TXF3" s="42"/>
      <c r="TXG3" s="42"/>
      <c r="TXH3" s="42"/>
      <c r="TXI3" s="42"/>
      <c r="TXJ3" s="42"/>
      <c r="TXK3" s="42"/>
      <c r="TXL3" s="42"/>
      <c r="TXM3" s="42"/>
      <c r="TXN3" s="42"/>
      <c r="TXO3" s="42"/>
      <c r="TXP3" s="42"/>
      <c r="TXQ3" s="42"/>
      <c r="TXR3" s="42"/>
      <c r="TXS3" s="42"/>
      <c r="TXT3" s="42"/>
      <c r="TXU3" s="42"/>
      <c r="TXV3" s="42"/>
      <c r="TXW3" s="42"/>
      <c r="TXX3" s="42"/>
      <c r="TXY3" s="42"/>
      <c r="TXZ3" s="42"/>
      <c r="TYA3" s="42"/>
      <c r="TYB3" s="42"/>
      <c r="TYC3" s="42"/>
      <c r="TYD3" s="42"/>
      <c r="TYE3" s="42"/>
      <c r="TYF3" s="42"/>
      <c r="TYG3" s="42"/>
      <c r="TYH3" s="42"/>
      <c r="TYI3" s="42"/>
      <c r="TYJ3" s="42"/>
      <c r="TYK3" s="42"/>
      <c r="TYL3" s="42"/>
      <c r="TYM3" s="42"/>
      <c r="TYN3" s="42"/>
      <c r="TYO3" s="42"/>
      <c r="TYP3" s="42"/>
      <c r="TYQ3" s="42"/>
      <c r="TYR3" s="42"/>
      <c r="TYS3" s="42"/>
      <c r="TYT3" s="42"/>
      <c r="TYU3" s="42"/>
      <c r="TYV3" s="42"/>
      <c r="TYW3" s="42"/>
      <c r="TYX3" s="42"/>
      <c r="TYY3" s="42"/>
      <c r="TYZ3" s="42"/>
      <c r="TZA3" s="42"/>
      <c r="TZB3" s="42"/>
      <c r="TZC3" s="42"/>
      <c r="TZD3" s="42"/>
      <c r="TZE3" s="42"/>
      <c r="TZF3" s="42"/>
      <c r="TZG3" s="42"/>
      <c r="TZH3" s="42"/>
      <c r="TZI3" s="42"/>
      <c r="TZJ3" s="42"/>
      <c r="TZK3" s="42"/>
      <c r="TZL3" s="42"/>
      <c r="TZM3" s="42"/>
      <c r="TZN3" s="42"/>
      <c r="TZO3" s="42"/>
      <c r="TZP3" s="42"/>
      <c r="TZQ3" s="42"/>
      <c r="TZR3" s="42"/>
      <c r="TZS3" s="42"/>
      <c r="TZT3" s="42"/>
      <c r="TZU3" s="42"/>
      <c r="TZV3" s="42"/>
      <c r="TZW3" s="42"/>
      <c r="TZX3" s="42"/>
      <c r="TZY3" s="42"/>
      <c r="TZZ3" s="42"/>
      <c r="UAA3" s="42"/>
      <c r="UAB3" s="42"/>
      <c r="UAC3" s="42"/>
      <c r="UAD3" s="42"/>
      <c r="UAE3" s="42"/>
      <c r="UAF3" s="42"/>
      <c r="UAG3" s="42"/>
      <c r="UAH3" s="42"/>
      <c r="UAI3" s="42"/>
      <c r="UAJ3" s="42"/>
      <c r="UAK3" s="42"/>
      <c r="UAL3" s="42"/>
      <c r="UAM3" s="42"/>
      <c r="UAN3" s="42"/>
      <c r="UAO3" s="42"/>
      <c r="UAP3" s="42"/>
      <c r="UAQ3" s="42"/>
      <c r="UAR3" s="42"/>
      <c r="UAS3" s="42"/>
      <c r="UAT3" s="42"/>
      <c r="UAU3" s="42"/>
      <c r="UAV3" s="42"/>
      <c r="UAW3" s="42"/>
      <c r="UAX3" s="42"/>
      <c r="UAY3" s="42"/>
      <c r="UAZ3" s="42"/>
      <c r="UBA3" s="42"/>
      <c r="UBB3" s="42"/>
      <c r="UBC3" s="42"/>
      <c r="UBD3" s="42"/>
      <c r="UBE3" s="42"/>
      <c r="UBF3" s="42"/>
      <c r="UBG3" s="42"/>
      <c r="UBH3" s="42"/>
      <c r="UBI3" s="42"/>
      <c r="UBJ3" s="42"/>
      <c r="UBK3" s="42"/>
      <c r="UBL3" s="42"/>
      <c r="UBM3" s="42"/>
      <c r="UBN3" s="42"/>
      <c r="UBO3" s="42"/>
      <c r="UBP3" s="42"/>
      <c r="UBQ3" s="42"/>
      <c r="UBR3" s="42"/>
      <c r="UBS3" s="42"/>
      <c r="UBT3" s="42"/>
      <c r="UBU3" s="42"/>
      <c r="UBV3" s="42"/>
      <c r="UBW3" s="42"/>
      <c r="UBX3" s="42"/>
      <c r="UBY3" s="42"/>
      <c r="UBZ3" s="42"/>
      <c r="UCA3" s="42"/>
      <c r="UCB3" s="42"/>
      <c r="UCC3" s="42"/>
      <c r="UCD3" s="42"/>
      <c r="UCE3" s="42"/>
      <c r="UCF3" s="42"/>
      <c r="UCG3" s="42"/>
      <c r="UCH3" s="42"/>
      <c r="UCI3" s="42"/>
      <c r="UCJ3" s="42"/>
      <c r="UCK3" s="42"/>
      <c r="UCL3" s="42"/>
      <c r="UCM3" s="42"/>
      <c r="UCN3" s="42"/>
      <c r="UCO3" s="42"/>
      <c r="UCP3" s="42"/>
      <c r="UCQ3" s="42"/>
      <c r="UCR3" s="42"/>
      <c r="UCS3" s="42"/>
      <c r="UCT3" s="42"/>
      <c r="UCU3" s="42"/>
      <c r="UCV3" s="42"/>
      <c r="UCW3" s="42"/>
      <c r="UCX3" s="42"/>
      <c r="UCY3" s="42"/>
      <c r="UCZ3" s="42"/>
      <c r="UDA3" s="42"/>
      <c r="UDB3" s="42"/>
      <c r="UDC3" s="42"/>
      <c r="UDD3" s="42"/>
      <c r="UDE3" s="42"/>
      <c r="UDF3" s="42"/>
      <c r="UDG3" s="42"/>
      <c r="UDH3" s="42"/>
      <c r="UDI3" s="42"/>
      <c r="UDJ3" s="42"/>
      <c r="UDK3" s="42"/>
      <c r="UDL3" s="42"/>
      <c r="UDM3" s="42"/>
      <c r="UDN3" s="42"/>
      <c r="UDO3" s="42"/>
      <c r="UDP3" s="42"/>
      <c r="UDQ3" s="42"/>
      <c r="UDR3" s="42"/>
      <c r="UDS3" s="42"/>
      <c r="UDT3" s="42"/>
      <c r="UDU3" s="42"/>
      <c r="UDV3" s="42"/>
      <c r="UDW3" s="42"/>
      <c r="UDX3" s="42"/>
      <c r="UDY3" s="42"/>
      <c r="UDZ3" s="42"/>
      <c r="UEA3" s="42"/>
      <c r="UEB3" s="42"/>
      <c r="UEC3" s="42"/>
      <c r="UED3" s="42"/>
      <c r="UEE3" s="42"/>
      <c r="UEF3" s="42"/>
      <c r="UEG3" s="42"/>
      <c r="UEH3" s="42"/>
      <c r="UEI3" s="42"/>
      <c r="UEJ3" s="42"/>
      <c r="UEK3" s="42"/>
      <c r="UEL3" s="42"/>
      <c r="UEM3" s="42"/>
      <c r="UEN3" s="42"/>
      <c r="UEO3" s="42"/>
      <c r="UEP3" s="42"/>
      <c r="UEQ3" s="42"/>
      <c r="UER3" s="42"/>
      <c r="UES3" s="42"/>
      <c r="UET3" s="42"/>
      <c r="UEU3" s="42"/>
      <c r="UEV3" s="42"/>
      <c r="UEW3" s="42"/>
      <c r="UEX3" s="42"/>
      <c r="UEY3" s="42"/>
      <c r="UEZ3" s="42"/>
      <c r="UFA3" s="42"/>
      <c r="UFB3" s="42"/>
      <c r="UFC3" s="42"/>
      <c r="UFD3" s="42"/>
      <c r="UFE3" s="42"/>
      <c r="UFF3" s="42"/>
      <c r="UFG3" s="42"/>
      <c r="UFH3" s="42"/>
      <c r="UFI3" s="42"/>
      <c r="UFJ3" s="42"/>
      <c r="UFK3" s="42"/>
      <c r="UFL3" s="42"/>
      <c r="UFM3" s="42"/>
      <c r="UFN3" s="42"/>
      <c r="UFO3" s="42"/>
      <c r="UFP3" s="42"/>
      <c r="UFQ3" s="42"/>
      <c r="UFR3" s="42"/>
      <c r="UFS3" s="42"/>
      <c r="UFT3" s="42"/>
      <c r="UFU3" s="42"/>
      <c r="UFV3" s="42"/>
      <c r="UFW3" s="42"/>
      <c r="UFX3" s="42"/>
      <c r="UFY3" s="42"/>
      <c r="UFZ3" s="42"/>
      <c r="UGA3" s="42"/>
      <c r="UGB3" s="42"/>
      <c r="UGC3" s="42"/>
      <c r="UGD3" s="42"/>
      <c r="UGE3" s="42"/>
      <c r="UGF3" s="42"/>
      <c r="UGG3" s="42"/>
      <c r="UGH3" s="42"/>
      <c r="UGI3" s="42"/>
      <c r="UGJ3" s="42"/>
      <c r="UGK3" s="42"/>
      <c r="UGL3" s="42"/>
      <c r="UGM3" s="42"/>
      <c r="UGN3" s="42"/>
      <c r="UGO3" s="42"/>
      <c r="UGP3" s="42"/>
      <c r="UGQ3" s="42"/>
      <c r="UGR3" s="42"/>
      <c r="UGS3" s="42"/>
      <c r="UGT3" s="42"/>
      <c r="UGU3" s="42"/>
      <c r="UGV3" s="42"/>
      <c r="UGW3" s="42"/>
      <c r="UGX3" s="42"/>
      <c r="UGY3" s="42"/>
      <c r="UGZ3" s="42"/>
      <c r="UHA3" s="42"/>
      <c r="UHB3" s="42"/>
      <c r="UHC3" s="42"/>
      <c r="UHD3" s="42"/>
      <c r="UHE3" s="42"/>
      <c r="UHF3" s="42"/>
      <c r="UHG3" s="42"/>
      <c r="UHH3" s="42"/>
      <c r="UHI3" s="42"/>
      <c r="UHJ3" s="42"/>
      <c r="UHK3" s="42"/>
      <c r="UHL3" s="42"/>
      <c r="UHM3" s="42"/>
      <c r="UHN3" s="42"/>
      <c r="UHO3" s="42"/>
      <c r="UHP3" s="42"/>
      <c r="UHQ3" s="42"/>
      <c r="UHR3" s="42"/>
      <c r="UHS3" s="42"/>
      <c r="UHT3" s="42"/>
      <c r="UHU3" s="42"/>
      <c r="UHV3" s="42"/>
      <c r="UHW3" s="42"/>
      <c r="UHX3" s="42"/>
      <c r="UHY3" s="42"/>
      <c r="UHZ3" s="42"/>
      <c r="UIA3" s="42"/>
      <c r="UIB3" s="42"/>
      <c r="UIC3" s="42"/>
      <c r="UID3" s="42"/>
      <c r="UIE3" s="42"/>
      <c r="UIF3" s="42"/>
      <c r="UIG3" s="42"/>
      <c r="UIH3" s="42"/>
      <c r="UII3" s="42"/>
      <c r="UIJ3" s="42"/>
      <c r="UIK3" s="42"/>
      <c r="UIL3" s="42"/>
      <c r="UIM3" s="42"/>
      <c r="UIN3" s="42"/>
      <c r="UIO3" s="42"/>
      <c r="UIP3" s="42"/>
      <c r="UIQ3" s="42"/>
      <c r="UIR3" s="42"/>
      <c r="UIS3" s="42"/>
      <c r="UIT3" s="42"/>
      <c r="UIU3" s="42"/>
      <c r="UIV3" s="42"/>
      <c r="UIW3" s="42"/>
      <c r="UIX3" s="42"/>
      <c r="UIY3" s="42"/>
      <c r="UIZ3" s="42"/>
      <c r="UJA3" s="42"/>
      <c r="UJB3" s="42"/>
      <c r="UJC3" s="42"/>
      <c r="UJD3" s="42"/>
      <c r="UJE3" s="42"/>
      <c r="UJF3" s="42"/>
      <c r="UJG3" s="42"/>
      <c r="UJH3" s="42"/>
      <c r="UJI3" s="42"/>
      <c r="UJJ3" s="42"/>
      <c r="UJK3" s="42"/>
      <c r="UJL3" s="42"/>
      <c r="UJM3" s="42"/>
      <c r="UJN3" s="42"/>
      <c r="UJO3" s="42"/>
      <c r="UJP3" s="42"/>
      <c r="UJQ3" s="42"/>
      <c r="UJR3" s="42"/>
      <c r="UJS3" s="42"/>
      <c r="UJT3" s="42"/>
      <c r="UJU3" s="42"/>
      <c r="UJV3" s="42"/>
      <c r="UJW3" s="42"/>
      <c r="UJX3" s="42"/>
      <c r="UJY3" s="42"/>
      <c r="UJZ3" s="42"/>
      <c r="UKA3" s="42"/>
      <c r="UKB3" s="42"/>
      <c r="UKC3" s="42"/>
      <c r="UKD3" s="42"/>
      <c r="UKE3" s="42"/>
      <c r="UKF3" s="42"/>
      <c r="UKG3" s="42"/>
      <c r="UKH3" s="42"/>
      <c r="UKI3" s="42"/>
      <c r="UKJ3" s="42"/>
      <c r="UKK3" s="42"/>
      <c r="UKL3" s="42"/>
      <c r="UKM3" s="42"/>
      <c r="UKN3" s="42"/>
      <c r="UKO3" s="42"/>
      <c r="UKP3" s="42"/>
      <c r="UKQ3" s="42"/>
      <c r="UKR3" s="42"/>
      <c r="UKS3" s="42"/>
      <c r="UKT3" s="42"/>
      <c r="UKU3" s="42"/>
      <c r="UKV3" s="42"/>
      <c r="UKW3" s="42"/>
      <c r="UKX3" s="42"/>
      <c r="UKY3" s="42"/>
      <c r="UKZ3" s="42"/>
      <c r="ULA3" s="42"/>
      <c r="ULB3" s="42"/>
      <c r="ULC3" s="42"/>
      <c r="ULD3" s="42"/>
      <c r="ULE3" s="42"/>
      <c r="ULF3" s="42"/>
      <c r="ULG3" s="42"/>
      <c r="ULH3" s="42"/>
      <c r="ULI3" s="42"/>
      <c r="ULJ3" s="42"/>
      <c r="ULK3" s="42"/>
      <c r="ULL3" s="42"/>
      <c r="ULM3" s="42"/>
      <c r="ULN3" s="42"/>
      <c r="ULO3" s="42"/>
      <c r="ULP3" s="42"/>
      <c r="ULQ3" s="42"/>
      <c r="ULR3" s="42"/>
      <c r="ULS3" s="42"/>
      <c r="ULT3" s="42"/>
      <c r="ULU3" s="42"/>
      <c r="ULV3" s="42"/>
      <c r="ULW3" s="42"/>
      <c r="ULX3" s="42"/>
      <c r="ULY3" s="42"/>
      <c r="ULZ3" s="42"/>
      <c r="UMA3" s="42"/>
      <c r="UMB3" s="42"/>
      <c r="UMC3" s="42"/>
      <c r="UMD3" s="42"/>
      <c r="UME3" s="42"/>
      <c r="UMF3" s="42"/>
      <c r="UMG3" s="42"/>
      <c r="UMH3" s="42"/>
      <c r="UMI3" s="42"/>
      <c r="UMJ3" s="42"/>
      <c r="UMK3" s="42"/>
      <c r="UML3" s="42"/>
      <c r="UMM3" s="42"/>
      <c r="UMN3" s="42"/>
      <c r="UMO3" s="42"/>
      <c r="UMP3" s="42"/>
      <c r="UMQ3" s="42"/>
      <c r="UMR3" s="42"/>
      <c r="UMS3" s="42"/>
      <c r="UMT3" s="42"/>
      <c r="UMU3" s="42"/>
      <c r="UMV3" s="42"/>
      <c r="UMW3" s="42"/>
      <c r="UMX3" s="42"/>
      <c r="UMY3" s="42"/>
      <c r="UMZ3" s="42"/>
      <c r="UNA3" s="42"/>
      <c r="UNB3" s="42"/>
      <c r="UNC3" s="42"/>
      <c r="UND3" s="42"/>
      <c r="UNE3" s="42"/>
      <c r="UNF3" s="42"/>
      <c r="UNG3" s="42"/>
      <c r="UNH3" s="42"/>
      <c r="UNI3" s="42"/>
      <c r="UNJ3" s="42"/>
      <c r="UNK3" s="42"/>
      <c r="UNL3" s="42"/>
      <c r="UNM3" s="42"/>
      <c r="UNN3" s="42"/>
      <c r="UNO3" s="42"/>
      <c r="UNP3" s="42"/>
      <c r="UNQ3" s="42"/>
      <c r="UNR3" s="42"/>
      <c r="UNS3" s="42"/>
      <c r="UNT3" s="42"/>
      <c r="UNU3" s="42"/>
      <c r="UNV3" s="42"/>
      <c r="UNW3" s="42"/>
      <c r="UNX3" s="42"/>
      <c r="UNY3" s="42"/>
      <c r="UNZ3" s="42"/>
      <c r="UOA3" s="42"/>
      <c r="UOB3" s="42"/>
      <c r="UOC3" s="42"/>
      <c r="UOD3" s="42"/>
      <c r="UOE3" s="42"/>
      <c r="UOF3" s="42"/>
      <c r="UOG3" s="42"/>
      <c r="UOH3" s="42"/>
      <c r="UOI3" s="42"/>
      <c r="UOJ3" s="42"/>
      <c r="UOK3" s="42"/>
      <c r="UOL3" s="42"/>
      <c r="UOM3" s="42"/>
      <c r="UON3" s="42"/>
      <c r="UOO3" s="42"/>
      <c r="UOP3" s="42"/>
      <c r="UOQ3" s="42"/>
      <c r="UOR3" s="42"/>
      <c r="UOS3" s="42"/>
      <c r="UOT3" s="42"/>
      <c r="UOU3" s="42"/>
      <c r="UOV3" s="42"/>
      <c r="UOW3" s="42"/>
      <c r="UOX3" s="42"/>
      <c r="UOY3" s="42"/>
      <c r="UOZ3" s="42"/>
      <c r="UPA3" s="42"/>
      <c r="UPB3" s="42"/>
      <c r="UPC3" s="42"/>
      <c r="UPD3" s="42"/>
      <c r="UPE3" s="42"/>
      <c r="UPF3" s="42"/>
      <c r="UPG3" s="42"/>
      <c r="UPH3" s="42"/>
      <c r="UPI3" s="42"/>
      <c r="UPJ3" s="42"/>
      <c r="UPK3" s="42"/>
      <c r="UPL3" s="42"/>
      <c r="UPM3" s="42"/>
      <c r="UPN3" s="42"/>
      <c r="UPO3" s="42"/>
      <c r="UPP3" s="42"/>
      <c r="UPQ3" s="42"/>
      <c r="UPR3" s="42"/>
      <c r="UPS3" s="42"/>
      <c r="UPT3" s="42"/>
      <c r="UPU3" s="42"/>
      <c r="UPV3" s="42"/>
      <c r="UPW3" s="42"/>
      <c r="UPX3" s="42"/>
      <c r="UPY3" s="42"/>
      <c r="UPZ3" s="42"/>
      <c r="UQA3" s="42"/>
      <c r="UQB3" s="42"/>
      <c r="UQC3" s="42"/>
      <c r="UQD3" s="42"/>
      <c r="UQE3" s="42"/>
      <c r="UQF3" s="42"/>
      <c r="UQG3" s="42"/>
      <c r="UQH3" s="42"/>
      <c r="UQI3" s="42"/>
      <c r="UQJ3" s="42"/>
      <c r="UQK3" s="42"/>
      <c r="UQL3" s="42"/>
      <c r="UQM3" s="42"/>
      <c r="UQN3" s="42"/>
      <c r="UQO3" s="42"/>
      <c r="UQP3" s="42"/>
      <c r="UQQ3" s="42"/>
      <c r="UQR3" s="42"/>
      <c r="UQS3" s="42"/>
      <c r="UQT3" s="42"/>
      <c r="UQU3" s="42"/>
      <c r="UQV3" s="42"/>
      <c r="UQW3" s="42"/>
      <c r="UQX3" s="42"/>
      <c r="UQY3" s="42"/>
      <c r="UQZ3" s="42"/>
      <c r="URA3" s="42"/>
      <c r="URB3" s="42"/>
      <c r="URC3" s="42"/>
      <c r="URD3" s="42"/>
      <c r="URE3" s="42"/>
      <c r="URF3" s="42"/>
      <c r="URG3" s="42"/>
      <c r="URH3" s="42"/>
      <c r="URI3" s="42"/>
      <c r="URJ3" s="42"/>
      <c r="URK3" s="42"/>
      <c r="URL3" s="42"/>
      <c r="URM3" s="42"/>
      <c r="URN3" s="42"/>
      <c r="URO3" s="42"/>
      <c r="URP3" s="42"/>
      <c r="URQ3" s="42"/>
      <c r="URR3" s="42"/>
      <c r="URS3" s="42"/>
      <c r="URT3" s="42"/>
      <c r="URU3" s="42"/>
      <c r="URV3" s="42"/>
      <c r="URW3" s="42"/>
      <c r="URX3" s="42"/>
      <c r="URY3" s="42"/>
      <c r="URZ3" s="42"/>
      <c r="USA3" s="42"/>
      <c r="USB3" s="42"/>
      <c r="USC3" s="42"/>
      <c r="USD3" s="42"/>
      <c r="USE3" s="42"/>
      <c r="USF3" s="42"/>
      <c r="USG3" s="42"/>
      <c r="USH3" s="42"/>
      <c r="USI3" s="42"/>
      <c r="USJ3" s="42"/>
      <c r="USK3" s="42"/>
      <c r="USL3" s="42"/>
      <c r="USM3" s="42"/>
      <c r="USN3" s="42"/>
      <c r="USO3" s="42"/>
      <c r="USP3" s="42"/>
      <c r="USQ3" s="42"/>
      <c r="USR3" s="42"/>
      <c r="USS3" s="42"/>
      <c r="UST3" s="42"/>
      <c r="USU3" s="42"/>
      <c r="USV3" s="42"/>
      <c r="USW3" s="42"/>
      <c r="USX3" s="42"/>
      <c r="USY3" s="42"/>
      <c r="USZ3" s="42"/>
      <c r="UTA3" s="42"/>
      <c r="UTB3" s="42"/>
      <c r="UTC3" s="42"/>
      <c r="UTD3" s="42"/>
      <c r="UTE3" s="42"/>
      <c r="UTF3" s="42"/>
      <c r="UTG3" s="42"/>
      <c r="UTH3" s="42"/>
      <c r="UTI3" s="42"/>
      <c r="UTJ3" s="42"/>
      <c r="UTK3" s="42"/>
      <c r="UTL3" s="42"/>
      <c r="UTM3" s="42"/>
      <c r="UTN3" s="42"/>
      <c r="UTO3" s="42"/>
      <c r="UTP3" s="42"/>
      <c r="UTQ3" s="42"/>
      <c r="UTR3" s="42"/>
      <c r="UTS3" s="42"/>
      <c r="UTT3" s="42"/>
      <c r="UTU3" s="42"/>
      <c r="UTV3" s="42"/>
      <c r="UTW3" s="42"/>
      <c r="UTX3" s="42"/>
      <c r="UTY3" s="42"/>
      <c r="UTZ3" s="42"/>
      <c r="UUA3" s="42"/>
      <c r="UUB3" s="42"/>
      <c r="UUC3" s="42"/>
      <c r="UUD3" s="42"/>
      <c r="UUE3" s="42"/>
      <c r="UUF3" s="42"/>
      <c r="UUG3" s="42"/>
      <c r="UUH3" s="42"/>
      <c r="UUI3" s="42"/>
      <c r="UUJ3" s="42"/>
      <c r="UUK3" s="42"/>
      <c r="UUL3" s="42"/>
      <c r="UUM3" s="42"/>
      <c r="UUN3" s="42"/>
      <c r="UUO3" s="42"/>
      <c r="UUP3" s="42"/>
      <c r="UUQ3" s="42"/>
      <c r="UUR3" s="42"/>
      <c r="UUS3" s="42"/>
      <c r="UUT3" s="42"/>
      <c r="UUU3" s="42"/>
      <c r="UUV3" s="42"/>
      <c r="UUW3" s="42"/>
      <c r="UUX3" s="42"/>
      <c r="UUY3" s="42"/>
      <c r="UUZ3" s="42"/>
      <c r="UVA3" s="42"/>
      <c r="UVB3" s="42"/>
      <c r="UVC3" s="42"/>
      <c r="UVD3" s="42"/>
      <c r="UVE3" s="42"/>
      <c r="UVF3" s="42"/>
      <c r="UVG3" s="42"/>
      <c r="UVH3" s="42"/>
      <c r="UVI3" s="42"/>
      <c r="UVJ3" s="42"/>
      <c r="UVK3" s="42"/>
      <c r="UVL3" s="42"/>
      <c r="UVM3" s="42"/>
      <c r="UVN3" s="42"/>
      <c r="UVO3" s="42"/>
      <c r="UVP3" s="42"/>
      <c r="UVQ3" s="42"/>
      <c r="UVR3" s="42"/>
      <c r="UVS3" s="42"/>
      <c r="UVT3" s="42"/>
      <c r="UVU3" s="42"/>
      <c r="UVV3" s="42"/>
      <c r="UVW3" s="42"/>
      <c r="UVX3" s="42"/>
      <c r="UVY3" s="42"/>
      <c r="UVZ3" s="42"/>
      <c r="UWA3" s="42"/>
      <c r="UWB3" s="42"/>
      <c r="UWC3" s="42"/>
      <c r="UWD3" s="42"/>
      <c r="UWE3" s="42"/>
      <c r="UWF3" s="42"/>
      <c r="UWG3" s="42"/>
      <c r="UWH3" s="42"/>
      <c r="UWI3" s="42"/>
      <c r="UWJ3" s="42"/>
      <c r="UWK3" s="42"/>
      <c r="UWL3" s="42"/>
      <c r="UWM3" s="42"/>
      <c r="UWN3" s="42"/>
      <c r="UWO3" s="42"/>
      <c r="UWP3" s="42"/>
      <c r="UWQ3" s="42"/>
      <c r="UWR3" s="42"/>
      <c r="UWS3" s="42"/>
      <c r="UWT3" s="42"/>
      <c r="UWU3" s="42"/>
      <c r="UWV3" s="42"/>
      <c r="UWW3" s="42"/>
      <c r="UWX3" s="42"/>
      <c r="UWY3" s="42"/>
      <c r="UWZ3" s="42"/>
      <c r="UXA3" s="42"/>
      <c r="UXB3" s="42"/>
      <c r="UXC3" s="42"/>
      <c r="UXD3" s="42"/>
      <c r="UXE3" s="42"/>
      <c r="UXF3" s="42"/>
      <c r="UXG3" s="42"/>
      <c r="UXH3" s="42"/>
      <c r="UXI3" s="42"/>
      <c r="UXJ3" s="42"/>
      <c r="UXK3" s="42"/>
      <c r="UXL3" s="42"/>
      <c r="UXM3" s="42"/>
      <c r="UXN3" s="42"/>
      <c r="UXO3" s="42"/>
      <c r="UXP3" s="42"/>
      <c r="UXQ3" s="42"/>
      <c r="UXR3" s="42"/>
      <c r="UXS3" s="42"/>
      <c r="UXT3" s="42"/>
      <c r="UXU3" s="42"/>
      <c r="UXV3" s="42"/>
      <c r="UXW3" s="42"/>
      <c r="UXX3" s="42"/>
      <c r="UXY3" s="42"/>
      <c r="UXZ3" s="42"/>
      <c r="UYA3" s="42"/>
      <c r="UYB3" s="42"/>
      <c r="UYC3" s="42"/>
      <c r="UYD3" s="42"/>
      <c r="UYE3" s="42"/>
      <c r="UYF3" s="42"/>
      <c r="UYG3" s="42"/>
      <c r="UYH3" s="42"/>
      <c r="UYI3" s="42"/>
      <c r="UYJ3" s="42"/>
      <c r="UYK3" s="42"/>
      <c r="UYL3" s="42"/>
      <c r="UYM3" s="42"/>
      <c r="UYN3" s="42"/>
      <c r="UYO3" s="42"/>
      <c r="UYP3" s="42"/>
      <c r="UYQ3" s="42"/>
      <c r="UYR3" s="42"/>
      <c r="UYS3" s="42"/>
      <c r="UYT3" s="42"/>
      <c r="UYU3" s="42"/>
      <c r="UYV3" s="42"/>
      <c r="UYW3" s="42"/>
      <c r="UYX3" s="42"/>
      <c r="UYY3" s="42"/>
      <c r="UYZ3" s="42"/>
      <c r="UZA3" s="42"/>
      <c r="UZB3" s="42"/>
      <c r="UZC3" s="42"/>
      <c r="UZD3" s="42"/>
      <c r="UZE3" s="42"/>
      <c r="UZF3" s="42"/>
      <c r="UZG3" s="42"/>
      <c r="UZH3" s="42"/>
      <c r="UZI3" s="42"/>
      <c r="UZJ3" s="42"/>
      <c r="UZK3" s="42"/>
      <c r="UZL3" s="42"/>
      <c r="UZM3" s="42"/>
      <c r="UZN3" s="42"/>
      <c r="UZO3" s="42"/>
      <c r="UZP3" s="42"/>
      <c r="UZQ3" s="42"/>
      <c r="UZR3" s="42"/>
      <c r="UZS3" s="42"/>
      <c r="UZT3" s="42"/>
      <c r="UZU3" s="42"/>
      <c r="UZV3" s="42"/>
      <c r="UZW3" s="42"/>
      <c r="UZX3" s="42"/>
      <c r="UZY3" s="42"/>
      <c r="UZZ3" s="42"/>
      <c r="VAA3" s="42"/>
      <c r="VAB3" s="42"/>
      <c r="VAC3" s="42"/>
      <c r="VAD3" s="42"/>
      <c r="VAE3" s="42"/>
      <c r="VAF3" s="42"/>
      <c r="VAG3" s="42"/>
      <c r="VAH3" s="42"/>
      <c r="VAI3" s="42"/>
      <c r="VAJ3" s="42"/>
      <c r="VAK3" s="42"/>
      <c r="VAL3" s="42"/>
      <c r="VAM3" s="42"/>
      <c r="VAN3" s="42"/>
      <c r="VAO3" s="42"/>
      <c r="VAP3" s="42"/>
      <c r="VAQ3" s="42"/>
      <c r="VAR3" s="42"/>
      <c r="VAS3" s="42"/>
      <c r="VAT3" s="42"/>
      <c r="VAU3" s="42"/>
      <c r="VAV3" s="42"/>
      <c r="VAW3" s="42"/>
      <c r="VAX3" s="42"/>
      <c r="VAY3" s="42"/>
      <c r="VAZ3" s="42"/>
      <c r="VBA3" s="42"/>
      <c r="VBB3" s="42"/>
      <c r="VBC3" s="42"/>
      <c r="VBD3" s="42"/>
      <c r="VBE3" s="42"/>
      <c r="VBF3" s="42"/>
      <c r="VBG3" s="42"/>
      <c r="VBH3" s="42"/>
      <c r="VBI3" s="42"/>
      <c r="VBJ3" s="42"/>
      <c r="VBK3" s="42"/>
      <c r="VBL3" s="42"/>
      <c r="VBM3" s="42"/>
      <c r="VBN3" s="42"/>
      <c r="VBO3" s="42"/>
      <c r="VBP3" s="42"/>
      <c r="VBQ3" s="42"/>
      <c r="VBR3" s="42"/>
      <c r="VBS3" s="42"/>
      <c r="VBT3" s="42"/>
      <c r="VBU3" s="42"/>
      <c r="VBV3" s="42"/>
      <c r="VBW3" s="42"/>
      <c r="VBX3" s="42"/>
      <c r="VBY3" s="42"/>
      <c r="VBZ3" s="42"/>
      <c r="VCA3" s="42"/>
      <c r="VCB3" s="42"/>
      <c r="VCC3" s="42"/>
      <c r="VCD3" s="42"/>
      <c r="VCE3" s="42"/>
      <c r="VCF3" s="42"/>
      <c r="VCG3" s="42"/>
      <c r="VCH3" s="42"/>
      <c r="VCI3" s="42"/>
      <c r="VCJ3" s="42"/>
      <c r="VCK3" s="42"/>
      <c r="VCL3" s="42"/>
      <c r="VCM3" s="42"/>
      <c r="VCN3" s="42"/>
      <c r="VCO3" s="42"/>
      <c r="VCP3" s="42"/>
      <c r="VCQ3" s="42"/>
      <c r="VCR3" s="42"/>
      <c r="VCS3" s="42"/>
      <c r="VCT3" s="42"/>
      <c r="VCU3" s="42"/>
      <c r="VCV3" s="42"/>
      <c r="VCW3" s="42"/>
      <c r="VCX3" s="42"/>
      <c r="VCY3" s="42"/>
      <c r="VCZ3" s="42"/>
      <c r="VDA3" s="42"/>
      <c r="VDB3" s="42"/>
      <c r="VDC3" s="42"/>
      <c r="VDD3" s="42"/>
      <c r="VDE3" s="42"/>
      <c r="VDF3" s="42"/>
      <c r="VDG3" s="42"/>
      <c r="VDH3" s="42"/>
      <c r="VDI3" s="42"/>
      <c r="VDJ3" s="42"/>
      <c r="VDK3" s="42"/>
      <c r="VDL3" s="42"/>
      <c r="VDM3" s="42"/>
      <c r="VDN3" s="42"/>
      <c r="VDO3" s="42"/>
      <c r="VDP3" s="42"/>
      <c r="VDQ3" s="42"/>
      <c r="VDR3" s="42"/>
      <c r="VDS3" s="42"/>
      <c r="VDT3" s="42"/>
      <c r="VDU3" s="42"/>
      <c r="VDV3" s="42"/>
      <c r="VDW3" s="42"/>
      <c r="VDX3" s="42"/>
      <c r="VDY3" s="42"/>
      <c r="VDZ3" s="42"/>
      <c r="VEA3" s="42"/>
      <c r="VEB3" s="42"/>
      <c r="VEC3" s="42"/>
      <c r="VED3" s="42"/>
      <c r="VEE3" s="42"/>
      <c r="VEF3" s="42"/>
      <c r="VEG3" s="42"/>
      <c r="VEH3" s="42"/>
      <c r="VEI3" s="42"/>
      <c r="VEJ3" s="42"/>
      <c r="VEK3" s="42"/>
      <c r="VEL3" s="42"/>
      <c r="VEM3" s="42"/>
      <c r="VEN3" s="42"/>
      <c r="VEO3" s="42"/>
      <c r="VEP3" s="42"/>
      <c r="VEQ3" s="42"/>
      <c r="VER3" s="42"/>
      <c r="VES3" s="42"/>
      <c r="VET3" s="42"/>
      <c r="VEU3" s="42"/>
      <c r="VEV3" s="42"/>
      <c r="VEW3" s="42"/>
      <c r="VEX3" s="42"/>
      <c r="VEY3" s="42"/>
      <c r="VEZ3" s="42"/>
      <c r="VFA3" s="42"/>
      <c r="VFB3" s="42"/>
      <c r="VFC3" s="42"/>
      <c r="VFD3" s="42"/>
      <c r="VFE3" s="42"/>
      <c r="VFF3" s="42"/>
      <c r="VFG3" s="42"/>
      <c r="VFH3" s="42"/>
      <c r="VFI3" s="42"/>
      <c r="VFJ3" s="42"/>
      <c r="VFK3" s="42"/>
      <c r="VFL3" s="42"/>
      <c r="VFM3" s="42"/>
      <c r="VFN3" s="42"/>
      <c r="VFO3" s="42"/>
      <c r="VFP3" s="42"/>
      <c r="VFQ3" s="42"/>
      <c r="VFR3" s="42"/>
      <c r="VFS3" s="42"/>
      <c r="VFT3" s="42"/>
      <c r="VFU3" s="42"/>
      <c r="VFV3" s="42"/>
      <c r="VFW3" s="42"/>
      <c r="VFX3" s="42"/>
      <c r="VFY3" s="42"/>
      <c r="VFZ3" s="42"/>
      <c r="VGA3" s="42"/>
      <c r="VGB3" s="42"/>
      <c r="VGC3" s="42"/>
      <c r="VGD3" s="42"/>
      <c r="VGE3" s="42"/>
      <c r="VGF3" s="42"/>
      <c r="VGG3" s="42"/>
      <c r="VGH3" s="42"/>
      <c r="VGI3" s="42"/>
      <c r="VGJ3" s="42"/>
      <c r="VGK3" s="42"/>
      <c r="VGL3" s="42"/>
      <c r="VGM3" s="42"/>
      <c r="VGN3" s="42"/>
      <c r="VGO3" s="42"/>
      <c r="VGP3" s="42"/>
      <c r="VGQ3" s="42"/>
      <c r="VGR3" s="42"/>
      <c r="VGS3" s="42"/>
      <c r="VGT3" s="42"/>
      <c r="VGU3" s="42"/>
      <c r="VGV3" s="42"/>
      <c r="VGW3" s="42"/>
      <c r="VGX3" s="42"/>
      <c r="VGY3" s="42"/>
      <c r="VGZ3" s="42"/>
      <c r="VHA3" s="42"/>
      <c r="VHB3" s="42"/>
      <c r="VHC3" s="42"/>
      <c r="VHD3" s="42"/>
      <c r="VHE3" s="42"/>
      <c r="VHF3" s="42"/>
      <c r="VHG3" s="42"/>
      <c r="VHH3" s="42"/>
      <c r="VHI3" s="42"/>
      <c r="VHJ3" s="42"/>
      <c r="VHK3" s="42"/>
      <c r="VHL3" s="42"/>
      <c r="VHM3" s="42"/>
      <c r="VHN3" s="42"/>
      <c r="VHO3" s="42"/>
      <c r="VHP3" s="42"/>
      <c r="VHQ3" s="42"/>
      <c r="VHR3" s="42"/>
      <c r="VHS3" s="42"/>
      <c r="VHT3" s="42"/>
      <c r="VHU3" s="42"/>
      <c r="VHV3" s="42"/>
      <c r="VHW3" s="42"/>
      <c r="VHX3" s="42"/>
      <c r="VHY3" s="42"/>
      <c r="VHZ3" s="42"/>
      <c r="VIA3" s="42"/>
      <c r="VIB3" s="42"/>
      <c r="VIC3" s="42"/>
      <c r="VID3" s="42"/>
      <c r="VIE3" s="42"/>
      <c r="VIF3" s="42"/>
      <c r="VIG3" s="42"/>
      <c r="VIH3" s="42"/>
      <c r="VII3" s="42"/>
      <c r="VIJ3" s="42"/>
      <c r="VIK3" s="42"/>
      <c r="VIL3" s="42"/>
      <c r="VIM3" s="42"/>
      <c r="VIN3" s="42"/>
      <c r="VIO3" s="42"/>
      <c r="VIP3" s="42"/>
      <c r="VIQ3" s="42"/>
      <c r="VIR3" s="42"/>
      <c r="VIS3" s="42"/>
      <c r="VIT3" s="42"/>
      <c r="VIU3" s="42"/>
      <c r="VIV3" s="42"/>
      <c r="VIW3" s="42"/>
      <c r="VIX3" s="42"/>
      <c r="VIY3" s="42"/>
      <c r="VIZ3" s="42"/>
      <c r="VJA3" s="42"/>
      <c r="VJB3" s="42"/>
      <c r="VJC3" s="42"/>
      <c r="VJD3" s="42"/>
      <c r="VJE3" s="42"/>
      <c r="VJF3" s="42"/>
      <c r="VJG3" s="42"/>
      <c r="VJH3" s="42"/>
      <c r="VJI3" s="42"/>
      <c r="VJJ3" s="42"/>
      <c r="VJK3" s="42"/>
      <c r="VJL3" s="42"/>
      <c r="VJM3" s="42"/>
      <c r="VJN3" s="42"/>
      <c r="VJO3" s="42"/>
      <c r="VJP3" s="42"/>
      <c r="VJQ3" s="42"/>
      <c r="VJR3" s="42"/>
      <c r="VJS3" s="42"/>
      <c r="VJT3" s="42"/>
      <c r="VJU3" s="42"/>
      <c r="VJV3" s="42"/>
      <c r="VJW3" s="42"/>
      <c r="VJX3" s="42"/>
      <c r="VJY3" s="42"/>
      <c r="VJZ3" s="42"/>
      <c r="VKA3" s="42"/>
      <c r="VKB3" s="42"/>
      <c r="VKC3" s="42"/>
      <c r="VKD3" s="42"/>
      <c r="VKE3" s="42"/>
      <c r="VKF3" s="42"/>
      <c r="VKG3" s="42"/>
      <c r="VKH3" s="42"/>
      <c r="VKI3" s="42"/>
      <c r="VKJ3" s="42"/>
      <c r="VKK3" s="42"/>
      <c r="VKL3" s="42"/>
      <c r="VKM3" s="42"/>
      <c r="VKN3" s="42"/>
      <c r="VKO3" s="42"/>
      <c r="VKP3" s="42"/>
      <c r="VKQ3" s="42"/>
      <c r="VKR3" s="42"/>
      <c r="VKS3" s="42"/>
      <c r="VKT3" s="42"/>
      <c r="VKU3" s="42"/>
      <c r="VKV3" s="42"/>
      <c r="VKW3" s="42"/>
      <c r="VKX3" s="42"/>
      <c r="VKY3" s="42"/>
      <c r="VKZ3" s="42"/>
      <c r="VLA3" s="42"/>
      <c r="VLB3" s="42"/>
      <c r="VLC3" s="42"/>
      <c r="VLD3" s="42"/>
      <c r="VLE3" s="42"/>
      <c r="VLF3" s="42"/>
      <c r="VLG3" s="42"/>
      <c r="VLH3" s="42"/>
      <c r="VLI3" s="42"/>
      <c r="VLJ3" s="42"/>
      <c r="VLK3" s="42"/>
      <c r="VLL3" s="42"/>
      <c r="VLM3" s="42"/>
      <c r="VLN3" s="42"/>
      <c r="VLO3" s="42"/>
      <c r="VLP3" s="42"/>
      <c r="VLQ3" s="42"/>
      <c r="VLR3" s="42"/>
      <c r="VLS3" s="42"/>
      <c r="VLT3" s="42"/>
      <c r="VLU3" s="42"/>
      <c r="VLV3" s="42"/>
      <c r="VLW3" s="42"/>
      <c r="VLX3" s="42"/>
      <c r="VLY3" s="42"/>
      <c r="VLZ3" s="42"/>
      <c r="VMA3" s="42"/>
      <c r="VMB3" s="42"/>
      <c r="VMC3" s="42"/>
      <c r="VMD3" s="42"/>
      <c r="VME3" s="42"/>
      <c r="VMF3" s="42"/>
      <c r="VMG3" s="42"/>
      <c r="VMH3" s="42"/>
      <c r="VMI3" s="42"/>
      <c r="VMJ3" s="42"/>
      <c r="VMK3" s="42"/>
      <c r="VML3" s="42"/>
      <c r="VMM3" s="42"/>
      <c r="VMN3" s="42"/>
      <c r="VMO3" s="42"/>
      <c r="VMP3" s="42"/>
      <c r="VMQ3" s="42"/>
      <c r="VMR3" s="42"/>
      <c r="VMS3" s="42"/>
      <c r="VMT3" s="42"/>
      <c r="VMU3" s="42"/>
      <c r="VMV3" s="42"/>
      <c r="VMW3" s="42"/>
      <c r="VMX3" s="42"/>
      <c r="VMY3" s="42"/>
      <c r="VMZ3" s="42"/>
      <c r="VNA3" s="42"/>
      <c r="VNB3" s="42"/>
      <c r="VNC3" s="42"/>
      <c r="VND3" s="42"/>
      <c r="VNE3" s="42"/>
      <c r="VNF3" s="42"/>
      <c r="VNG3" s="42"/>
      <c r="VNH3" s="42"/>
      <c r="VNI3" s="42"/>
      <c r="VNJ3" s="42"/>
      <c r="VNK3" s="42"/>
      <c r="VNL3" s="42"/>
      <c r="VNM3" s="42"/>
      <c r="VNN3" s="42"/>
      <c r="VNO3" s="42"/>
      <c r="VNP3" s="42"/>
      <c r="VNQ3" s="42"/>
      <c r="VNR3" s="42"/>
      <c r="VNS3" s="42"/>
      <c r="VNT3" s="42"/>
      <c r="VNU3" s="42"/>
      <c r="VNV3" s="42"/>
      <c r="VNW3" s="42"/>
      <c r="VNX3" s="42"/>
      <c r="VNY3" s="42"/>
      <c r="VNZ3" s="42"/>
      <c r="VOA3" s="42"/>
      <c r="VOB3" s="42"/>
      <c r="VOC3" s="42"/>
      <c r="VOD3" s="42"/>
      <c r="VOE3" s="42"/>
      <c r="VOF3" s="42"/>
      <c r="VOG3" s="42"/>
      <c r="VOH3" s="42"/>
      <c r="VOI3" s="42"/>
      <c r="VOJ3" s="42"/>
      <c r="VOK3" s="42"/>
      <c r="VOL3" s="42"/>
      <c r="VOM3" s="42"/>
      <c r="VON3" s="42"/>
      <c r="VOO3" s="42"/>
      <c r="VOP3" s="42"/>
      <c r="VOQ3" s="42"/>
      <c r="VOR3" s="42"/>
      <c r="VOS3" s="42"/>
      <c r="VOT3" s="42"/>
      <c r="VOU3" s="42"/>
      <c r="VOV3" s="42"/>
      <c r="VOW3" s="42"/>
      <c r="VOX3" s="42"/>
      <c r="VOY3" s="42"/>
      <c r="VOZ3" s="42"/>
      <c r="VPA3" s="42"/>
      <c r="VPB3" s="42"/>
      <c r="VPC3" s="42"/>
      <c r="VPD3" s="42"/>
      <c r="VPE3" s="42"/>
      <c r="VPF3" s="42"/>
      <c r="VPG3" s="42"/>
      <c r="VPH3" s="42"/>
      <c r="VPI3" s="42"/>
      <c r="VPJ3" s="42"/>
      <c r="VPK3" s="42"/>
      <c r="VPL3" s="42"/>
      <c r="VPM3" s="42"/>
      <c r="VPN3" s="42"/>
      <c r="VPO3" s="42"/>
      <c r="VPP3" s="42"/>
      <c r="VPQ3" s="42"/>
      <c r="VPR3" s="42"/>
      <c r="VPS3" s="42"/>
      <c r="VPT3" s="42"/>
      <c r="VPU3" s="42"/>
      <c r="VPV3" s="42"/>
      <c r="VPW3" s="42"/>
      <c r="VPX3" s="42"/>
      <c r="VPY3" s="42"/>
      <c r="VPZ3" s="42"/>
      <c r="VQA3" s="42"/>
      <c r="VQB3" s="42"/>
      <c r="VQC3" s="42"/>
      <c r="VQD3" s="42"/>
      <c r="VQE3" s="42"/>
      <c r="VQF3" s="42"/>
      <c r="VQG3" s="42"/>
      <c r="VQH3" s="42"/>
      <c r="VQI3" s="42"/>
      <c r="VQJ3" s="42"/>
      <c r="VQK3" s="42"/>
      <c r="VQL3" s="42"/>
      <c r="VQM3" s="42"/>
      <c r="VQN3" s="42"/>
      <c r="VQO3" s="42"/>
      <c r="VQP3" s="42"/>
      <c r="VQQ3" s="42"/>
      <c r="VQR3" s="42"/>
      <c r="VQS3" s="42"/>
      <c r="VQT3" s="42"/>
      <c r="VQU3" s="42"/>
      <c r="VQV3" s="42"/>
      <c r="VQW3" s="42"/>
      <c r="VQX3" s="42"/>
      <c r="VQY3" s="42"/>
      <c r="VQZ3" s="42"/>
      <c r="VRA3" s="42"/>
      <c r="VRB3" s="42"/>
      <c r="VRC3" s="42"/>
      <c r="VRD3" s="42"/>
      <c r="VRE3" s="42"/>
      <c r="VRF3" s="42"/>
      <c r="VRG3" s="42"/>
      <c r="VRH3" s="42"/>
      <c r="VRI3" s="42"/>
      <c r="VRJ3" s="42"/>
      <c r="VRK3" s="42"/>
      <c r="VRL3" s="42"/>
      <c r="VRM3" s="42"/>
      <c r="VRN3" s="42"/>
      <c r="VRO3" s="42"/>
      <c r="VRP3" s="42"/>
      <c r="VRQ3" s="42"/>
      <c r="VRR3" s="42"/>
      <c r="VRS3" s="42"/>
      <c r="VRT3" s="42"/>
      <c r="VRU3" s="42"/>
      <c r="VRV3" s="42"/>
      <c r="VRW3" s="42"/>
      <c r="VRX3" s="42"/>
      <c r="VRY3" s="42"/>
      <c r="VRZ3" s="42"/>
      <c r="VSA3" s="42"/>
      <c r="VSB3" s="42"/>
      <c r="VSC3" s="42"/>
      <c r="VSD3" s="42"/>
      <c r="VSE3" s="42"/>
      <c r="VSF3" s="42"/>
      <c r="VSG3" s="42"/>
      <c r="VSH3" s="42"/>
      <c r="VSI3" s="42"/>
      <c r="VSJ3" s="42"/>
      <c r="VSK3" s="42"/>
      <c r="VSL3" s="42"/>
      <c r="VSM3" s="42"/>
      <c r="VSN3" s="42"/>
      <c r="VSO3" s="42"/>
      <c r="VSP3" s="42"/>
      <c r="VSQ3" s="42"/>
      <c r="VSR3" s="42"/>
      <c r="VSS3" s="42"/>
      <c r="VST3" s="42"/>
      <c r="VSU3" s="42"/>
      <c r="VSV3" s="42"/>
      <c r="VSW3" s="42"/>
      <c r="VSX3" s="42"/>
      <c r="VSY3" s="42"/>
      <c r="VSZ3" s="42"/>
      <c r="VTA3" s="42"/>
      <c r="VTB3" s="42"/>
      <c r="VTC3" s="42"/>
      <c r="VTD3" s="42"/>
      <c r="VTE3" s="42"/>
      <c r="VTF3" s="42"/>
      <c r="VTG3" s="42"/>
      <c r="VTH3" s="42"/>
      <c r="VTI3" s="42"/>
      <c r="VTJ3" s="42"/>
      <c r="VTK3" s="42"/>
      <c r="VTL3" s="42"/>
      <c r="VTM3" s="42"/>
      <c r="VTN3" s="42"/>
      <c r="VTO3" s="42"/>
      <c r="VTP3" s="42"/>
      <c r="VTQ3" s="42"/>
      <c r="VTR3" s="42"/>
      <c r="VTS3" s="42"/>
      <c r="VTT3" s="42"/>
      <c r="VTU3" s="42"/>
      <c r="VTV3" s="42"/>
      <c r="VTW3" s="42"/>
      <c r="VTX3" s="42"/>
      <c r="VTY3" s="42"/>
      <c r="VTZ3" s="42"/>
      <c r="VUA3" s="42"/>
      <c r="VUB3" s="42"/>
      <c r="VUC3" s="42"/>
      <c r="VUD3" s="42"/>
      <c r="VUE3" s="42"/>
      <c r="VUF3" s="42"/>
      <c r="VUG3" s="42"/>
      <c r="VUH3" s="42"/>
      <c r="VUI3" s="42"/>
      <c r="VUJ3" s="42"/>
      <c r="VUK3" s="42"/>
      <c r="VUL3" s="42"/>
      <c r="VUM3" s="42"/>
      <c r="VUN3" s="42"/>
      <c r="VUO3" s="42"/>
      <c r="VUP3" s="42"/>
      <c r="VUQ3" s="42"/>
      <c r="VUR3" s="42"/>
      <c r="VUS3" s="42"/>
      <c r="VUT3" s="42"/>
      <c r="VUU3" s="42"/>
      <c r="VUV3" s="42"/>
      <c r="VUW3" s="42"/>
      <c r="VUX3" s="42"/>
      <c r="VUY3" s="42"/>
      <c r="VUZ3" s="42"/>
      <c r="VVA3" s="42"/>
      <c r="VVB3" s="42"/>
      <c r="VVC3" s="42"/>
      <c r="VVD3" s="42"/>
      <c r="VVE3" s="42"/>
      <c r="VVF3" s="42"/>
      <c r="VVG3" s="42"/>
      <c r="VVH3" s="42"/>
      <c r="VVI3" s="42"/>
      <c r="VVJ3" s="42"/>
      <c r="VVK3" s="42"/>
      <c r="VVL3" s="42"/>
      <c r="VVM3" s="42"/>
      <c r="VVN3" s="42"/>
      <c r="VVO3" s="42"/>
      <c r="VVP3" s="42"/>
      <c r="VVQ3" s="42"/>
      <c r="VVR3" s="42"/>
      <c r="VVS3" s="42"/>
      <c r="VVT3" s="42"/>
      <c r="VVU3" s="42"/>
      <c r="VVV3" s="42"/>
      <c r="VVW3" s="42"/>
      <c r="VVX3" s="42"/>
      <c r="VVY3" s="42"/>
      <c r="VVZ3" s="42"/>
      <c r="VWA3" s="42"/>
      <c r="VWB3" s="42"/>
      <c r="VWC3" s="42"/>
      <c r="VWD3" s="42"/>
      <c r="VWE3" s="42"/>
      <c r="VWF3" s="42"/>
      <c r="VWG3" s="42"/>
      <c r="VWH3" s="42"/>
      <c r="VWI3" s="42"/>
      <c r="VWJ3" s="42"/>
      <c r="VWK3" s="42"/>
      <c r="VWL3" s="42"/>
      <c r="VWM3" s="42"/>
      <c r="VWN3" s="42"/>
      <c r="VWO3" s="42"/>
      <c r="VWP3" s="42"/>
      <c r="VWQ3" s="42"/>
      <c r="VWR3" s="42"/>
      <c r="VWS3" s="42"/>
      <c r="VWT3" s="42"/>
      <c r="VWU3" s="42"/>
      <c r="VWV3" s="42"/>
      <c r="VWW3" s="42"/>
      <c r="VWX3" s="42"/>
      <c r="VWY3" s="42"/>
      <c r="VWZ3" s="42"/>
      <c r="VXA3" s="42"/>
      <c r="VXB3" s="42"/>
      <c r="VXC3" s="42"/>
      <c r="VXD3" s="42"/>
      <c r="VXE3" s="42"/>
      <c r="VXF3" s="42"/>
      <c r="VXG3" s="42"/>
      <c r="VXH3" s="42"/>
      <c r="VXI3" s="42"/>
      <c r="VXJ3" s="42"/>
      <c r="VXK3" s="42"/>
      <c r="VXL3" s="42"/>
      <c r="VXM3" s="42"/>
      <c r="VXN3" s="42"/>
      <c r="VXO3" s="42"/>
      <c r="VXP3" s="42"/>
      <c r="VXQ3" s="42"/>
      <c r="VXR3" s="42"/>
      <c r="VXS3" s="42"/>
      <c r="VXT3" s="42"/>
      <c r="VXU3" s="42"/>
      <c r="VXV3" s="42"/>
      <c r="VXW3" s="42"/>
      <c r="VXX3" s="42"/>
      <c r="VXY3" s="42"/>
      <c r="VXZ3" s="42"/>
      <c r="VYA3" s="42"/>
      <c r="VYB3" s="42"/>
      <c r="VYC3" s="42"/>
      <c r="VYD3" s="42"/>
      <c r="VYE3" s="42"/>
      <c r="VYF3" s="42"/>
      <c r="VYG3" s="42"/>
      <c r="VYH3" s="42"/>
      <c r="VYI3" s="42"/>
      <c r="VYJ3" s="42"/>
      <c r="VYK3" s="42"/>
      <c r="VYL3" s="42"/>
      <c r="VYM3" s="42"/>
      <c r="VYN3" s="42"/>
      <c r="VYO3" s="42"/>
      <c r="VYP3" s="42"/>
      <c r="VYQ3" s="42"/>
      <c r="VYR3" s="42"/>
      <c r="VYS3" s="42"/>
      <c r="VYT3" s="42"/>
      <c r="VYU3" s="42"/>
      <c r="VYV3" s="42"/>
      <c r="VYW3" s="42"/>
      <c r="VYX3" s="42"/>
      <c r="VYY3" s="42"/>
      <c r="VYZ3" s="42"/>
      <c r="VZA3" s="42"/>
      <c r="VZB3" s="42"/>
      <c r="VZC3" s="42"/>
      <c r="VZD3" s="42"/>
      <c r="VZE3" s="42"/>
      <c r="VZF3" s="42"/>
      <c r="VZG3" s="42"/>
      <c r="VZH3" s="42"/>
      <c r="VZI3" s="42"/>
      <c r="VZJ3" s="42"/>
      <c r="VZK3" s="42"/>
      <c r="VZL3" s="42"/>
      <c r="VZM3" s="42"/>
      <c r="VZN3" s="42"/>
      <c r="VZO3" s="42"/>
      <c r="VZP3" s="42"/>
      <c r="VZQ3" s="42"/>
      <c r="VZR3" s="42"/>
      <c r="VZS3" s="42"/>
      <c r="VZT3" s="42"/>
      <c r="VZU3" s="42"/>
      <c r="VZV3" s="42"/>
      <c r="VZW3" s="42"/>
      <c r="VZX3" s="42"/>
      <c r="VZY3" s="42"/>
      <c r="VZZ3" s="42"/>
      <c r="WAA3" s="42"/>
      <c r="WAB3" s="42"/>
      <c r="WAC3" s="42"/>
      <c r="WAD3" s="42"/>
      <c r="WAE3" s="42"/>
      <c r="WAF3" s="42"/>
      <c r="WAG3" s="42"/>
      <c r="WAH3" s="42"/>
      <c r="WAI3" s="42"/>
      <c r="WAJ3" s="42"/>
      <c r="WAK3" s="42"/>
      <c r="WAL3" s="42"/>
      <c r="WAM3" s="42"/>
      <c r="WAN3" s="42"/>
      <c r="WAO3" s="42"/>
      <c r="WAP3" s="42"/>
      <c r="WAQ3" s="42"/>
      <c r="WAR3" s="42"/>
      <c r="WAS3" s="42"/>
      <c r="WAT3" s="42"/>
      <c r="WAU3" s="42"/>
      <c r="WAV3" s="42"/>
      <c r="WAW3" s="42"/>
      <c r="WAX3" s="42"/>
      <c r="WAY3" s="42"/>
      <c r="WAZ3" s="42"/>
      <c r="WBA3" s="42"/>
      <c r="WBB3" s="42"/>
      <c r="WBC3" s="42"/>
      <c r="WBD3" s="42"/>
      <c r="WBE3" s="42"/>
      <c r="WBF3" s="42"/>
      <c r="WBG3" s="42"/>
      <c r="WBH3" s="42"/>
      <c r="WBI3" s="42"/>
      <c r="WBJ3" s="42"/>
      <c r="WBK3" s="42"/>
      <c r="WBL3" s="42"/>
      <c r="WBM3" s="42"/>
      <c r="WBN3" s="42"/>
      <c r="WBO3" s="42"/>
      <c r="WBP3" s="42"/>
      <c r="WBQ3" s="42"/>
      <c r="WBR3" s="42"/>
      <c r="WBS3" s="42"/>
      <c r="WBT3" s="42"/>
      <c r="WBU3" s="42"/>
      <c r="WBV3" s="42"/>
      <c r="WBW3" s="42"/>
      <c r="WBX3" s="42"/>
      <c r="WBY3" s="42"/>
      <c r="WBZ3" s="42"/>
      <c r="WCA3" s="42"/>
      <c r="WCB3" s="42"/>
      <c r="WCC3" s="42"/>
      <c r="WCD3" s="42"/>
      <c r="WCE3" s="42"/>
      <c r="WCF3" s="42"/>
      <c r="WCG3" s="42"/>
      <c r="WCH3" s="42"/>
      <c r="WCI3" s="42"/>
      <c r="WCJ3" s="42"/>
      <c r="WCK3" s="42"/>
      <c r="WCL3" s="42"/>
      <c r="WCM3" s="42"/>
      <c r="WCN3" s="42"/>
      <c r="WCO3" s="42"/>
      <c r="WCP3" s="42"/>
      <c r="WCQ3" s="42"/>
      <c r="WCR3" s="42"/>
      <c r="WCS3" s="42"/>
      <c r="WCT3" s="42"/>
      <c r="WCU3" s="42"/>
      <c r="WCV3" s="42"/>
      <c r="WCW3" s="42"/>
      <c r="WCX3" s="42"/>
      <c r="WCY3" s="42"/>
      <c r="WCZ3" s="42"/>
      <c r="WDA3" s="42"/>
      <c r="WDB3" s="42"/>
      <c r="WDC3" s="42"/>
      <c r="WDD3" s="42"/>
      <c r="WDE3" s="42"/>
      <c r="WDF3" s="42"/>
      <c r="WDG3" s="42"/>
      <c r="WDH3" s="42"/>
      <c r="WDI3" s="42"/>
      <c r="WDJ3" s="42"/>
      <c r="WDK3" s="42"/>
      <c r="WDL3" s="42"/>
      <c r="WDM3" s="42"/>
      <c r="WDN3" s="42"/>
      <c r="WDO3" s="42"/>
      <c r="WDP3" s="42"/>
      <c r="WDQ3" s="42"/>
      <c r="WDR3" s="42"/>
      <c r="WDS3" s="42"/>
      <c r="WDT3" s="42"/>
      <c r="WDU3" s="42"/>
      <c r="WDV3" s="42"/>
      <c r="WDW3" s="42"/>
      <c r="WDX3" s="42"/>
      <c r="WDY3" s="42"/>
      <c r="WDZ3" s="42"/>
      <c r="WEA3" s="42"/>
      <c r="WEB3" s="42"/>
      <c r="WEC3" s="42"/>
      <c r="WED3" s="42"/>
      <c r="WEE3" s="42"/>
      <c r="WEF3" s="42"/>
      <c r="WEG3" s="42"/>
      <c r="WEH3" s="42"/>
      <c r="WEI3" s="42"/>
      <c r="WEJ3" s="42"/>
      <c r="WEK3" s="42"/>
      <c r="WEL3" s="42"/>
      <c r="WEM3" s="42"/>
      <c r="WEN3" s="42"/>
      <c r="WEO3" s="42"/>
      <c r="WEP3" s="42"/>
      <c r="WEQ3" s="42"/>
      <c r="WER3" s="42"/>
      <c r="WES3" s="42"/>
      <c r="WET3" s="42"/>
      <c r="WEU3" s="42"/>
      <c r="WEV3" s="42"/>
      <c r="WEW3" s="42"/>
      <c r="WEX3" s="42"/>
      <c r="WEY3" s="42"/>
      <c r="WEZ3" s="42"/>
      <c r="WFA3" s="42"/>
      <c r="WFB3" s="42"/>
      <c r="WFC3" s="42"/>
      <c r="WFD3" s="42"/>
      <c r="WFE3" s="42"/>
      <c r="WFF3" s="42"/>
      <c r="WFG3" s="42"/>
      <c r="WFH3" s="42"/>
      <c r="WFI3" s="42"/>
      <c r="WFJ3" s="42"/>
      <c r="WFK3" s="42"/>
      <c r="WFL3" s="42"/>
      <c r="WFM3" s="42"/>
      <c r="WFN3" s="42"/>
      <c r="WFO3" s="42"/>
      <c r="WFP3" s="42"/>
      <c r="WFQ3" s="42"/>
      <c r="WFR3" s="42"/>
      <c r="WFS3" s="42"/>
      <c r="WFT3" s="42"/>
      <c r="WFU3" s="42"/>
      <c r="WFV3" s="42"/>
      <c r="WFW3" s="42"/>
      <c r="WFX3" s="42"/>
      <c r="WFY3" s="42"/>
      <c r="WFZ3" s="42"/>
      <c r="WGA3" s="42"/>
      <c r="WGB3" s="42"/>
      <c r="WGC3" s="42"/>
      <c r="WGD3" s="42"/>
      <c r="WGE3" s="42"/>
      <c r="WGF3" s="42"/>
      <c r="WGG3" s="42"/>
      <c r="WGH3" s="42"/>
      <c r="WGI3" s="42"/>
      <c r="WGJ3" s="42"/>
      <c r="WGK3" s="42"/>
      <c r="WGL3" s="42"/>
      <c r="WGM3" s="42"/>
      <c r="WGN3" s="42"/>
      <c r="WGO3" s="42"/>
      <c r="WGP3" s="42"/>
      <c r="WGQ3" s="42"/>
      <c r="WGR3" s="42"/>
      <c r="WGS3" s="42"/>
      <c r="WGT3" s="42"/>
      <c r="WGU3" s="42"/>
      <c r="WGV3" s="42"/>
      <c r="WGW3" s="42"/>
      <c r="WGX3" s="42"/>
      <c r="WGY3" s="42"/>
      <c r="WGZ3" s="42"/>
      <c r="WHA3" s="42"/>
      <c r="WHB3" s="42"/>
      <c r="WHC3" s="42"/>
      <c r="WHD3" s="42"/>
      <c r="WHE3" s="42"/>
      <c r="WHF3" s="42"/>
      <c r="WHG3" s="42"/>
      <c r="WHH3" s="42"/>
      <c r="WHI3" s="42"/>
      <c r="WHJ3" s="42"/>
      <c r="WHK3" s="42"/>
      <c r="WHL3" s="42"/>
      <c r="WHM3" s="42"/>
      <c r="WHN3" s="42"/>
      <c r="WHO3" s="42"/>
      <c r="WHP3" s="42"/>
      <c r="WHQ3" s="42"/>
      <c r="WHR3" s="42"/>
      <c r="WHS3" s="42"/>
      <c r="WHT3" s="42"/>
      <c r="WHU3" s="42"/>
      <c r="WHV3" s="42"/>
      <c r="WHW3" s="42"/>
      <c r="WHX3" s="42"/>
      <c r="WHY3" s="42"/>
      <c r="WHZ3" s="42"/>
      <c r="WIA3" s="42"/>
      <c r="WIB3" s="42"/>
      <c r="WIC3" s="42"/>
      <c r="WID3" s="42"/>
      <c r="WIE3" s="42"/>
      <c r="WIF3" s="42"/>
      <c r="WIG3" s="42"/>
      <c r="WIH3" s="42"/>
      <c r="WII3" s="42"/>
      <c r="WIJ3" s="42"/>
      <c r="WIK3" s="42"/>
      <c r="WIL3" s="42"/>
      <c r="WIM3" s="42"/>
      <c r="WIN3" s="42"/>
      <c r="WIO3" s="42"/>
      <c r="WIP3" s="42"/>
      <c r="WIQ3" s="42"/>
      <c r="WIR3" s="42"/>
      <c r="WIS3" s="42"/>
      <c r="WIT3" s="42"/>
      <c r="WIU3" s="42"/>
      <c r="WIV3" s="42"/>
      <c r="WIW3" s="42"/>
      <c r="WIX3" s="42"/>
      <c r="WIY3" s="42"/>
      <c r="WIZ3" s="42"/>
      <c r="WJA3" s="42"/>
      <c r="WJB3" s="42"/>
      <c r="WJC3" s="42"/>
      <c r="WJD3" s="42"/>
      <c r="WJE3" s="42"/>
      <c r="WJF3" s="42"/>
      <c r="WJG3" s="42"/>
      <c r="WJH3" s="42"/>
      <c r="WJI3" s="42"/>
      <c r="WJJ3" s="42"/>
      <c r="WJK3" s="42"/>
      <c r="WJL3" s="42"/>
      <c r="WJM3" s="42"/>
      <c r="WJN3" s="42"/>
      <c r="WJO3" s="42"/>
      <c r="WJP3" s="42"/>
      <c r="WJQ3" s="42"/>
      <c r="WJR3" s="42"/>
      <c r="WJS3" s="42"/>
      <c r="WJT3" s="42"/>
      <c r="WJU3" s="42"/>
      <c r="WJV3" s="42"/>
      <c r="WJW3" s="42"/>
      <c r="WJX3" s="42"/>
      <c r="WJY3" s="42"/>
      <c r="WJZ3" s="42"/>
      <c r="WKA3" s="42"/>
      <c r="WKB3" s="42"/>
      <c r="WKC3" s="42"/>
      <c r="WKD3" s="42"/>
      <c r="WKE3" s="42"/>
      <c r="WKF3" s="42"/>
      <c r="WKG3" s="42"/>
      <c r="WKH3" s="42"/>
      <c r="WKI3" s="42"/>
      <c r="WKJ3" s="42"/>
      <c r="WKK3" s="42"/>
      <c r="WKL3" s="42"/>
      <c r="WKM3" s="42"/>
      <c r="WKN3" s="42"/>
      <c r="WKO3" s="42"/>
      <c r="WKP3" s="42"/>
      <c r="WKQ3" s="42"/>
      <c r="WKR3" s="42"/>
      <c r="WKS3" s="42"/>
      <c r="WKT3" s="42"/>
      <c r="WKU3" s="42"/>
      <c r="WKV3" s="42"/>
      <c r="WKW3" s="42"/>
      <c r="WKX3" s="42"/>
      <c r="WKY3" s="42"/>
      <c r="WKZ3" s="42"/>
      <c r="WLA3" s="42"/>
      <c r="WLB3" s="42"/>
      <c r="WLC3" s="42"/>
      <c r="WLD3" s="42"/>
      <c r="WLE3" s="42"/>
      <c r="WLF3" s="42"/>
      <c r="WLG3" s="42"/>
      <c r="WLH3" s="42"/>
      <c r="WLI3" s="42"/>
      <c r="WLJ3" s="42"/>
      <c r="WLK3" s="42"/>
      <c r="WLL3" s="42"/>
      <c r="WLM3" s="42"/>
      <c r="WLN3" s="42"/>
      <c r="WLO3" s="42"/>
      <c r="WLP3" s="42"/>
      <c r="WLQ3" s="42"/>
      <c r="WLR3" s="42"/>
      <c r="WLS3" s="42"/>
      <c r="WLT3" s="42"/>
      <c r="WLU3" s="42"/>
      <c r="WLV3" s="42"/>
      <c r="WLW3" s="42"/>
      <c r="WLX3" s="42"/>
      <c r="WLY3" s="42"/>
      <c r="WLZ3" s="42"/>
      <c r="WMA3" s="42"/>
      <c r="WMB3" s="42"/>
      <c r="WMC3" s="42"/>
      <c r="WMD3" s="42"/>
      <c r="WME3" s="42"/>
      <c r="WMF3" s="42"/>
      <c r="WMG3" s="42"/>
      <c r="WMH3" s="42"/>
      <c r="WMI3" s="42"/>
      <c r="WMJ3" s="42"/>
      <c r="WMK3" s="42"/>
      <c r="WML3" s="42"/>
      <c r="WMM3" s="42"/>
      <c r="WMN3" s="42"/>
      <c r="WMO3" s="42"/>
      <c r="WMP3" s="42"/>
      <c r="WMQ3" s="42"/>
      <c r="WMR3" s="42"/>
      <c r="WMS3" s="42"/>
      <c r="WMT3" s="42"/>
      <c r="WMU3" s="42"/>
      <c r="WMV3" s="42"/>
      <c r="WMW3" s="42"/>
      <c r="WMX3" s="42"/>
      <c r="WMY3" s="42"/>
      <c r="WMZ3" s="42"/>
      <c r="WNA3" s="42"/>
      <c r="WNB3" s="42"/>
      <c r="WNC3" s="42"/>
      <c r="WND3" s="42"/>
      <c r="WNE3" s="42"/>
      <c r="WNF3" s="42"/>
      <c r="WNG3" s="42"/>
      <c r="WNH3" s="42"/>
      <c r="WNI3" s="42"/>
      <c r="WNJ3" s="42"/>
      <c r="WNK3" s="42"/>
      <c r="WNL3" s="42"/>
      <c r="WNM3" s="42"/>
      <c r="WNN3" s="42"/>
      <c r="WNO3" s="42"/>
      <c r="WNP3" s="42"/>
      <c r="WNQ3" s="42"/>
      <c r="WNR3" s="42"/>
      <c r="WNS3" s="42"/>
      <c r="WNT3" s="42"/>
      <c r="WNU3" s="42"/>
      <c r="WNV3" s="42"/>
      <c r="WNW3" s="42"/>
      <c r="WNX3" s="42"/>
      <c r="WNY3" s="42"/>
      <c r="WNZ3" s="42"/>
      <c r="WOA3" s="42"/>
      <c r="WOB3" s="42"/>
      <c r="WOC3" s="42"/>
      <c r="WOD3" s="42"/>
      <c r="WOE3" s="42"/>
      <c r="WOF3" s="42"/>
      <c r="WOG3" s="42"/>
      <c r="WOH3" s="42"/>
      <c r="WOI3" s="42"/>
      <c r="WOJ3" s="42"/>
      <c r="WOK3" s="42"/>
      <c r="WOL3" s="42"/>
      <c r="WOM3" s="42"/>
      <c r="WON3" s="42"/>
      <c r="WOO3" s="42"/>
      <c r="WOP3" s="42"/>
      <c r="WOQ3" s="42"/>
      <c r="WOR3" s="42"/>
      <c r="WOS3" s="42"/>
      <c r="WOT3" s="42"/>
      <c r="WOU3" s="42"/>
      <c r="WOV3" s="42"/>
      <c r="WOW3" s="42"/>
      <c r="WOX3" s="42"/>
      <c r="WOY3" s="42"/>
      <c r="WOZ3" s="42"/>
      <c r="WPA3" s="42"/>
      <c r="WPB3" s="42"/>
      <c r="WPC3" s="42"/>
      <c r="WPD3" s="42"/>
      <c r="WPE3" s="42"/>
      <c r="WPF3" s="42"/>
      <c r="WPG3" s="42"/>
      <c r="WPH3" s="42"/>
      <c r="WPI3" s="42"/>
      <c r="WPJ3" s="42"/>
      <c r="WPK3" s="42"/>
      <c r="WPL3" s="42"/>
      <c r="WPM3" s="42"/>
      <c r="WPN3" s="42"/>
      <c r="WPO3" s="42"/>
      <c r="WPP3" s="42"/>
      <c r="WPQ3" s="42"/>
      <c r="WPR3" s="42"/>
      <c r="WPS3" s="42"/>
      <c r="WPT3" s="42"/>
      <c r="WPU3" s="42"/>
      <c r="WPV3" s="42"/>
      <c r="WPW3" s="42"/>
      <c r="WPX3" s="42"/>
      <c r="WPY3" s="42"/>
      <c r="WPZ3" s="42"/>
      <c r="WQA3" s="42"/>
      <c r="WQB3" s="42"/>
      <c r="WQC3" s="42"/>
      <c r="WQD3" s="42"/>
      <c r="WQE3" s="42"/>
      <c r="WQF3" s="42"/>
      <c r="WQG3" s="42"/>
      <c r="WQH3" s="42"/>
      <c r="WQI3" s="42"/>
      <c r="WQJ3" s="42"/>
      <c r="WQK3" s="42"/>
      <c r="WQL3" s="42"/>
      <c r="WQM3" s="42"/>
      <c r="WQN3" s="42"/>
      <c r="WQO3" s="42"/>
      <c r="WQP3" s="42"/>
      <c r="WQQ3" s="42"/>
      <c r="WQR3" s="42"/>
      <c r="WQS3" s="42"/>
      <c r="WQT3" s="42"/>
      <c r="WQU3" s="42"/>
      <c r="WQV3" s="42"/>
      <c r="WQW3" s="42"/>
      <c r="WQX3" s="42"/>
      <c r="WQY3" s="42"/>
      <c r="WQZ3" s="42"/>
      <c r="WRA3" s="42"/>
      <c r="WRB3" s="42"/>
      <c r="WRC3" s="42"/>
      <c r="WRD3" s="42"/>
      <c r="WRE3" s="42"/>
      <c r="WRF3" s="42"/>
      <c r="WRG3" s="42"/>
      <c r="WRH3" s="42"/>
      <c r="WRI3" s="42"/>
      <c r="WRJ3" s="42"/>
      <c r="WRK3" s="42"/>
      <c r="WRL3" s="42"/>
      <c r="WRM3" s="42"/>
      <c r="WRN3" s="42"/>
      <c r="WRO3" s="42"/>
      <c r="WRP3" s="42"/>
      <c r="WRQ3" s="42"/>
      <c r="WRR3" s="42"/>
      <c r="WRS3" s="42"/>
      <c r="WRT3" s="42"/>
      <c r="WRU3" s="42"/>
      <c r="WRV3" s="42"/>
      <c r="WRW3" s="42"/>
      <c r="WRX3" s="42"/>
      <c r="WRY3" s="42"/>
      <c r="WRZ3" s="42"/>
      <c r="WSA3" s="42"/>
      <c r="WSB3" s="42"/>
      <c r="WSC3" s="42"/>
      <c r="WSD3" s="42"/>
      <c r="WSE3" s="42"/>
      <c r="WSF3" s="42"/>
      <c r="WSG3" s="42"/>
      <c r="WSH3" s="42"/>
      <c r="WSI3" s="42"/>
      <c r="WSJ3" s="42"/>
      <c r="WSK3" s="42"/>
      <c r="WSL3" s="42"/>
      <c r="WSM3" s="42"/>
      <c r="WSN3" s="42"/>
      <c r="WSO3" s="42"/>
      <c r="WSP3" s="42"/>
      <c r="WSQ3" s="42"/>
      <c r="WSR3" s="42"/>
      <c r="WSS3" s="42"/>
      <c r="WST3" s="42"/>
      <c r="WSU3" s="42"/>
      <c r="WSV3" s="42"/>
      <c r="WSW3" s="42"/>
      <c r="WSX3" s="42"/>
      <c r="WSY3" s="42"/>
      <c r="WSZ3" s="42"/>
      <c r="WTA3" s="42"/>
      <c r="WTB3" s="42"/>
      <c r="WTC3" s="42"/>
      <c r="WTD3" s="42"/>
      <c r="WTE3" s="42"/>
      <c r="WTF3" s="42"/>
      <c r="WTG3" s="42"/>
      <c r="WTH3" s="42"/>
      <c r="WTI3" s="42"/>
      <c r="WTJ3" s="42"/>
      <c r="WTK3" s="42"/>
      <c r="WTL3" s="42"/>
      <c r="WTM3" s="42"/>
      <c r="WTN3" s="42"/>
      <c r="WTO3" s="42"/>
      <c r="WTP3" s="42"/>
      <c r="WTQ3" s="42"/>
      <c r="WTR3" s="42"/>
      <c r="WTS3" s="42"/>
      <c r="WTT3" s="42"/>
      <c r="WTU3" s="42"/>
      <c r="WTV3" s="42"/>
      <c r="WTW3" s="42"/>
      <c r="WTX3" s="42"/>
      <c r="WTY3" s="42"/>
      <c r="WTZ3" s="42"/>
      <c r="WUA3" s="42"/>
      <c r="WUB3" s="42"/>
      <c r="WUC3" s="42"/>
      <c r="WUD3" s="42"/>
      <c r="WUE3" s="42"/>
      <c r="WUF3" s="42"/>
      <c r="WUG3" s="42"/>
      <c r="WUH3" s="42"/>
      <c r="WUI3" s="42"/>
      <c r="WUJ3" s="42"/>
      <c r="WUK3" s="42"/>
      <c r="WUL3" s="42"/>
      <c r="WUM3" s="42"/>
      <c r="WUN3" s="42"/>
      <c r="WUO3" s="42"/>
      <c r="WUP3" s="42"/>
      <c r="WUQ3" s="42"/>
      <c r="WUR3" s="42"/>
      <c r="WUS3" s="42"/>
      <c r="WUT3" s="42"/>
      <c r="WUU3" s="42"/>
      <c r="WUV3" s="42"/>
      <c r="WUW3" s="42"/>
      <c r="WUX3" s="42"/>
      <c r="WUY3" s="42"/>
      <c r="WUZ3" s="42"/>
      <c r="WVA3" s="42"/>
      <c r="WVB3" s="42"/>
      <c r="WVC3" s="42"/>
      <c r="WVD3" s="42"/>
      <c r="WVE3" s="42"/>
      <c r="WVF3" s="42"/>
      <c r="WVG3" s="42"/>
      <c r="WVH3" s="42"/>
      <c r="WVI3" s="42"/>
      <c r="WVJ3" s="42"/>
      <c r="WVK3" s="42"/>
      <c r="WVL3" s="42"/>
      <c r="WVM3" s="42"/>
      <c r="WVN3" s="42"/>
      <c r="WVO3" s="42"/>
      <c r="WVP3" s="42"/>
      <c r="WVQ3" s="42"/>
      <c r="WVR3" s="42"/>
      <c r="WVS3" s="42"/>
      <c r="WVT3" s="42"/>
      <c r="WVU3" s="42"/>
      <c r="WVV3" s="42"/>
      <c r="WVW3" s="42"/>
      <c r="WVX3" s="42"/>
      <c r="WVY3" s="42"/>
      <c r="WVZ3" s="42"/>
      <c r="WWA3" s="42"/>
      <c r="WWB3" s="42"/>
      <c r="WWC3" s="42"/>
      <c r="WWD3" s="42"/>
      <c r="WWE3" s="42"/>
      <c r="WWF3" s="42"/>
      <c r="WWG3" s="42"/>
      <c r="WWH3" s="42"/>
      <c r="WWI3" s="42"/>
      <c r="WWJ3" s="42"/>
      <c r="WWK3" s="42"/>
      <c r="WWL3" s="42"/>
      <c r="WWM3" s="42"/>
      <c r="WWN3" s="42"/>
      <c r="WWO3" s="42"/>
      <c r="WWP3" s="42"/>
      <c r="WWQ3" s="42"/>
      <c r="WWR3" s="42"/>
      <c r="WWS3" s="42"/>
      <c r="WWT3" s="42"/>
      <c r="WWU3" s="42"/>
      <c r="WWV3" s="42"/>
      <c r="WWW3" s="42"/>
      <c r="WWX3" s="42"/>
      <c r="WWY3" s="42"/>
      <c r="WWZ3" s="42"/>
      <c r="WXA3" s="42"/>
      <c r="WXB3" s="42"/>
      <c r="WXC3" s="42"/>
      <c r="WXD3" s="42"/>
      <c r="WXE3" s="42"/>
      <c r="WXF3" s="42"/>
      <c r="WXG3" s="42"/>
      <c r="WXH3" s="42"/>
      <c r="WXI3" s="42"/>
      <c r="WXJ3" s="42"/>
      <c r="WXK3" s="42"/>
      <c r="WXL3" s="42"/>
      <c r="WXM3" s="42"/>
      <c r="WXN3" s="42"/>
      <c r="WXO3" s="42"/>
      <c r="WXP3" s="42"/>
      <c r="WXQ3" s="42"/>
      <c r="WXR3" s="42"/>
      <c r="WXS3" s="42"/>
      <c r="WXT3" s="42"/>
      <c r="WXU3" s="42"/>
      <c r="WXV3" s="42"/>
      <c r="WXW3" s="42"/>
      <c r="WXX3" s="42"/>
      <c r="WXY3" s="42"/>
      <c r="WXZ3" s="42"/>
      <c r="WYA3" s="42"/>
      <c r="WYB3" s="42"/>
      <c r="WYC3" s="42"/>
      <c r="WYD3" s="42"/>
      <c r="WYE3" s="42"/>
      <c r="WYF3" s="42"/>
      <c r="WYG3" s="42"/>
      <c r="WYH3" s="42"/>
      <c r="WYI3" s="42"/>
      <c r="WYJ3" s="42"/>
      <c r="WYK3" s="42"/>
      <c r="WYL3" s="42"/>
      <c r="WYM3" s="42"/>
      <c r="WYN3" s="42"/>
      <c r="WYO3" s="42"/>
      <c r="WYP3" s="42"/>
      <c r="WYQ3" s="42"/>
      <c r="WYR3" s="42"/>
      <c r="WYS3" s="42"/>
      <c r="WYT3" s="42"/>
      <c r="WYU3" s="42"/>
      <c r="WYV3" s="42"/>
      <c r="WYW3" s="42"/>
      <c r="WYX3" s="42"/>
      <c r="WYY3" s="42"/>
      <c r="WYZ3" s="42"/>
      <c r="WZA3" s="42"/>
      <c r="WZB3" s="42"/>
      <c r="WZC3" s="42"/>
      <c r="WZD3" s="42"/>
      <c r="WZE3" s="42"/>
      <c r="WZF3" s="42"/>
      <c r="WZG3" s="42"/>
      <c r="WZH3" s="42"/>
      <c r="WZI3" s="42"/>
      <c r="WZJ3" s="42"/>
      <c r="WZK3" s="42"/>
      <c r="WZL3" s="42"/>
      <c r="WZM3" s="42"/>
      <c r="WZN3" s="42"/>
      <c r="WZO3" s="42"/>
      <c r="WZP3" s="42"/>
      <c r="WZQ3" s="42"/>
      <c r="WZR3" s="42"/>
      <c r="WZS3" s="42"/>
      <c r="WZT3" s="42"/>
      <c r="WZU3" s="42"/>
      <c r="WZV3" s="42"/>
      <c r="WZW3" s="42"/>
      <c r="WZX3" s="42"/>
      <c r="WZY3" s="42"/>
      <c r="WZZ3" s="42"/>
      <c r="XAA3" s="42"/>
      <c r="XAB3" s="42"/>
      <c r="XAC3" s="42"/>
      <c r="XAD3" s="42"/>
      <c r="XAE3" s="42"/>
      <c r="XAF3" s="42"/>
      <c r="XAG3" s="42"/>
      <c r="XAH3" s="42"/>
      <c r="XAI3" s="42"/>
      <c r="XAJ3" s="42"/>
      <c r="XAK3" s="42"/>
      <c r="XAL3" s="42"/>
      <c r="XAM3" s="42"/>
      <c r="XAN3" s="42"/>
      <c r="XAO3" s="42"/>
      <c r="XAP3" s="42"/>
      <c r="XAQ3" s="42"/>
      <c r="XAR3" s="42"/>
      <c r="XAS3" s="42"/>
      <c r="XAT3" s="42"/>
      <c r="XAU3" s="42"/>
      <c r="XAV3" s="42"/>
      <c r="XAW3" s="42"/>
      <c r="XAX3" s="42"/>
      <c r="XAY3" s="42"/>
      <c r="XAZ3" s="42"/>
      <c r="XBA3" s="42"/>
      <c r="XBB3" s="42"/>
      <c r="XBC3" s="42"/>
      <c r="XBD3" s="42"/>
      <c r="XBE3" s="42"/>
      <c r="XBF3" s="42"/>
      <c r="XBG3" s="42"/>
      <c r="XBH3" s="42"/>
      <c r="XBI3" s="42"/>
      <c r="XBJ3" s="42"/>
      <c r="XBK3" s="42"/>
      <c r="XBL3" s="42"/>
      <c r="XBM3" s="42"/>
      <c r="XBN3" s="42"/>
      <c r="XBO3" s="42"/>
      <c r="XBP3" s="42"/>
      <c r="XBQ3" s="42"/>
      <c r="XBR3" s="42"/>
      <c r="XBS3" s="42"/>
      <c r="XBT3" s="42"/>
      <c r="XBU3" s="42"/>
      <c r="XBV3" s="42"/>
      <c r="XBW3" s="42"/>
      <c r="XBX3" s="42"/>
      <c r="XBY3" s="42"/>
      <c r="XBZ3" s="42"/>
      <c r="XCA3" s="42"/>
      <c r="XCB3" s="42"/>
      <c r="XCC3" s="42"/>
      <c r="XCD3" s="42"/>
      <c r="XCE3" s="42"/>
      <c r="XCF3" s="42"/>
      <c r="XCG3" s="42"/>
      <c r="XCH3" s="42"/>
      <c r="XCI3" s="42"/>
      <c r="XCJ3" s="42"/>
      <c r="XCK3" s="42"/>
      <c r="XCL3" s="42"/>
      <c r="XCM3" s="42"/>
      <c r="XCN3" s="42"/>
      <c r="XCO3" s="42"/>
      <c r="XCP3" s="42"/>
      <c r="XCQ3" s="42"/>
      <c r="XCR3" s="42"/>
      <c r="XCS3" s="42"/>
      <c r="XCT3" s="42"/>
      <c r="XCU3" s="42"/>
      <c r="XCV3" s="42"/>
      <c r="XCW3" s="42"/>
      <c r="XCX3" s="42"/>
      <c r="XCY3" s="42"/>
      <c r="XCZ3" s="42"/>
      <c r="XDA3" s="42"/>
      <c r="XDB3" s="42"/>
      <c r="XDC3" s="42"/>
      <c r="XDD3" s="42"/>
      <c r="XDE3" s="42"/>
      <c r="XDF3" s="42"/>
      <c r="XDG3" s="42"/>
      <c r="XDH3" s="42"/>
      <c r="XDI3" s="42"/>
      <c r="XDJ3" s="42"/>
      <c r="XDK3" s="42"/>
      <c r="XDL3" s="42"/>
      <c r="XDM3" s="42"/>
      <c r="XDN3" s="42"/>
      <c r="XDO3" s="42"/>
      <c r="XDP3" s="42"/>
      <c r="XDQ3" s="42"/>
      <c r="XDR3" s="42"/>
      <c r="XDS3" s="42"/>
      <c r="XDT3" s="42"/>
      <c r="XDU3" s="42"/>
      <c r="XDV3" s="42"/>
      <c r="XDW3" s="42"/>
      <c r="XDX3" s="42"/>
      <c r="XDY3" s="42"/>
      <c r="XDZ3" s="42"/>
      <c r="XEA3" s="42"/>
      <c r="XEB3" s="42"/>
      <c r="XEC3" s="42"/>
      <c r="XED3" s="42"/>
      <c r="XEE3" s="42"/>
      <c r="XEF3" s="42"/>
      <c r="XEG3" s="42"/>
      <c r="XEH3" s="42"/>
      <c r="XEI3" s="42"/>
      <c r="XEJ3" s="42"/>
      <c r="XEK3" s="42"/>
      <c r="XEL3" s="42"/>
      <c r="XEM3" s="42"/>
      <c r="XEN3" s="42"/>
      <c r="XEO3" s="42"/>
      <c r="XEP3" s="42"/>
      <c r="XEQ3" s="42"/>
      <c r="XER3" s="42"/>
      <c r="XES3" s="42"/>
      <c r="XET3" s="42"/>
      <c r="XEU3" s="42"/>
      <c r="XEV3" s="42"/>
      <c r="XEW3" s="42"/>
      <c r="XEX3" s="42"/>
      <c r="XEY3" s="42"/>
      <c r="XEZ3" s="42"/>
      <c r="XFA3" s="42"/>
      <c r="XFB3" s="42"/>
      <c r="XFC3" s="42"/>
    </row>
    <row r="4" spans="1:16383" s="16" customFormat="1" ht="42" customHeight="1" x14ac:dyDescent="0.2">
      <c r="A4" s="71"/>
      <c r="B4" s="44"/>
      <c r="C4" s="35" t="s">
        <v>122</v>
      </c>
      <c r="D4" s="58"/>
      <c r="E4" s="58"/>
      <c r="F4" s="30"/>
      <c r="G4" s="30"/>
      <c r="H4" s="30"/>
      <c r="I4" s="30"/>
      <c r="J4" s="30"/>
      <c r="K4" s="30"/>
      <c r="L4" s="30"/>
      <c r="M4" s="39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  <c r="AUD4" s="1"/>
      <c r="AUE4" s="1"/>
      <c r="AUF4" s="1"/>
      <c r="AUG4" s="1"/>
      <c r="AUH4" s="1"/>
      <c r="AUI4" s="1"/>
      <c r="AUJ4" s="1"/>
      <c r="AUK4" s="1"/>
      <c r="AUL4" s="1"/>
      <c r="AUM4" s="1"/>
      <c r="AUN4" s="1"/>
      <c r="AUO4" s="1"/>
      <c r="AUP4" s="1"/>
      <c r="AUQ4" s="1"/>
      <c r="AUR4" s="1"/>
      <c r="AUS4" s="1"/>
      <c r="AUT4" s="1"/>
      <c r="AUU4" s="1"/>
      <c r="AUV4" s="1"/>
      <c r="AUW4" s="1"/>
      <c r="AUX4" s="1"/>
      <c r="AUY4" s="1"/>
      <c r="AUZ4" s="1"/>
      <c r="AVA4" s="1"/>
      <c r="AVB4" s="1"/>
      <c r="AVC4" s="1"/>
      <c r="AVD4" s="1"/>
      <c r="AVE4" s="1"/>
      <c r="AVF4" s="1"/>
      <c r="AVG4" s="1"/>
      <c r="AVH4" s="1"/>
      <c r="AVI4" s="1"/>
      <c r="AVJ4" s="1"/>
      <c r="AVK4" s="1"/>
      <c r="AVL4" s="1"/>
      <c r="AVM4" s="1"/>
      <c r="AVN4" s="1"/>
      <c r="AVO4" s="1"/>
      <c r="AVP4" s="1"/>
      <c r="AVQ4" s="1"/>
      <c r="AVR4" s="1"/>
      <c r="AVS4" s="1"/>
      <c r="AVT4" s="1"/>
      <c r="AVU4" s="1"/>
      <c r="AVV4" s="1"/>
      <c r="AVW4" s="1"/>
      <c r="AVX4" s="1"/>
      <c r="AVY4" s="1"/>
      <c r="AVZ4" s="1"/>
      <c r="AWA4" s="1"/>
      <c r="AWB4" s="1"/>
      <c r="AWC4" s="1"/>
      <c r="AWD4" s="1"/>
      <c r="AWE4" s="1"/>
      <c r="AWF4" s="1"/>
      <c r="AWG4" s="1"/>
      <c r="AWH4" s="1"/>
      <c r="AWI4" s="1"/>
      <c r="AWJ4" s="1"/>
      <c r="AWK4" s="1"/>
      <c r="AWL4" s="1"/>
      <c r="AWM4" s="1"/>
      <c r="AWN4" s="1"/>
      <c r="AWO4" s="1"/>
      <c r="AWP4" s="1"/>
      <c r="AWQ4" s="1"/>
      <c r="AWR4" s="1"/>
      <c r="AWS4" s="1"/>
      <c r="AWT4" s="1"/>
      <c r="AWU4" s="1"/>
      <c r="AWV4" s="1"/>
      <c r="AWW4" s="1"/>
      <c r="AWX4" s="1"/>
      <c r="AWY4" s="1"/>
      <c r="AWZ4" s="1"/>
      <c r="AXA4" s="1"/>
      <c r="AXB4" s="1"/>
      <c r="AXC4" s="1"/>
      <c r="AXD4" s="1"/>
      <c r="AXE4" s="1"/>
      <c r="AXF4" s="1"/>
      <c r="AXG4" s="1"/>
      <c r="AXH4" s="1"/>
      <c r="AXI4" s="1"/>
      <c r="AXJ4" s="1"/>
      <c r="AXK4" s="1"/>
      <c r="AXL4" s="1"/>
      <c r="AXM4" s="1"/>
      <c r="AXN4" s="1"/>
      <c r="AXO4" s="1"/>
      <c r="AXP4" s="1"/>
      <c r="AXQ4" s="1"/>
      <c r="AXR4" s="1"/>
      <c r="AXS4" s="1"/>
      <c r="AXT4" s="1"/>
      <c r="AXU4" s="1"/>
      <c r="AXV4" s="1"/>
      <c r="AXW4" s="1"/>
      <c r="AXX4" s="1"/>
      <c r="AXY4" s="1"/>
      <c r="AXZ4" s="1"/>
      <c r="AYA4" s="1"/>
      <c r="AYB4" s="1"/>
      <c r="AYC4" s="1"/>
      <c r="AYD4" s="1"/>
      <c r="AYE4" s="1"/>
      <c r="AYF4" s="1"/>
      <c r="AYG4" s="1"/>
      <c r="AYH4" s="1"/>
      <c r="AYI4" s="1"/>
      <c r="AYJ4" s="1"/>
      <c r="AYK4" s="1"/>
      <c r="AYL4" s="1"/>
      <c r="AYM4" s="1"/>
      <c r="AYN4" s="1"/>
      <c r="AYO4" s="1"/>
      <c r="AYP4" s="1"/>
      <c r="AYQ4" s="1"/>
      <c r="AYR4" s="1"/>
      <c r="AYS4" s="1"/>
      <c r="AYT4" s="1"/>
      <c r="AYU4" s="1"/>
      <c r="AYV4" s="1"/>
      <c r="AYW4" s="1"/>
      <c r="AYX4" s="1"/>
      <c r="AYY4" s="1"/>
      <c r="AYZ4" s="1"/>
      <c r="AZA4" s="1"/>
      <c r="AZB4" s="1"/>
      <c r="AZC4" s="1"/>
      <c r="AZD4" s="1"/>
      <c r="AZE4" s="1"/>
      <c r="AZF4" s="1"/>
      <c r="AZG4" s="1"/>
      <c r="AZH4" s="1"/>
      <c r="AZI4" s="1"/>
      <c r="AZJ4" s="1"/>
      <c r="AZK4" s="1"/>
      <c r="AZL4" s="1"/>
      <c r="AZM4" s="1"/>
      <c r="AZN4" s="1"/>
      <c r="AZO4" s="1"/>
      <c r="AZP4" s="1"/>
      <c r="AZQ4" s="1"/>
      <c r="AZR4" s="1"/>
      <c r="AZS4" s="1"/>
      <c r="AZT4" s="1"/>
      <c r="AZU4" s="1"/>
      <c r="AZV4" s="1"/>
      <c r="AZW4" s="1"/>
      <c r="AZX4" s="1"/>
      <c r="AZY4" s="1"/>
      <c r="AZZ4" s="1"/>
      <c r="BAA4" s="1"/>
      <c r="BAB4" s="1"/>
      <c r="BAC4" s="1"/>
      <c r="BAD4" s="1"/>
      <c r="BAE4" s="1"/>
      <c r="BAF4" s="1"/>
      <c r="BAG4" s="1"/>
      <c r="BAH4" s="1"/>
      <c r="BAI4" s="1"/>
      <c r="BAJ4" s="1"/>
      <c r="BAK4" s="1"/>
      <c r="BAL4" s="1"/>
      <c r="BAM4" s="1"/>
      <c r="BAN4" s="1"/>
      <c r="BAO4" s="1"/>
      <c r="BAP4" s="1"/>
      <c r="BAQ4" s="1"/>
      <c r="BAR4" s="1"/>
      <c r="BAS4" s="1"/>
      <c r="BAT4" s="1"/>
      <c r="BAU4" s="1"/>
      <c r="BAV4" s="1"/>
      <c r="BAW4" s="1"/>
      <c r="BAX4" s="1"/>
      <c r="BAY4" s="1"/>
      <c r="BAZ4" s="1"/>
      <c r="BBA4" s="1"/>
      <c r="BBB4" s="1"/>
      <c r="BBC4" s="1"/>
      <c r="BBD4" s="1"/>
      <c r="BBE4" s="1"/>
      <c r="BBF4" s="1"/>
      <c r="BBG4" s="1"/>
      <c r="BBH4" s="1"/>
      <c r="BBI4" s="1"/>
      <c r="BBJ4" s="1"/>
      <c r="BBK4" s="1"/>
      <c r="BBL4" s="1"/>
      <c r="BBM4" s="1"/>
      <c r="BBN4" s="1"/>
      <c r="BBO4" s="1"/>
      <c r="BBP4" s="1"/>
      <c r="BBQ4" s="1"/>
      <c r="BBR4" s="1"/>
      <c r="BBS4" s="1"/>
      <c r="BBT4" s="1"/>
      <c r="BBU4" s="1"/>
      <c r="BBV4" s="1"/>
      <c r="BBW4" s="1"/>
      <c r="BBX4" s="1"/>
      <c r="BBY4" s="1"/>
      <c r="BBZ4" s="1"/>
      <c r="BCA4" s="1"/>
      <c r="BCB4" s="1"/>
      <c r="BCC4" s="1"/>
      <c r="BCD4" s="1"/>
      <c r="BCE4" s="1"/>
      <c r="BCF4" s="1"/>
      <c r="BCG4" s="1"/>
      <c r="BCH4" s="1"/>
      <c r="BCI4" s="1"/>
      <c r="BCJ4" s="1"/>
      <c r="BCK4" s="1"/>
      <c r="BCL4" s="1"/>
      <c r="BCM4" s="1"/>
      <c r="BCN4" s="1"/>
      <c r="BCO4" s="1"/>
      <c r="BCP4" s="1"/>
      <c r="BCQ4" s="1"/>
      <c r="BCR4" s="1"/>
      <c r="BCS4" s="1"/>
      <c r="BCT4" s="1"/>
      <c r="BCU4" s="1"/>
      <c r="BCV4" s="1"/>
      <c r="BCW4" s="1"/>
      <c r="BCX4" s="1"/>
      <c r="BCY4" s="1"/>
      <c r="BCZ4" s="1"/>
      <c r="BDA4" s="1"/>
      <c r="BDB4" s="1"/>
      <c r="BDC4" s="1"/>
      <c r="BDD4" s="1"/>
      <c r="BDE4" s="1"/>
      <c r="BDF4" s="1"/>
      <c r="BDG4" s="1"/>
      <c r="BDH4" s="1"/>
      <c r="BDI4" s="1"/>
      <c r="BDJ4" s="1"/>
      <c r="BDK4" s="1"/>
      <c r="BDL4" s="1"/>
      <c r="BDM4" s="1"/>
      <c r="BDN4" s="1"/>
      <c r="BDO4" s="1"/>
      <c r="BDP4" s="1"/>
      <c r="BDQ4" s="1"/>
      <c r="BDR4" s="1"/>
      <c r="BDS4" s="1"/>
      <c r="BDT4" s="1"/>
      <c r="BDU4" s="1"/>
      <c r="BDV4" s="1"/>
      <c r="BDW4" s="1"/>
      <c r="BDX4" s="1"/>
      <c r="BDY4" s="1"/>
      <c r="BDZ4" s="1"/>
      <c r="BEA4" s="1"/>
      <c r="BEB4" s="1"/>
      <c r="BEC4" s="1"/>
      <c r="BED4" s="1"/>
      <c r="BEE4" s="1"/>
      <c r="BEF4" s="1"/>
      <c r="BEG4" s="1"/>
      <c r="BEH4" s="1"/>
      <c r="BEI4" s="1"/>
      <c r="BEJ4" s="1"/>
      <c r="BEK4" s="1"/>
      <c r="BEL4" s="1"/>
      <c r="BEM4" s="1"/>
      <c r="BEN4" s="1"/>
      <c r="BEO4" s="1"/>
      <c r="BEP4" s="1"/>
      <c r="BEQ4" s="1"/>
      <c r="BER4" s="1"/>
      <c r="BES4" s="1"/>
      <c r="BET4" s="1"/>
      <c r="BEU4" s="1"/>
      <c r="BEV4" s="1"/>
      <c r="BEW4" s="1"/>
      <c r="BEX4" s="1"/>
      <c r="BEY4" s="1"/>
      <c r="BEZ4" s="1"/>
      <c r="BFA4" s="1"/>
      <c r="BFB4" s="1"/>
      <c r="BFC4" s="1"/>
      <c r="BFD4" s="1"/>
      <c r="BFE4" s="1"/>
      <c r="BFF4" s="1"/>
      <c r="BFG4" s="1"/>
      <c r="BFH4" s="1"/>
      <c r="BFI4" s="1"/>
      <c r="BFJ4" s="1"/>
      <c r="BFK4" s="1"/>
      <c r="BFL4" s="1"/>
      <c r="BFM4" s="1"/>
      <c r="BFN4" s="1"/>
      <c r="BFO4" s="1"/>
      <c r="BFP4" s="1"/>
      <c r="BFQ4" s="1"/>
      <c r="BFR4" s="1"/>
      <c r="BFS4" s="1"/>
      <c r="BFT4" s="1"/>
      <c r="BFU4" s="1"/>
      <c r="BFV4" s="1"/>
      <c r="BFW4" s="1"/>
      <c r="BFX4" s="1"/>
      <c r="BFY4" s="1"/>
      <c r="BFZ4" s="1"/>
      <c r="BGA4" s="1"/>
      <c r="BGB4" s="1"/>
      <c r="BGC4" s="1"/>
      <c r="BGD4" s="1"/>
      <c r="BGE4" s="1"/>
      <c r="BGF4" s="1"/>
      <c r="BGG4" s="1"/>
      <c r="BGH4" s="1"/>
      <c r="BGI4" s="1"/>
      <c r="BGJ4" s="1"/>
      <c r="BGK4" s="1"/>
      <c r="BGL4" s="1"/>
      <c r="BGM4" s="1"/>
      <c r="BGN4" s="1"/>
      <c r="BGO4" s="1"/>
      <c r="BGP4" s="1"/>
      <c r="BGQ4" s="1"/>
      <c r="BGR4" s="1"/>
      <c r="BGS4" s="1"/>
      <c r="BGT4" s="1"/>
      <c r="BGU4" s="1"/>
      <c r="BGV4" s="1"/>
      <c r="BGW4" s="1"/>
      <c r="BGX4" s="1"/>
      <c r="BGY4" s="1"/>
      <c r="BGZ4" s="1"/>
      <c r="BHA4" s="1"/>
      <c r="BHB4" s="1"/>
      <c r="BHC4" s="1"/>
      <c r="BHD4" s="1"/>
      <c r="BHE4" s="1"/>
      <c r="BHF4" s="1"/>
      <c r="BHG4" s="1"/>
      <c r="BHH4" s="1"/>
      <c r="BHI4" s="1"/>
      <c r="BHJ4" s="1"/>
      <c r="BHK4" s="1"/>
      <c r="BHL4" s="1"/>
      <c r="BHM4" s="1"/>
      <c r="BHN4" s="1"/>
      <c r="BHO4" s="1"/>
      <c r="BHP4" s="1"/>
      <c r="BHQ4" s="1"/>
      <c r="BHR4" s="1"/>
      <c r="BHS4" s="1"/>
      <c r="BHT4" s="1"/>
      <c r="BHU4" s="1"/>
      <c r="BHV4" s="1"/>
      <c r="BHW4" s="1"/>
      <c r="BHX4" s="1"/>
      <c r="BHY4" s="1"/>
      <c r="BHZ4" s="1"/>
      <c r="BIA4" s="1"/>
      <c r="BIB4" s="1"/>
      <c r="BIC4" s="1"/>
      <c r="BID4" s="1"/>
      <c r="BIE4" s="1"/>
      <c r="BIF4" s="1"/>
      <c r="BIG4" s="1"/>
      <c r="BIH4" s="1"/>
      <c r="BII4" s="1"/>
      <c r="BIJ4" s="1"/>
      <c r="BIK4" s="1"/>
      <c r="BIL4" s="1"/>
      <c r="BIM4" s="1"/>
      <c r="BIN4" s="1"/>
      <c r="BIO4" s="1"/>
      <c r="BIP4" s="1"/>
      <c r="BIQ4" s="1"/>
      <c r="BIR4" s="1"/>
      <c r="BIS4" s="1"/>
      <c r="BIT4" s="1"/>
      <c r="BIU4" s="1"/>
      <c r="BIV4" s="1"/>
      <c r="BIW4" s="1"/>
      <c r="BIX4" s="1"/>
      <c r="BIY4" s="1"/>
      <c r="BIZ4" s="1"/>
      <c r="BJA4" s="1"/>
      <c r="BJB4" s="1"/>
      <c r="BJC4" s="1"/>
      <c r="BJD4" s="1"/>
      <c r="BJE4" s="1"/>
      <c r="BJF4" s="1"/>
      <c r="BJG4" s="1"/>
      <c r="BJH4" s="1"/>
      <c r="BJI4" s="1"/>
      <c r="BJJ4" s="1"/>
      <c r="BJK4" s="1"/>
      <c r="BJL4" s="1"/>
      <c r="BJM4" s="1"/>
      <c r="BJN4" s="1"/>
      <c r="BJO4" s="1"/>
      <c r="BJP4" s="1"/>
      <c r="BJQ4" s="1"/>
      <c r="BJR4" s="1"/>
      <c r="BJS4" s="1"/>
      <c r="BJT4" s="1"/>
      <c r="BJU4" s="1"/>
      <c r="BJV4" s="1"/>
      <c r="BJW4" s="1"/>
      <c r="BJX4" s="1"/>
      <c r="BJY4" s="1"/>
      <c r="BJZ4" s="1"/>
      <c r="BKA4" s="1"/>
      <c r="BKB4" s="1"/>
      <c r="BKC4" s="1"/>
      <c r="BKD4" s="1"/>
      <c r="BKE4" s="1"/>
      <c r="BKF4" s="1"/>
      <c r="BKG4" s="1"/>
      <c r="BKH4" s="1"/>
      <c r="BKI4" s="1"/>
      <c r="BKJ4" s="1"/>
      <c r="BKK4" s="1"/>
      <c r="BKL4" s="1"/>
      <c r="BKM4" s="1"/>
      <c r="BKN4" s="1"/>
      <c r="BKO4" s="1"/>
      <c r="BKP4" s="1"/>
      <c r="BKQ4" s="1"/>
      <c r="BKR4" s="1"/>
      <c r="BKS4" s="1"/>
      <c r="BKT4" s="1"/>
      <c r="BKU4" s="1"/>
      <c r="BKV4" s="1"/>
      <c r="BKW4" s="1"/>
      <c r="BKX4" s="1"/>
      <c r="BKY4" s="1"/>
      <c r="BKZ4" s="1"/>
      <c r="BLA4" s="1"/>
      <c r="BLB4" s="1"/>
      <c r="BLC4" s="1"/>
      <c r="BLD4" s="1"/>
      <c r="BLE4" s="1"/>
      <c r="BLF4" s="1"/>
      <c r="BLG4" s="1"/>
      <c r="BLH4" s="1"/>
      <c r="BLI4" s="1"/>
      <c r="BLJ4" s="1"/>
      <c r="BLK4" s="1"/>
      <c r="BLL4" s="1"/>
      <c r="BLM4" s="1"/>
      <c r="BLN4" s="1"/>
      <c r="BLO4" s="1"/>
      <c r="BLP4" s="1"/>
      <c r="BLQ4" s="1"/>
      <c r="BLR4" s="1"/>
      <c r="BLS4" s="1"/>
      <c r="BLT4" s="1"/>
      <c r="BLU4" s="1"/>
      <c r="BLV4" s="1"/>
      <c r="BLW4" s="1"/>
      <c r="BLX4" s="1"/>
      <c r="BLY4" s="1"/>
      <c r="BLZ4" s="1"/>
      <c r="BMA4" s="1"/>
      <c r="BMB4" s="1"/>
      <c r="BMC4" s="1"/>
      <c r="BMD4" s="1"/>
      <c r="BME4" s="1"/>
      <c r="BMF4" s="1"/>
      <c r="BMG4" s="1"/>
      <c r="BMH4" s="1"/>
      <c r="BMI4" s="1"/>
      <c r="BMJ4" s="1"/>
      <c r="BMK4" s="1"/>
      <c r="BML4" s="1"/>
      <c r="BMM4" s="1"/>
      <c r="BMN4" s="1"/>
      <c r="BMO4" s="1"/>
      <c r="BMP4" s="1"/>
      <c r="BMQ4" s="1"/>
      <c r="BMR4" s="1"/>
      <c r="BMS4" s="1"/>
      <c r="BMT4" s="1"/>
      <c r="BMU4" s="1"/>
      <c r="BMV4" s="1"/>
      <c r="BMW4" s="1"/>
      <c r="BMX4" s="1"/>
      <c r="BMY4" s="1"/>
      <c r="BMZ4" s="1"/>
      <c r="BNA4" s="1"/>
      <c r="BNB4" s="1"/>
      <c r="BNC4" s="1"/>
      <c r="BND4" s="1"/>
      <c r="BNE4" s="1"/>
      <c r="BNF4" s="1"/>
      <c r="BNG4" s="1"/>
      <c r="BNH4" s="1"/>
      <c r="BNI4" s="1"/>
      <c r="BNJ4" s="1"/>
      <c r="BNK4" s="1"/>
      <c r="BNL4" s="1"/>
      <c r="BNM4" s="1"/>
      <c r="BNN4" s="1"/>
      <c r="BNO4" s="1"/>
      <c r="BNP4" s="1"/>
      <c r="BNQ4" s="1"/>
      <c r="BNR4" s="1"/>
      <c r="BNS4" s="1"/>
      <c r="BNT4" s="1"/>
      <c r="BNU4" s="1"/>
      <c r="BNV4" s="1"/>
      <c r="BNW4" s="1"/>
      <c r="BNX4" s="1"/>
      <c r="BNY4" s="1"/>
      <c r="BNZ4" s="1"/>
      <c r="BOA4" s="1"/>
      <c r="BOB4" s="1"/>
      <c r="BOC4" s="1"/>
      <c r="BOD4" s="1"/>
      <c r="BOE4" s="1"/>
      <c r="BOF4" s="1"/>
      <c r="BOG4" s="1"/>
      <c r="BOH4" s="1"/>
      <c r="BOI4" s="1"/>
      <c r="BOJ4" s="1"/>
      <c r="BOK4" s="1"/>
      <c r="BOL4" s="1"/>
      <c r="BOM4" s="1"/>
      <c r="BON4" s="1"/>
      <c r="BOO4" s="1"/>
      <c r="BOP4" s="1"/>
      <c r="BOQ4" s="1"/>
      <c r="BOR4" s="1"/>
      <c r="BOS4" s="1"/>
      <c r="BOT4" s="1"/>
      <c r="BOU4" s="1"/>
      <c r="BOV4" s="1"/>
      <c r="BOW4" s="1"/>
      <c r="BOX4" s="1"/>
      <c r="BOY4" s="1"/>
      <c r="BOZ4" s="1"/>
      <c r="BPA4" s="1"/>
      <c r="BPB4" s="1"/>
      <c r="BPC4" s="1"/>
      <c r="BPD4" s="1"/>
      <c r="BPE4" s="1"/>
      <c r="BPF4" s="1"/>
      <c r="BPG4" s="1"/>
      <c r="BPH4" s="1"/>
      <c r="BPI4" s="1"/>
      <c r="BPJ4" s="1"/>
      <c r="BPK4" s="1"/>
      <c r="BPL4" s="1"/>
      <c r="BPM4" s="1"/>
      <c r="BPN4" s="1"/>
      <c r="BPO4" s="1"/>
      <c r="BPP4" s="1"/>
      <c r="BPQ4" s="1"/>
      <c r="BPR4" s="1"/>
      <c r="BPS4" s="1"/>
      <c r="BPT4" s="1"/>
      <c r="BPU4" s="1"/>
      <c r="BPV4" s="1"/>
      <c r="BPW4" s="1"/>
      <c r="BPX4" s="1"/>
      <c r="BPY4" s="1"/>
      <c r="BPZ4" s="1"/>
      <c r="BQA4" s="1"/>
      <c r="BQB4" s="1"/>
      <c r="BQC4" s="1"/>
      <c r="BQD4" s="1"/>
      <c r="BQE4" s="1"/>
      <c r="BQF4" s="1"/>
      <c r="BQG4" s="1"/>
      <c r="BQH4" s="1"/>
      <c r="BQI4" s="1"/>
      <c r="BQJ4" s="1"/>
      <c r="BQK4" s="1"/>
      <c r="BQL4" s="1"/>
      <c r="BQM4" s="1"/>
      <c r="BQN4" s="1"/>
      <c r="BQO4" s="1"/>
      <c r="BQP4" s="1"/>
      <c r="BQQ4" s="1"/>
      <c r="BQR4" s="1"/>
      <c r="BQS4" s="1"/>
      <c r="BQT4" s="1"/>
      <c r="BQU4" s="1"/>
      <c r="BQV4" s="1"/>
      <c r="BQW4" s="1"/>
      <c r="BQX4" s="1"/>
      <c r="BQY4" s="1"/>
      <c r="BQZ4" s="1"/>
      <c r="BRA4" s="1"/>
      <c r="BRB4" s="1"/>
      <c r="BRC4" s="1"/>
      <c r="BRD4" s="1"/>
      <c r="BRE4" s="1"/>
      <c r="BRF4" s="1"/>
      <c r="BRG4" s="1"/>
      <c r="BRH4" s="1"/>
      <c r="BRI4" s="1"/>
      <c r="BRJ4" s="1"/>
      <c r="BRK4" s="1"/>
      <c r="BRL4" s="1"/>
      <c r="BRM4" s="1"/>
      <c r="BRN4" s="1"/>
      <c r="BRO4" s="1"/>
      <c r="BRP4" s="1"/>
      <c r="BRQ4" s="1"/>
      <c r="BRR4" s="1"/>
      <c r="BRS4" s="1"/>
      <c r="BRT4" s="1"/>
      <c r="BRU4" s="1"/>
      <c r="BRV4" s="1"/>
      <c r="BRW4" s="1"/>
      <c r="BRX4" s="1"/>
      <c r="BRY4" s="1"/>
      <c r="BRZ4" s="1"/>
      <c r="BSA4" s="1"/>
      <c r="BSB4" s="1"/>
      <c r="BSC4" s="1"/>
      <c r="BSD4" s="1"/>
      <c r="BSE4" s="1"/>
      <c r="BSF4" s="1"/>
      <c r="BSG4" s="1"/>
      <c r="BSH4" s="1"/>
      <c r="BSI4" s="1"/>
      <c r="BSJ4" s="1"/>
      <c r="BSK4" s="1"/>
      <c r="BSL4" s="1"/>
      <c r="BSM4" s="1"/>
      <c r="BSN4" s="1"/>
      <c r="BSO4" s="1"/>
      <c r="BSP4" s="1"/>
      <c r="BSQ4" s="1"/>
      <c r="BSR4" s="1"/>
      <c r="BSS4" s="1"/>
      <c r="BST4" s="1"/>
      <c r="BSU4" s="1"/>
      <c r="BSV4" s="1"/>
      <c r="BSW4" s="1"/>
      <c r="BSX4" s="1"/>
      <c r="BSY4" s="1"/>
      <c r="BSZ4" s="1"/>
      <c r="BTA4" s="1"/>
      <c r="BTB4" s="1"/>
      <c r="BTC4" s="1"/>
      <c r="BTD4" s="1"/>
      <c r="BTE4" s="1"/>
      <c r="BTF4" s="1"/>
      <c r="BTG4" s="1"/>
      <c r="BTH4" s="1"/>
      <c r="BTI4" s="1"/>
      <c r="BTJ4" s="1"/>
      <c r="BTK4" s="1"/>
      <c r="BTL4" s="1"/>
      <c r="BTM4" s="1"/>
      <c r="BTN4" s="1"/>
      <c r="BTO4" s="1"/>
      <c r="BTP4" s="1"/>
      <c r="BTQ4" s="1"/>
      <c r="BTR4" s="1"/>
      <c r="BTS4" s="1"/>
      <c r="BTT4" s="1"/>
      <c r="BTU4" s="1"/>
      <c r="BTV4" s="1"/>
      <c r="BTW4" s="1"/>
      <c r="BTX4" s="1"/>
      <c r="BTY4" s="1"/>
      <c r="BTZ4" s="1"/>
      <c r="BUA4" s="1"/>
      <c r="BUB4" s="1"/>
      <c r="BUC4" s="1"/>
      <c r="BUD4" s="1"/>
      <c r="BUE4" s="1"/>
      <c r="BUF4" s="1"/>
      <c r="BUG4" s="1"/>
      <c r="BUH4" s="1"/>
      <c r="BUI4" s="1"/>
      <c r="BUJ4" s="1"/>
      <c r="BUK4" s="1"/>
      <c r="BUL4" s="1"/>
      <c r="BUM4" s="1"/>
      <c r="BUN4" s="1"/>
      <c r="BUO4" s="1"/>
      <c r="BUP4" s="1"/>
      <c r="BUQ4" s="1"/>
      <c r="BUR4" s="1"/>
      <c r="BUS4" s="1"/>
      <c r="BUT4" s="1"/>
      <c r="BUU4" s="1"/>
      <c r="BUV4" s="1"/>
      <c r="BUW4" s="1"/>
      <c r="BUX4" s="1"/>
      <c r="BUY4" s="1"/>
      <c r="BUZ4" s="1"/>
      <c r="BVA4" s="1"/>
      <c r="BVB4" s="1"/>
      <c r="BVC4" s="1"/>
      <c r="BVD4" s="1"/>
      <c r="BVE4" s="1"/>
      <c r="BVF4" s="1"/>
      <c r="BVG4" s="1"/>
      <c r="BVH4" s="1"/>
      <c r="BVI4" s="1"/>
      <c r="BVJ4" s="1"/>
      <c r="BVK4" s="1"/>
      <c r="BVL4" s="1"/>
      <c r="BVM4" s="1"/>
      <c r="BVN4" s="1"/>
      <c r="BVO4" s="1"/>
      <c r="BVP4" s="1"/>
      <c r="BVQ4" s="1"/>
      <c r="BVR4" s="1"/>
      <c r="BVS4" s="1"/>
      <c r="BVT4" s="1"/>
      <c r="BVU4" s="1"/>
      <c r="BVV4" s="1"/>
      <c r="BVW4" s="1"/>
      <c r="BVX4" s="1"/>
      <c r="BVY4" s="1"/>
      <c r="BVZ4" s="1"/>
      <c r="BWA4" s="1"/>
      <c r="BWB4" s="1"/>
      <c r="BWC4" s="1"/>
      <c r="BWD4" s="1"/>
      <c r="BWE4" s="1"/>
      <c r="BWF4" s="1"/>
      <c r="BWG4" s="1"/>
      <c r="BWH4" s="1"/>
      <c r="BWI4" s="1"/>
      <c r="BWJ4" s="1"/>
      <c r="BWK4" s="1"/>
      <c r="BWL4" s="1"/>
      <c r="BWM4" s="1"/>
      <c r="BWN4" s="1"/>
      <c r="BWO4" s="1"/>
      <c r="BWP4" s="1"/>
      <c r="BWQ4" s="1"/>
      <c r="BWR4" s="1"/>
      <c r="BWS4" s="1"/>
      <c r="BWT4" s="1"/>
      <c r="BWU4" s="1"/>
      <c r="BWV4" s="1"/>
      <c r="BWW4" s="1"/>
      <c r="BWX4" s="1"/>
      <c r="BWY4" s="1"/>
      <c r="BWZ4" s="1"/>
      <c r="BXA4" s="1"/>
      <c r="BXB4" s="1"/>
      <c r="BXC4" s="1"/>
      <c r="BXD4" s="1"/>
      <c r="BXE4" s="1"/>
      <c r="BXF4" s="1"/>
      <c r="BXG4" s="1"/>
      <c r="BXH4" s="1"/>
      <c r="BXI4" s="1"/>
      <c r="BXJ4" s="1"/>
      <c r="BXK4" s="1"/>
      <c r="BXL4" s="1"/>
      <c r="BXM4" s="1"/>
      <c r="BXN4" s="1"/>
      <c r="BXO4" s="1"/>
      <c r="BXP4" s="1"/>
      <c r="BXQ4" s="1"/>
      <c r="BXR4" s="1"/>
      <c r="BXS4" s="1"/>
      <c r="BXT4" s="1"/>
      <c r="BXU4" s="1"/>
      <c r="BXV4" s="1"/>
      <c r="BXW4" s="1"/>
      <c r="BXX4" s="1"/>
      <c r="BXY4" s="1"/>
      <c r="BXZ4" s="1"/>
      <c r="BYA4" s="1"/>
      <c r="BYB4" s="1"/>
      <c r="BYC4" s="1"/>
      <c r="BYD4" s="1"/>
      <c r="BYE4" s="1"/>
      <c r="BYF4" s="1"/>
      <c r="BYG4" s="1"/>
      <c r="BYH4" s="1"/>
      <c r="BYI4" s="1"/>
      <c r="BYJ4" s="1"/>
      <c r="BYK4" s="1"/>
      <c r="BYL4" s="1"/>
      <c r="BYM4" s="1"/>
      <c r="BYN4" s="1"/>
      <c r="BYO4" s="1"/>
      <c r="BYP4" s="1"/>
      <c r="BYQ4" s="1"/>
      <c r="BYR4" s="1"/>
      <c r="BYS4" s="1"/>
      <c r="BYT4" s="1"/>
      <c r="BYU4" s="1"/>
      <c r="BYV4" s="1"/>
      <c r="BYW4" s="1"/>
      <c r="BYX4" s="1"/>
      <c r="BYY4" s="1"/>
      <c r="BYZ4" s="1"/>
      <c r="BZA4" s="1"/>
      <c r="BZB4" s="1"/>
      <c r="BZC4" s="1"/>
      <c r="BZD4" s="1"/>
      <c r="BZE4" s="1"/>
      <c r="BZF4" s="1"/>
      <c r="BZG4" s="1"/>
      <c r="BZH4" s="1"/>
      <c r="BZI4" s="1"/>
      <c r="BZJ4" s="1"/>
      <c r="BZK4" s="1"/>
      <c r="BZL4" s="1"/>
      <c r="BZM4" s="1"/>
      <c r="BZN4" s="1"/>
      <c r="BZO4" s="1"/>
      <c r="BZP4" s="1"/>
      <c r="BZQ4" s="1"/>
      <c r="BZR4" s="1"/>
      <c r="BZS4" s="1"/>
      <c r="BZT4" s="1"/>
      <c r="BZU4" s="1"/>
      <c r="BZV4" s="1"/>
      <c r="BZW4" s="1"/>
      <c r="BZX4" s="1"/>
      <c r="BZY4" s="1"/>
      <c r="BZZ4" s="1"/>
      <c r="CAA4" s="1"/>
      <c r="CAB4" s="1"/>
      <c r="CAC4" s="1"/>
      <c r="CAD4" s="1"/>
      <c r="CAE4" s="1"/>
      <c r="CAF4" s="1"/>
      <c r="CAG4" s="1"/>
      <c r="CAH4" s="1"/>
      <c r="CAI4" s="1"/>
      <c r="CAJ4" s="1"/>
      <c r="CAK4" s="1"/>
      <c r="CAL4" s="1"/>
      <c r="CAM4" s="1"/>
      <c r="CAN4" s="1"/>
      <c r="CAO4" s="1"/>
      <c r="CAP4" s="1"/>
      <c r="CAQ4" s="1"/>
      <c r="CAR4" s="1"/>
      <c r="CAS4" s="1"/>
      <c r="CAT4" s="1"/>
      <c r="CAU4" s="1"/>
      <c r="CAV4" s="1"/>
      <c r="CAW4" s="1"/>
      <c r="CAX4" s="1"/>
      <c r="CAY4" s="1"/>
      <c r="CAZ4" s="1"/>
      <c r="CBA4" s="1"/>
      <c r="CBB4" s="1"/>
      <c r="CBC4" s="1"/>
      <c r="CBD4" s="1"/>
      <c r="CBE4" s="1"/>
      <c r="CBF4" s="1"/>
      <c r="CBG4" s="1"/>
      <c r="CBH4" s="1"/>
      <c r="CBI4" s="1"/>
      <c r="CBJ4" s="1"/>
      <c r="CBK4" s="1"/>
      <c r="CBL4" s="1"/>
      <c r="CBM4" s="1"/>
      <c r="CBN4" s="1"/>
      <c r="CBO4" s="1"/>
      <c r="CBP4" s="1"/>
      <c r="CBQ4" s="1"/>
      <c r="CBR4" s="1"/>
      <c r="CBS4" s="1"/>
      <c r="CBT4" s="1"/>
      <c r="CBU4" s="1"/>
      <c r="CBV4" s="1"/>
      <c r="CBW4" s="1"/>
      <c r="CBX4" s="1"/>
      <c r="CBY4" s="1"/>
      <c r="CBZ4" s="1"/>
      <c r="CCA4" s="1"/>
      <c r="CCB4" s="1"/>
      <c r="CCC4" s="1"/>
      <c r="CCD4" s="1"/>
      <c r="CCE4" s="1"/>
      <c r="CCF4" s="1"/>
      <c r="CCG4" s="1"/>
      <c r="CCH4" s="1"/>
      <c r="CCI4" s="1"/>
      <c r="CCJ4" s="1"/>
      <c r="CCK4" s="1"/>
      <c r="CCL4" s="1"/>
      <c r="CCM4" s="1"/>
      <c r="CCN4" s="1"/>
      <c r="CCO4" s="1"/>
      <c r="CCP4" s="1"/>
      <c r="CCQ4" s="1"/>
      <c r="CCR4" s="1"/>
      <c r="CCS4" s="1"/>
      <c r="CCT4" s="1"/>
      <c r="CCU4" s="1"/>
      <c r="CCV4" s="1"/>
      <c r="CCW4" s="1"/>
      <c r="CCX4" s="1"/>
      <c r="CCY4" s="1"/>
      <c r="CCZ4" s="1"/>
      <c r="CDA4" s="1"/>
      <c r="CDB4" s="1"/>
      <c r="CDC4" s="1"/>
      <c r="CDD4" s="1"/>
      <c r="CDE4" s="1"/>
      <c r="CDF4" s="1"/>
      <c r="CDG4" s="1"/>
      <c r="CDH4" s="1"/>
      <c r="CDI4" s="1"/>
      <c r="CDJ4" s="1"/>
      <c r="CDK4" s="1"/>
      <c r="CDL4" s="1"/>
      <c r="CDM4" s="1"/>
      <c r="CDN4" s="1"/>
      <c r="CDO4" s="1"/>
      <c r="CDP4" s="1"/>
      <c r="CDQ4" s="1"/>
      <c r="CDR4" s="1"/>
      <c r="CDS4" s="1"/>
      <c r="CDT4" s="1"/>
      <c r="CDU4" s="1"/>
      <c r="CDV4" s="1"/>
      <c r="CDW4" s="1"/>
      <c r="CDX4" s="1"/>
      <c r="CDY4" s="1"/>
      <c r="CDZ4" s="1"/>
      <c r="CEA4" s="1"/>
      <c r="CEB4" s="1"/>
      <c r="CEC4" s="1"/>
      <c r="CED4" s="1"/>
      <c r="CEE4" s="1"/>
      <c r="CEF4" s="1"/>
      <c r="CEG4" s="1"/>
      <c r="CEH4" s="1"/>
      <c r="CEI4" s="1"/>
      <c r="CEJ4" s="1"/>
      <c r="CEK4" s="1"/>
      <c r="CEL4" s="1"/>
      <c r="CEM4" s="1"/>
      <c r="CEN4" s="1"/>
      <c r="CEO4" s="1"/>
      <c r="CEP4" s="1"/>
      <c r="CEQ4" s="1"/>
      <c r="CER4" s="1"/>
      <c r="CES4" s="1"/>
      <c r="CET4" s="1"/>
      <c r="CEU4" s="1"/>
      <c r="CEV4" s="1"/>
      <c r="CEW4" s="1"/>
      <c r="CEX4" s="1"/>
      <c r="CEY4" s="1"/>
      <c r="CEZ4" s="1"/>
      <c r="CFA4" s="1"/>
      <c r="CFB4" s="1"/>
      <c r="CFC4" s="1"/>
      <c r="CFD4" s="1"/>
      <c r="CFE4" s="1"/>
      <c r="CFF4" s="1"/>
      <c r="CFG4" s="1"/>
      <c r="CFH4" s="1"/>
      <c r="CFI4" s="1"/>
      <c r="CFJ4" s="1"/>
      <c r="CFK4" s="1"/>
      <c r="CFL4" s="1"/>
      <c r="CFM4" s="1"/>
      <c r="CFN4" s="1"/>
      <c r="CFO4" s="1"/>
      <c r="CFP4" s="1"/>
      <c r="CFQ4" s="1"/>
      <c r="CFR4" s="1"/>
      <c r="CFS4" s="1"/>
      <c r="CFT4" s="1"/>
      <c r="CFU4" s="1"/>
      <c r="CFV4" s="1"/>
      <c r="CFW4" s="1"/>
      <c r="CFX4" s="1"/>
      <c r="CFY4" s="1"/>
      <c r="CFZ4" s="1"/>
      <c r="CGA4" s="1"/>
      <c r="CGB4" s="1"/>
      <c r="CGC4" s="1"/>
      <c r="CGD4" s="1"/>
      <c r="CGE4" s="1"/>
      <c r="CGF4" s="1"/>
      <c r="CGG4" s="1"/>
      <c r="CGH4" s="1"/>
      <c r="CGI4" s="1"/>
      <c r="CGJ4" s="1"/>
      <c r="CGK4" s="1"/>
      <c r="CGL4" s="1"/>
      <c r="CGM4" s="1"/>
      <c r="CGN4" s="1"/>
      <c r="CGO4" s="1"/>
      <c r="CGP4" s="1"/>
      <c r="CGQ4" s="1"/>
      <c r="CGR4" s="1"/>
      <c r="CGS4" s="1"/>
      <c r="CGT4" s="1"/>
      <c r="CGU4" s="1"/>
      <c r="CGV4" s="1"/>
      <c r="CGW4" s="1"/>
      <c r="CGX4" s="1"/>
      <c r="CGY4" s="1"/>
      <c r="CGZ4" s="1"/>
      <c r="CHA4" s="1"/>
      <c r="CHB4" s="1"/>
      <c r="CHC4" s="1"/>
      <c r="CHD4" s="1"/>
      <c r="CHE4" s="1"/>
      <c r="CHF4" s="1"/>
      <c r="CHG4" s="1"/>
      <c r="CHH4" s="1"/>
      <c r="CHI4" s="1"/>
      <c r="CHJ4" s="1"/>
      <c r="CHK4" s="1"/>
      <c r="CHL4" s="1"/>
      <c r="CHM4" s="1"/>
      <c r="CHN4" s="1"/>
      <c r="CHO4" s="1"/>
      <c r="CHP4" s="1"/>
      <c r="CHQ4" s="1"/>
      <c r="CHR4" s="1"/>
      <c r="CHS4" s="1"/>
      <c r="CHT4" s="1"/>
      <c r="CHU4" s="1"/>
      <c r="CHV4" s="1"/>
      <c r="CHW4" s="1"/>
      <c r="CHX4" s="1"/>
      <c r="CHY4" s="1"/>
      <c r="CHZ4" s="1"/>
      <c r="CIA4" s="1"/>
      <c r="CIB4" s="1"/>
      <c r="CIC4" s="1"/>
      <c r="CID4" s="1"/>
      <c r="CIE4" s="1"/>
      <c r="CIF4" s="1"/>
      <c r="CIG4" s="1"/>
      <c r="CIH4" s="1"/>
      <c r="CII4" s="1"/>
      <c r="CIJ4" s="1"/>
      <c r="CIK4" s="1"/>
      <c r="CIL4" s="1"/>
      <c r="CIM4" s="1"/>
      <c r="CIN4" s="1"/>
      <c r="CIO4" s="1"/>
      <c r="CIP4" s="1"/>
      <c r="CIQ4" s="1"/>
      <c r="CIR4" s="1"/>
      <c r="CIS4" s="1"/>
      <c r="CIT4" s="1"/>
      <c r="CIU4" s="1"/>
      <c r="CIV4" s="1"/>
      <c r="CIW4" s="1"/>
      <c r="CIX4" s="1"/>
      <c r="CIY4" s="1"/>
      <c r="CIZ4" s="1"/>
      <c r="CJA4" s="1"/>
      <c r="CJB4" s="1"/>
      <c r="CJC4" s="1"/>
      <c r="CJD4" s="1"/>
      <c r="CJE4" s="1"/>
      <c r="CJF4" s="1"/>
      <c r="CJG4" s="1"/>
      <c r="CJH4" s="1"/>
      <c r="CJI4" s="1"/>
      <c r="CJJ4" s="1"/>
      <c r="CJK4" s="1"/>
      <c r="CJL4" s="1"/>
      <c r="CJM4" s="1"/>
      <c r="CJN4" s="1"/>
      <c r="CJO4" s="1"/>
      <c r="CJP4" s="1"/>
      <c r="CJQ4" s="1"/>
      <c r="CJR4" s="1"/>
      <c r="CJS4" s="1"/>
      <c r="CJT4" s="1"/>
      <c r="CJU4" s="1"/>
      <c r="CJV4" s="1"/>
      <c r="CJW4" s="1"/>
      <c r="CJX4" s="1"/>
      <c r="CJY4" s="1"/>
      <c r="CJZ4" s="1"/>
      <c r="CKA4" s="1"/>
      <c r="CKB4" s="1"/>
      <c r="CKC4" s="1"/>
      <c r="CKD4" s="1"/>
      <c r="CKE4" s="1"/>
      <c r="CKF4" s="1"/>
      <c r="CKG4" s="1"/>
      <c r="CKH4" s="1"/>
      <c r="CKI4" s="1"/>
      <c r="CKJ4" s="1"/>
      <c r="CKK4" s="1"/>
      <c r="CKL4" s="1"/>
      <c r="CKM4" s="1"/>
      <c r="CKN4" s="1"/>
      <c r="CKO4" s="1"/>
      <c r="CKP4" s="1"/>
      <c r="CKQ4" s="1"/>
      <c r="CKR4" s="1"/>
      <c r="CKS4" s="1"/>
      <c r="CKT4" s="1"/>
      <c r="CKU4" s="1"/>
      <c r="CKV4" s="1"/>
      <c r="CKW4" s="1"/>
      <c r="CKX4" s="1"/>
      <c r="CKY4" s="1"/>
      <c r="CKZ4" s="1"/>
      <c r="CLA4" s="1"/>
      <c r="CLB4" s="1"/>
      <c r="CLC4" s="1"/>
      <c r="CLD4" s="1"/>
      <c r="CLE4" s="1"/>
      <c r="CLF4" s="1"/>
      <c r="CLG4" s="1"/>
      <c r="CLH4" s="1"/>
      <c r="CLI4" s="1"/>
      <c r="CLJ4" s="1"/>
      <c r="CLK4" s="1"/>
      <c r="CLL4" s="1"/>
      <c r="CLM4" s="1"/>
      <c r="CLN4" s="1"/>
      <c r="CLO4" s="1"/>
      <c r="CLP4" s="1"/>
      <c r="CLQ4" s="1"/>
      <c r="CLR4" s="1"/>
      <c r="CLS4" s="1"/>
      <c r="CLT4" s="1"/>
      <c r="CLU4" s="1"/>
      <c r="CLV4" s="1"/>
      <c r="CLW4" s="1"/>
      <c r="CLX4" s="1"/>
      <c r="CLY4" s="1"/>
      <c r="CLZ4" s="1"/>
      <c r="CMA4" s="1"/>
      <c r="CMB4" s="1"/>
      <c r="CMC4" s="1"/>
      <c r="CMD4" s="1"/>
      <c r="CME4" s="1"/>
      <c r="CMF4" s="1"/>
      <c r="CMG4" s="1"/>
      <c r="CMH4" s="1"/>
      <c r="CMI4" s="1"/>
      <c r="CMJ4" s="1"/>
      <c r="CMK4" s="1"/>
      <c r="CML4" s="1"/>
      <c r="CMM4" s="1"/>
      <c r="CMN4" s="1"/>
      <c r="CMO4" s="1"/>
      <c r="CMP4" s="1"/>
      <c r="CMQ4" s="1"/>
      <c r="CMR4" s="1"/>
      <c r="CMS4" s="1"/>
      <c r="CMT4" s="1"/>
      <c r="CMU4" s="1"/>
      <c r="CMV4" s="1"/>
      <c r="CMW4" s="1"/>
      <c r="CMX4" s="1"/>
      <c r="CMY4" s="1"/>
      <c r="CMZ4" s="1"/>
      <c r="CNA4" s="1"/>
      <c r="CNB4" s="1"/>
      <c r="CNC4" s="1"/>
      <c r="CND4" s="1"/>
      <c r="CNE4" s="1"/>
      <c r="CNF4" s="1"/>
      <c r="CNG4" s="1"/>
      <c r="CNH4" s="1"/>
      <c r="CNI4" s="1"/>
      <c r="CNJ4" s="1"/>
      <c r="CNK4" s="1"/>
      <c r="CNL4" s="1"/>
      <c r="CNM4" s="1"/>
      <c r="CNN4" s="1"/>
      <c r="CNO4" s="1"/>
      <c r="CNP4" s="1"/>
      <c r="CNQ4" s="1"/>
      <c r="CNR4" s="1"/>
      <c r="CNS4" s="1"/>
      <c r="CNT4" s="1"/>
      <c r="CNU4" s="1"/>
      <c r="CNV4" s="1"/>
      <c r="CNW4" s="1"/>
      <c r="CNX4" s="1"/>
      <c r="CNY4" s="1"/>
      <c r="CNZ4" s="1"/>
      <c r="COA4" s="1"/>
      <c r="COB4" s="1"/>
      <c r="COC4" s="1"/>
      <c r="COD4" s="1"/>
      <c r="COE4" s="1"/>
      <c r="COF4" s="1"/>
      <c r="COG4" s="1"/>
      <c r="COH4" s="1"/>
      <c r="COI4" s="1"/>
      <c r="COJ4" s="1"/>
      <c r="COK4" s="1"/>
      <c r="COL4" s="1"/>
      <c r="COM4" s="1"/>
      <c r="CON4" s="1"/>
      <c r="COO4" s="1"/>
      <c r="COP4" s="1"/>
      <c r="COQ4" s="1"/>
      <c r="COR4" s="1"/>
      <c r="COS4" s="1"/>
      <c r="COT4" s="1"/>
      <c r="COU4" s="1"/>
      <c r="COV4" s="1"/>
      <c r="COW4" s="1"/>
      <c r="COX4" s="1"/>
      <c r="COY4" s="1"/>
      <c r="COZ4" s="1"/>
      <c r="CPA4" s="1"/>
      <c r="CPB4" s="1"/>
      <c r="CPC4" s="1"/>
      <c r="CPD4" s="1"/>
      <c r="CPE4" s="1"/>
      <c r="CPF4" s="1"/>
      <c r="CPG4" s="1"/>
      <c r="CPH4" s="1"/>
      <c r="CPI4" s="1"/>
      <c r="CPJ4" s="1"/>
      <c r="CPK4" s="1"/>
      <c r="CPL4" s="1"/>
      <c r="CPM4" s="1"/>
      <c r="CPN4" s="1"/>
      <c r="CPO4" s="1"/>
      <c r="CPP4" s="1"/>
      <c r="CPQ4" s="1"/>
      <c r="CPR4" s="1"/>
      <c r="CPS4" s="1"/>
      <c r="CPT4" s="1"/>
      <c r="CPU4" s="1"/>
      <c r="CPV4" s="1"/>
      <c r="CPW4" s="1"/>
      <c r="CPX4" s="1"/>
      <c r="CPY4" s="1"/>
      <c r="CPZ4" s="1"/>
      <c r="CQA4" s="1"/>
      <c r="CQB4" s="1"/>
      <c r="CQC4" s="1"/>
      <c r="CQD4" s="1"/>
      <c r="CQE4" s="1"/>
      <c r="CQF4" s="1"/>
      <c r="CQG4" s="1"/>
      <c r="CQH4" s="1"/>
      <c r="CQI4" s="1"/>
      <c r="CQJ4" s="1"/>
      <c r="CQK4" s="1"/>
      <c r="CQL4" s="1"/>
      <c r="CQM4" s="1"/>
      <c r="CQN4" s="1"/>
      <c r="CQO4" s="1"/>
      <c r="CQP4" s="1"/>
      <c r="CQQ4" s="1"/>
      <c r="CQR4" s="1"/>
      <c r="CQS4" s="1"/>
      <c r="CQT4" s="1"/>
      <c r="CQU4" s="1"/>
      <c r="CQV4" s="1"/>
      <c r="CQW4" s="1"/>
      <c r="CQX4" s="1"/>
      <c r="CQY4" s="1"/>
      <c r="CQZ4" s="1"/>
      <c r="CRA4" s="1"/>
      <c r="CRB4" s="1"/>
      <c r="CRC4" s="1"/>
      <c r="CRD4" s="1"/>
      <c r="CRE4" s="1"/>
      <c r="CRF4" s="1"/>
      <c r="CRG4" s="1"/>
      <c r="CRH4" s="1"/>
      <c r="CRI4" s="1"/>
      <c r="CRJ4" s="1"/>
      <c r="CRK4" s="1"/>
      <c r="CRL4" s="1"/>
      <c r="CRM4" s="1"/>
      <c r="CRN4" s="1"/>
      <c r="CRO4" s="1"/>
      <c r="CRP4" s="1"/>
      <c r="CRQ4" s="1"/>
      <c r="CRR4" s="1"/>
      <c r="CRS4" s="1"/>
      <c r="CRT4" s="1"/>
      <c r="CRU4" s="1"/>
      <c r="CRV4" s="1"/>
      <c r="CRW4" s="1"/>
      <c r="CRX4" s="1"/>
      <c r="CRY4" s="1"/>
      <c r="CRZ4" s="1"/>
      <c r="CSA4" s="1"/>
      <c r="CSB4" s="1"/>
      <c r="CSC4" s="1"/>
      <c r="CSD4" s="1"/>
      <c r="CSE4" s="1"/>
      <c r="CSF4" s="1"/>
      <c r="CSG4" s="1"/>
      <c r="CSH4" s="1"/>
      <c r="CSI4" s="1"/>
      <c r="CSJ4" s="1"/>
      <c r="CSK4" s="1"/>
      <c r="CSL4" s="1"/>
      <c r="CSM4" s="1"/>
      <c r="CSN4" s="1"/>
      <c r="CSO4" s="1"/>
      <c r="CSP4" s="1"/>
      <c r="CSQ4" s="1"/>
      <c r="CSR4" s="1"/>
      <c r="CSS4" s="1"/>
      <c r="CST4" s="1"/>
      <c r="CSU4" s="1"/>
      <c r="CSV4" s="1"/>
      <c r="CSW4" s="1"/>
      <c r="CSX4" s="1"/>
      <c r="CSY4" s="1"/>
      <c r="CSZ4" s="1"/>
      <c r="CTA4" s="1"/>
      <c r="CTB4" s="1"/>
      <c r="CTC4" s="1"/>
      <c r="CTD4" s="1"/>
      <c r="CTE4" s="1"/>
      <c r="CTF4" s="1"/>
      <c r="CTG4" s="1"/>
      <c r="CTH4" s="1"/>
      <c r="CTI4" s="1"/>
      <c r="CTJ4" s="1"/>
      <c r="CTK4" s="1"/>
      <c r="CTL4" s="1"/>
      <c r="CTM4" s="1"/>
      <c r="CTN4" s="1"/>
      <c r="CTO4" s="1"/>
      <c r="CTP4" s="1"/>
      <c r="CTQ4" s="1"/>
      <c r="CTR4" s="1"/>
      <c r="CTS4" s="1"/>
      <c r="CTT4" s="1"/>
      <c r="CTU4" s="1"/>
      <c r="CTV4" s="1"/>
      <c r="CTW4" s="1"/>
      <c r="CTX4" s="1"/>
      <c r="CTY4" s="1"/>
      <c r="CTZ4" s="1"/>
      <c r="CUA4" s="1"/>
      <c r="CUB4" s="1"/>
      <c r="CUC4" s="1"/>
      <c r="CUD4" s="1"/>
      <c r="CUE4" s="1"/>
      <c r="CUF4" s="1"/>
      <c r="CUG4" s="1"/>
      <c r="CUH4" s="1"/>
      <c r="CUI4" s="1"/>
      <c r="CUJ4" s="1"/>
      <c r="CUK4" s="1"/>
      <c r="CUL4" s="1"/>
      <c r="CUM4" s="1"/>
      <c r="CUN4" s="1"/>
      <c r="CUO4" s="1"/>
      <c r="CUP4" s="1"/>
      <c r="CUQ4" s="1"/>
      <c r="CUR4" s="1"/>
      <c r="CUS4" s="1"/>
      <c r="CUT4" s="1"/>
      <c r="CUU4" s="1"/>
      <c r="CUV4" s="1"/>
      <c r="CUW4" s="1"/>
      <c r="CUX4" s="1"/>
      <c r="CUY4" s="1"/>
      <c r="CUZ4" s="1"/>
      <c r="CVA4" s="1"/>
      <c r="CVB4" s="1"/>
      <c r="CVC4" s="1"/>
      <c r="CVD4" s="1"/>
      <c r="CVE4" s="1"/>
      <c r="CVF4" s="1"/>
      <c r="CVG4" s="1"/>
      <c r="CVH4" s="1"/>
      <c r="CVI4" s="1"/>
      <c r="CVJ4" s="1"/>
      <c r="CVK4" s="1"/>
      <c r="CVL4" s="1"/>
      <c r="CVM4" s="1"/>
      <c r="CVN4" s="1"/>
      <c r="CVO4" s="1"/>
      <c r="CVP4" s="1"/>
      <c r="CVQ4" s="1"/>
      <c r="CVR4" s="1"/>
      <c r="CVS4" s="1"/>
      <c r="CVT4" s="1"/>
      <c r="CVU4" s="1"/>
      <c r="CVV4" s="1"/>
      <c r="CVW4" s="1"/>
      <c r="CVX4" s="1"/>
      <c r="CVY4" s="1"/>
      <c r="CVZ4" s="1"/>
      <c r="CWA4" s="1"/>
      <c r="CWB4" s="1"/>
      <c r="CWC4" s="1"/>
      <c r="CWD4" s="1"/>
      <c r="CWE4" s="1"/>
      <c r="CWF4" s="1"/>
      <c r="CWG4" s="1"/>
      <c r="CWH4" s="1"/>
      <c r="CWI4" s="1"/>
      <c r="CWJ4" s="1"/>
      <c r="CWK4" s="1"/>
      <c r="CWL4" s="1"/>
      <c r="CWM4" s="1"/>
      <c r="CWN4" s="1"/>
      <c r="CWO4" s="1"/>
      <c r="CWP4" s="1"/>
      <c r="CWQ4" s="1"/>
      <c r="CWR4" s="1"/>
      <c r="CWS4" s="1"/>
      <c r="CWT4" s="1"/>
      <c r="CWU4" s="1"/>
      <c r="CWV4" s="1"/>
      <c r="CWW4" s="1"/>
      <c r="CWX4" s="1"/>
      <c r="CWY4" s="1"/>
      <c r="CWZ4" s="1"/>
      <c r="CXA4" s="1"/>
      <c r="CXB4" s="1"/>
      <c r="CXC4" s="1"/>
      <c r="CXD4" s="1"/>
      <c r="CXE4" s="1"/>
      <c r="CXF4" s="1"/>
      <c r="CXG4" s="1"/>
      <c r="CXH4" s="1"/>
      <c r="CXI4" s="1"/>
      <c r="CXJ4" s="1"/>
      <c r="CXK4" s="1"/>
      <c r="CXL4" s="1"/>
      <c r="CXM4" s="1"/>
      <c r="CXN4" s="1"/>
      <c r="CXO4" s="1"/>
      <c r="CXP4" s="1"/>
      <c r="CXQ4" s="1"/>
      <c r="CXR4" s="1"/>
      <c r="CXS4" s="1"/>
      <c r="CXT4" s="1"/>
      <c r="CXU4" s="1"/>
      <c r="CXV4" s="1"/>
      <c r="CXW4" s="1"/>
      <c r="CXX4" s="1"/>
      <c r="CXY4" s="1"/>
      <c r="CXZ4" s="1"/>
      <c r="CYA4" s="1"/>
      <c r="CYB4" s="1"/>
      <c r="CYC4" s="1"/>
      <c r="CYD4" s="1"/>
      <c r="CYE4" s="1"/>
      <c r="CYF4" s="1"/>
      <c r="CYG4" s="1"/>
      <c r="CYH4" s="1"/>
      <c r="CYI4" s="1"/>
      <c r="CYJ4" s="1"/>
      <c r="CYK4" s="1"/>
      <c r="CYL4" s="1"/>
      <c r="CYM4" s="1"/>
      <c r="CYN4" s="1"/>
      <c r="CYO4" s="1"/>
      <c r="CYP4" s="1"/>
      <c r="CYQ4" s="1"/>
      <c r="CYR4" s="1"/>
      <c r="CYS4" s="1"/>
      <c r="CYT4" s="1"/>
      <c r="CYU4" s="1"/>
      <c r="CYV4" s="1"/>
      <c r="CYW4" s="1"/>
      <c r="CYX4" s="1"/>
      <c r="CYY4" s="1"/>
      <c r="CYZ4" s="1"/>
      <c r="CZA4" s="1"/>
      <c r="CZB4" s="1"/>
      <c r="CZC4" s="1"/>
      <c r="CZD4" s="1"/>
      <c r="CZE4" s="1"/>
      <c r="CZF4" s="1"/>
      <c r="CZG4" s="1"/>
      <c r="CZH4" s="1"/>
      <c r="CZI4" s="1"/>
      <c r="CZJ4" s="1"/>
      <c r="CZK4" s="1"/>
      <c r="CZL4" s="1"/>
      <c r="CZM4" s="1"/>
      <c r="CZN4" s="1"/>
      <c r="CZO4" s="1"/>
      <c r="CZP4" s="1"/>
      <c r="CZQ4" s="1"/>
      <c r="CZR4" s="1"/>
      <c r="CZS4" s="1"/>
      <c r="CZT4" s="1"/>
      <c r="CZU4" s="1"/>
      <c r="CZV4" s="1"/>
      <c r="CZW4" s="1"/>
      <c r="CZX4" s="1"/>
      <c r="CZY4" s="1"/>
      <c r="CZZ4" s="1"/>
      <c r="DAA4" s="1"/>
      <c r="DAB4" s="1"/>
      <c r="DAC4" s="1"/>
      <c r="DAD4" s="1"/>
      <c r="DAE4" s="1"/>
      <c r="DAF4" s="1"/>
      <c r="DAG4" s="1"/>
      <c r="DAH4" s="1"/>
      <c r="DAI4" s="1"/>
      <c r="DAJ4" s="1"/>
      <c r="DAK4" s="1"/>
      <c r="DAL4" s="1"/>
      <c r="DAM4" s="1"/>
      <c r="DAN4" s="1"/>
      <c r="DAO4" s="1"/>
      <c r="DAP4" s="1"/>
      <c r="DAQ4" s="1"/>
      <c r="DAR4" s="1"/>
      <c r="DAS4" s="1"/>
      <c r="DAT4" s="1"/>
      <c r="DAU4" s="1"/>
      <c r="DAV4" s="1"/>
      <c r="DAW4" s="1"/>
      <c r="DAX4" s="1"/>
      <c r="DAY4" s="1"/>
      <c r="DAZ4" s="1"/>
      <c r="DBA4" s="1"/>
      <c r="DBB4" s="1"/>
      <c r="DBC4" s="1"/>
      <c r="DBD4" s="1"/>
      <c r="DBE4" s="1"/>
      <c r="DBF4" s="1"/>
      <c r="DBG4" s="1"/>
      <c r="DBH4" s="1"/>
      <c r="DBI4" s="1"/>
      <c r="DBJ4" s="1"/>
      <c r="DBK4" s="1"/>
      <c r="DBL4" s="1"/>
      <c r="DBM4" s="1"/>
      <c r="DBN4" s="1"/>
      <c r="DBO4" s="1"/>
      <c r="DBP4" s="1"/>
      <c r="DBQ4" s="1"/>
      <c r="DBR4" s="1"/>
      <c r="DBS4" s="1"/>
      <c r="DBT4" s="1"/>
      <c r="DBU4" s="1"/>
      <c r="DBV4" s="1"/>
      <c r="DBW4" s="1"/>
      <c r="DBX4" s="1"/>
      <c r="DBY4" s="1"/>
      <c r="DBZ4" s="1"/>
      <c r="DCA4" s="1"/>
      <c r="DCB4" s="1"/>
      <c r="DCC4" s="1"/>
      <c r="DCD4" s="1"/>
      <c r="DCE4" s="1"/>
      <c r="DCF4" s="1"/>
      <c r="DCG4" s="1"/>
      <c r="DCH4" s="1"/>
      <c r="DCI4" s="1"/>
      <c r="DCJ4" s="1"/>
      <c r="DCK4" s="1"/>
      <c r="DCL4" s="1"/>
      <c r="DCM4" s="1"/>
      <c r="DCN4" s="1"/>
      <c r="DCO4" s="1"/>
      <c r="DCP4" s="1"/>
      <c r="DCQ4" s="1"/>
      <c r="DCR4" s="1"/>
      <c r="DCS4" s="1"/>
      <c r="DCT4" s="1"/>
      <c r="DCU4" s="1"/>
      <c r="DCV4" s="1"/>
      <c r="DCW4" s="1"/>
      <c r="DCX4" s="1"/>
      <c r="DCY4" s="1"/>
      <c r="DCZ4" s="1"/>
      <c r="DDA4" s="1"/>
      <c r="DDB4" s="1"/>
      <c r="DDC4" s="1"/>
      <c r="DDD4" s="1"/>
      <c r="DDE4" s="1"/>
      <c r="DDF4" s="1"/>
      <c r="DDG4" s="1"/>
      <c r="DDH4" s="1"/>
      <c r="DDI4" s="1"/>
      <c r="DDJ4" s="1"/>
      <c r="DDK4" s="1"/>
      <c r="DDL4" s="1"/>
      <c r="DDM4" s="1"/>
      <c r="DDN4" s="1"/>
      <c r="DDO4" s="1"/>
      <c r="DDP4" s="1"/>
      <c r="DDQ4" s="1"/>
      <c r="DDR4" s="1"/>
      <c r="DDS4" s="1"/>
      <c r="DDT4" s="1"/>
      <c r="DDU4" s="1"/>
      <c r="DDV4" s="1"/>
      <c r="DDW4" s="1"/>
      <c r="DDX4" s="1"/>
      <c r="DDY4" s="1"/>
      <c r="DDZ4" s="1"/>
      <c r="DEA4" s="1"/>
      <c r="DEB4" s="1"/>
      <c r="DEC4" s="1"/>
      <c r="DED4" s="1"/>
      <c r="DEE4" s="1"/>
      <c r="DEF4" s="1"/>
      <c r="DEG4" s="1"/>
      <c r="DEH4" s="1"/>
      <c r="DEI4" s="1"/>
      <c r="DEJ4" s="1"/>
      <c r="DEK4" s="1"/>
      <c r="DEL4" s="1"/>
      <c r="DEM4" s="1"/>
      <c r="DEN4" s="1"/>
      <c r="DEO4" s="1"/>
      <c r="DEP4" s="1"/>
      <c r="DEQ4" s="1"/>
      <c r="DER4" s="1"/>
      <c r="DES4" s="1"/>
      <c r="DET4" s="1"/>
      <c r="DEU4" s="1"/>
      <c r="DEV4" s="1"/>
      <c r="DEW4" s="1"/>
      <c r="DEX4" s="1"/>
      <c r="DEY4" s="1"/>
      <c r="DEZ4" s="1"/>
      <c r="DFA4" s="1"/>
      <c r="DFB4" s="1"/>
      <c r="DFC4" s="1"/>
      <c r="DFD4" s="1"/>
      <c r="DFE4" s="1"/>
      <c r="DFF4" s="1"/>
      <c r="DFG4" s="1"/>
      <c r="DFH4" s="1"/>
      <c r="DFI4" s="1"/>
      <c r="DFJ4" s="1"/>
      <c r="DFK4" s="1"/>
      <c r="DFL4" s="1"/>
      <c r="DFM4" s="1"/>
      <c r="DFN4" s="1"/>
      <c r="DFO4" s="1"/>
      <c r="DFP4" s="1"/>
      <c r="DFQ4" s="1"/>
      <c r="DFR4" s="1"/>
      <c r="DFS4" s="1"/>
      <c r="DFT4" s="1"/>
      <c r="DFU4" s="1"/>
      <c r="DFV4" s="1"/>
      <c r="DFW4" s="1"/>
      <c r="DFX4" s="1"/>
      <c r="DFY4" s="1"/>
      <c r="DFZ4" s="1"/>
      <c r="DGA4" s="1"/>
      <c r="DGB4" s="1"/>
      <c r="DGC4" s="1"/>
      <c r="DGD4" s="1"/>
      <c r="DGE4" s="1"/>
      <c r="DGF4" s="1"/>
      <c r="DGG4" s="1"/>
      <c r="DGH4" s="1"/>
      <c r="DGI4" s="1"/>
      <c r="DGJ4" s="1"/>
      <c r="DGK4" s="1"/>
      <c r="DGL4" s="1"/>
      <c r="DGM4" s="1"/>
      <c r="DGN4" s="1"/>
      <c r="DGO4" s="1"/>
      <c r="DGP4" s="1"/>
      <c r="DGQ4" s="1"/>
      <c r="DGR4" s="1"/>
      <c r="DGS4" s="1"/>
      <c r="DGT4" s="1"/>
      <c r="DGU4" s="1"/>
      <c r="DGV4" s="1"/>
      <c r="DGW4" s="1"/>
      <c r="DGX4" s="1"/>
      <c r="DGY4" s="1"/>
      <c r="DGZ4" s="1"/>
      <c r="DHA4" s="1"/>
      <c r="DHB4" s="1"/>
      <c r="DHC4" s="1"/>
      <c r="DHD4" s="1"/>
      <c r="DHE4" s="1"/>
      <c r="DHF4" s="1"/>
      <c r="DHG4" s="1"/>
      <c r="DHH4" s="1"/>
      <c r="DHI4" s="1"/>
      <c r="DHJ4" s="1"/>
      <c r="DHK4" s="1"/>
      <c r="DHL4" s="1"/>
      <c r="DHM4" s="1"/>
      <c r="DHN4" s="1"/>
      <c r="DHO4" s="1"/>
      <c r="DHP4" s="1"/>
      <c r="DHQ4" s="1"/>
      <c r="DHR4" s="1"/>
      <c r="DHS4" s="1"/>
      <c r="DHT4" s="1"/>
      <c r="DHU4" s="1"/>
      <c r="DHV4" s="1"/>
      <c r="DHW4" s="1"/>
      <c r="DHX4" s="1"/>
      <c r="DHY4" s="1"/>
      <c r="DHZ4" s="1"/>
      <c r="DIA4" s="1"/>
      <c r="DIB4" s="1"/>
      <c r="DIC4" s="1"/>
      <c r="DID4" s="1"/>
      <c r="DIE4" s="1"/>
      <c r="DIF4" s="1"/>
      <c r="DIG4" s="1"/>
      <c r="DIH4" s="1"/>
      <c r="DII4" s="1"/>
      <c r="DIJ4" s="1"/>
      <c r="DIK4" s="1"/>
      <c r="DIL4" s="1"/>
      <c r="DIM4" s="1"/>
      <c r="DIN4" s="1"/>
      <c r="DIO4" s="1"/>
      <c r="DIP4" s="1"/>
      <c r="DIQ4" s="1"/>
      <c r="DIR4" s="1"/>
      <c r="DIS4" s="1"/>
      <c r="DIT4" s="1"/>
      <c r="DIU4" s="1"/>
      <c r="DIV4" s="1"/>
      <c r="DIW4" s="1"/>
      <c r="DIX4" s="1"/>
      <c r="DIY4" s="1"/>
      <c r="DIZ4" s="1"/>
      <c r="DJA4" s="1"/>
      <c r="DJB4" s="1"/>
      <c r="DJC4" s="1"/>
      <c r="DJD4" s="1"/>
      <c r="DJE4" s="1"/>
      <c r="DJF4" s="1"/>
      <c r="DJG4" s="1"/>
      <c r="DJH4" s="1"/>
      <c r="DJI4" s="1"/>
      <c r="DJJ4" s="1"/>
      <c r="DJK4" s="1"/>
      <c r="DJL4" s="1"/>
      <c r="DJM4" s="1"/>
      <c r="DJN4" s="1"/>
      <c r="DJO4" s="1"/>
      <c r="DJP4" s="1"/>
      <c r="DJQ4" s="1"/>
      <c r="DJR4" s="1"/>
      <c r="DJS4" s="1"/>
      <c r="DJT4" s="1"/>
      <c r="DJU4" s="1"/>
      <c r="DJV4" s="1"/>
      <c r="DJW4" s="1"/>
      <c r="DJX4" s="1"/>
      <c r="DJY4" s="1"/>
      <c r="DJZ4" s="1"/>
      <c r="DKA4" s="1"/>
      <c r="DKB4" s="1"/>
      <c r="DKC4" s="1"/>
      <c r="DKD4" s="1"/>
      <c r="DKE4" s="1"/>
      <c r="DKF4" s="1"/>
      <c r="DKG4" s="1"/>
      <c r="DKH4" s="1"/>
      <c r="DKI4" s="1"/>
      <c r="DKJ4" s="1"/>
      <c r="DKK4" s="1"/>
      <c r="DKL4" s="1"/>
      <c r="DKM4" s="1"/>
      <c r="DKN4" s="1"/>
      <c r="DKO4" s="1"/>
      <c r="DKP4" s="1"/>
      <c r="DKQ4" s="1"/>
      <c r="DKR4" s="1"/>
      <c r="DKS4" s="1"/>
      <c r="DKT4" s="1"/>
      <c r="DKU4" s="1"/>
      <c r="DKV4" s="1"/>
      <c r="DKW4" s="1"/>
      <c r="DKX4" s="1"/>
      <c r="DKY4" s="1"/>
      <c r="DKZ4" s="1"/>
      <c r="DLA4" s="1"/>
      <c r="DLB4" s="1"/>
      <c r="DLC4" s="1"/>
      <c r="DLD4" s="1"/>
      <c r="DLE4" s="1"/>
      <c r="DLF4" s="1"/>
      <c r="DLG4" s="1"/>
      <c r="DLH4" s="1"/>
      <c r="DLI4" s="1"/>
      <c r="DLJ4" s="1"/>
      <c r="DLK4" s="1"/>
      <c r="DLL4" s="1"/>
      <c r="DLM4" s="1"/>
      <c r="DLN4" s="1"/>
      <c r="DLO4" s="1"/>
      <c r="DLP4" s="1"/>
      <c r="DLQ4" s="1"/>
      <c r="DLR4" s="1"/>
      <c r="DLS4" s="1"/>
      <c r="DLT4" s="1"/>
      <c r="DLU4" s="1"/>
      <c r="DLV4" s="1"/>
      <c r="DLW4" s="1"/>
      <c r="DLX4" s="1"/>
      <c r="DLY4" s="1"/>
      <c r="DLZ4" s="1"/>
      <c r="DMA4" s="1"/>
      <c r="DMB4" s="1"/>
      <c r="DMC4" s="1"/>
      <c r="DMD4" s="1"/>
      <c r="DME4" s="1"/>
      <c r="DMF4" s="1"/>
      <c r="DMG4" s="1"/>
      <c r="DMH4" s="1"/>
      <c r="DMI4" s="1"/>
      <c r="DMJ4" s="1"/>
      <c r="DMK4" s="1"/>
      <c r="DML4" s="1"/>
      <c r="DMM4" s="1"/>
      <c r="DMN4" s="1"/>
      <c r="DMO4" s="1"/>
      <c r="DMP4" s="1"/>
      <c r="DMQ4" s="1"/>
      <c r="DMR4" s="1"/>
      <c r="DMS4" s="1"/>
      <c r="DMT4" s="1"/>
      <c r="DMU4" s="1"/>
      <c r="DMV4" s="1"/>
      <c r="DMW4" s="1"/>
      <c r="DMX4" s="1"/>
      <c r="DMY4" s="1"/>
      <c r="DMZ4" s="1"/>
      <c r="DNA4" s="1"/>
      <c r="DNB4" s="1"/>
      <c r="DNC4" s="1"/>
      <c r="DND4" s="1"/>
      <c r="DNE4" s="1"/>
      <c r="DNF4" s="1"/>
      <c r="DNG4" s="1"/>
      <c r="DNH4" s="1"/>
      <c r="DNI4" s="1"/>
      <c r="DNJ4" s="1"/>
      <c r="DNK4" s="1"/>
      <c r="DNL4" s="1"/>
      <c r="DNM4" s="1"/>
      <c r="DNN4" s="1"/>
      <c r="DNO4" s="1"/>
      <c r="DNP4" s="1"/>
      <c r="DNQ4" s="1"/>
      <c r="DNR4" s="1"/>
      <c r="DNS4" s="1"/>
      <c r="DNT4" s="1"/>
      <c r="DNU4" s="1"/>
      <c r="DNV4" s="1"/>
      <c r="DNW4" s="1"/>
      <c r="DNX4" s="1"/>
      <c r="DNY4" s="1"/>
      <c r="DNZ4" s="1"/>
      <c r="DOA4" s="1"/>
      <c r="DOB4" s="1"/>
      <c r="DOC4" s="1"/>
      <c r="DOD4" s="1"/>
      <c r="DOE4" s="1"/>
      <c r="DOF4" s="1"/>
      <c r="DOG4" s="1"/>
      <c r="DOH4" s="1"/>
      <c r="DOI4" s="1"/>
      <c r="DOJ4" s="1"/>
      <c r="DOK4" s="1"/>
      <c r="DOL4" s="1"/>
      <c r="DOM4" s="1"/>
      <c r="DON4" s="1"/>
      <c r="DOO4" s="1"/>
      <c r="DOP4" s="1"/>
      <c r="DOQ4" s="1"/>
      <c r="DOR4" s="1"/>
      <c r="DOS4" s="1"/>
      <c r="DOT4" s="1"/>
      <c r="DOU4" s="1"/>
      <c r="DOV4" s="1"/>
      <c r="DOW4" s="1"/>
      <c r="DOX4" s="1"/>
      <c r="DOY4" s="1"/>
      <c r="DOZ4" s="1"/>
      <c r="DPA4" s="1"/>
      <c r="DPB4" s="1"/>
      <c r="DPC4" s="1"/>
      <c r="DPD4" s="1"/>
      <c r="DPE4" s="1"/>
      <c r="DPF4" s="1"/>
      <c r="DPG4" s="1"/>
      <c r="DPH4" s="1"/>
      <c r="DPI4" s="1"/>
      <c r="DPJ4" s="1"/>
      <c r="DPK4" s="1"/>
      <c r="DPL4" s="1"/>
      <c r="DPM4" s="1"/>
      <c r="DPN4" s="1"/>
      <c r="DPO4" s="1"/>
      <c r="DPP4" s="1"/>
      <c r="DPQ4" s="1"/>
      <c r="DPR4" s="1"/>
      <c r="DPS4" s="1"/>
      <c r="DPT4" s="1"/>
      <c r="DPU4" s="1"/>
      <c r="DPV4" s="1"/>
      <c r="DPW4" s="1"/>
      <c r="DPX4" s="1"/>
      <c r="DPY4" s="1"/>
      <c r="DPZ4" s="1"/>
      <c r="DQA4" s="1"/>
      <c r="DQB4" s="1"/>
      <c r="DQC4" s="1"/>
      <c r="DQD4" s="1"/>
      <c r="DQE4" s="1"/>
      <c r="DQF4" s="1"/>
      <c r="DQG4" s="1"/>
      <c r="DQH4" s="1"/>
      <c r="DQI4" s="1"/>
      <c r="DQJ4" s="1"/>
      <c r="DQK4" s="1"/>
      <c r="DQL4" s="1"/>
      <c r="DQM4" s="1"/>
      <c r="DQN4" s="1"/>
      <c r="DQO4" s="1"/>
      <c r="DQP4" s="1"/>
      <c r="DQQ4" s="1"/>
      <c r="DQR4" s="1"/>
      <c r="DQS4" s="1"/>
      <c r="DQT4" s="1"/>
      <c r="DQU4" s="1"/>
      <c r="DQV4" s="1"/>
      <c r="DQW4" s="1"/>
      <c r="DQX4" s="1"/>
      <c r="DQY4" s="1"/>
      <c r="DQZ4" s="1"/>
      <c r="DRA4" s="1"/>
      <c r="DRB4" s="1"/>
      <c r="DRC4" s="1"/>
      <c r="DRD4" s="1"/>
      <c r="DRE4" s="1"/>
      <c r="DRF4" s="1"/>
      <c r="DRG4" s="1"/>
      <c r="DRH4" s="1"/>
      <c r="DRI4" s="1"/>
      <c r="DRJ4" s="1"/>
      <c r="DRK4" s="1"/>
      <c r="DRL4" s="1"/>
      <c r="DRM4" s="1"/>
      <c r="DRN4" s="1"/>
      <c r="DRO4" s="1"/>
      <c r="DRP4" s="1"/>
      <c r="DRQ4" s="1"/>
      <c r="DRR4" s="1"/>
      <c r="DRS4" s="1"/>
      <c r="DRT4" s="1"/>
      <c r="DRU4" s="1"/>
      <c r="DRV4" s="1"/>
      <c r="DRW4" s="1"/>
      <c r="DRX4" s="1"/>
      <c r="DRY4" s="1"/>
      <c r="DRZ4" s="1"/>
      <c r="DSA4" s="1"/>
      <c r="DSB4" s="1"/>
      <c r="DSC4" s="1"/>
      <c r="DSD4" s="1"/>
      <c r="DSE4" s="1"/>
      <c r="DSF4" s="1"/>
      <c r="DSG4" s="1"/>
      <c r="DSH4" s="1"/>
      <c r="DSI4" s="1"/>
      <c r="DSJ4" s="1"/>
      <c r="DSK4" s="1"/>
      <c r="DSL4" s="1"/>
      <c r="DSM4" s="1"/>
      <c r="DSN4" s="1"/>
      <c r="DSO4" s="1"/>
      <c r="DSP4" s="1"/>
      <c r="DSQ4" s="1"/>
      <c r="DSR4" s="1"/>
      <c r="DSS4" s="1"/>
      <c r="DST4" s="1"/>
      <c r="DSU4" s="1"/>
      <c r="DSV4" s="1"/>
      <c r="DSW4" s="1"/>
      <c r="DSX4" s="1"/>
      <c r="DSY4" s="1"/>
      <c r="DSZ4" s="1"/>
      <c r="DTA4" s="1"/>
      <c r="DTB4" s="1"/>
      <c r="DTC4" s="1"/>
      <c r="DTD4" s="1"/>
      <c r="DTE4" s="1"/>
      <c r="DTF4" s="1"/>
      <c r="DTG4" s="1"/>
      <c r="DTH4" s="1"/>
      <c r="DTI4" s="1"/>
      <c r="DTJ4" s="1"/>
      <c r="DTK4" s="1"/>
      <c r="DTL4" s="1"/>
      <c r="DTM4" s="1"/>
      <c r="DTN4" s="1"/>
      <c r="DTO4" s="1"/>
      <c r="DTP4" s="1"/>
      <c r="DTQ4" s="1"/>
      <c r="DTR4" s="1"/>
      <c r="DTS4" s="1"/>
      <c r="DTT4" s="1"/>
      <c r="DTU4" s="1"/>
      <c r="DTV4" s="1"/>
      <c r="DTW4" s="1"/>
      <c r="DTX4" s="1"/>
      <c r="DTY4" s="1"/>
      <c r="DTZ4" s="1"/>
      <c r="DUA4" s="1"/>
      <c r="DUB4" s="1"/>
      <c r="DUC4" s="1"/>
      <c r="DUD4" s="1"/>
      <c r="DUE4" s="1"/>
      <c r="DUF4" s="1"/>
      <c r="DUG4" s="1"/>
      <c r="DUH4" s="1"/>
      <c r="DUI4" s="1"/>
      <c r="DUJ4" s="1"/>
      <c r="DUK4" s="1"/>
      <c r="DUL4" s="1"/>
      <c r="DUM4" s="1"/>
      <c r="DUN4" s="1"/>
      <c r="DUO4" s="1"/>
      <c r="DUP4" s="1"/>
      <c r="DUQ4" s="1"/>
      <c r="DUR4" s="1"/>
      <c r="DUS4" s="1"/>
      <c r="DUT4" s="1"/>
      <c r="DUU4" s="1"/>
      <c r="DUV4" s="1"/>
      <c r="DUW4" s="1"/>
      <c r="DUX4" s="1"/>
      <c r="DUY4" s="1"/>
      <c r="DUZ4" s="1"/>
      <c r="DVA4" s="1"/>
      <c r="DVB4" s="1"/>
      <c r="DVC4" s="1"/>
      <c r="DVD4" s="1"/>
      <c r="DVE4" s="1"/>
      <c r="DVF4" s="1"/>
      <c r="DVG4" s="1"/>
      <c r="DVH4" s="1"/>
      <c r="DVI4" s="1"/>
      <c r="DVJ4" s="1"/>
      <c r="DVK4" s="1"/>
      <c r="DVL4" s="1"/>
      <c r="DVM4" s="1"/>
      <c r="DVN4" s="1"/>
      <c r="DVO4" s="1"/>
      <c r="DVP4" s="1"/>
      <c r="DVQ4" s="1"/>
      <c r="DVR4" s="1"/>
      <c r="DVS4" s="1"/>
      <c r="DVT4" s="1"/>
      <c r="DVU4" s="1"/>
      <c r="DVV4" s="1"/>
      <c r="DVW4" s="1"/>
      <c r="DVX4" s="1"/>
      <c r="DVY4" s="1"/>
      <c r="DVZ4" s="1"/>
      <c r="DWA4" s="1"/>
      <c r="DWB4" s="1"/>
      <c r="DWC4" s="1"/>
      <c r="DWD4" s="1"/>
      <c r="DWE4" s="1"/>
      <c r="DWF4" s="1"/>
      <c r="DWG4" s="1"/>
      <c r="DWH4" s="1"/>
      <c r="DWI4" s="1"/>
      <c r="DWJ4" s="1"/>
      <c r="DWK4" s="1"/>
      <c r="DWL4" s="1"/>
      <c r="DWM4" s="1"/>
      <c r="DWN4" s="1"/>
      <c r="DWO4" s="1"/>
      <c r="DWP4" s="1"/>
      <c r="DWQ4" s="1"/>
      <c r="DWR4" s="1"/>
      <c r="DWS4" s="1"/>
      <c r="DWT4" s="1"/>
      <c r="DWU4" s="1"/>
      <c r="DWV4" s="1"/>
      <c r="DWW4" s="1"/>
      <c r="DWX4" s="1"/>
      <c r="DWY4" s="1"/>
      <c r="DWZ4" s="1"/>
      <c r="DXA4" s="1"/>
      <c r="DXB4" s="1"/>
      <c r="DXC4" s="1"/>
      <c r="DXD4" s="1"/>
      <c r="DXE4" s="1"/>
      <c r="DXF4" s="1"/>
      <c r="DXG4" s="1"/>
      <c r="DXH4" s="1"/>
      <c r="DXI4" s="1"/>
      <c r="DXJ4" s="1"/>
      <c r="DXK4" s="1"/>
      <c r="DXL4" s="1"/>
      <c r="DXM4" s="1"/>
      <c r="DXN4" s="1"/>
      <c r="DXO4" s="1"/>
      <c r="DXP4" s="1"/>
      <c r="DXQ4" s="1"/>
      <c r="DXR4" s="1"/>
      <c r="DXS4" s="1"/>
      <c r="DXT4" s="1"/>
      <c r="DXU4" s="1"/>
      <c r="DXV4" s="1"/>
      <c r="DXW4" s="1"/>
      <c r="DXX4" s="1"/>
      <c r="DXY4" s="1"/>
      <c r="DXZ4" s="1"/>
      <c r="DYA4" s="1"/>
      <c r="DYB4" s="1"/>
      <c r="DYC4" s="1"/>
      <c r="DYD4" s="1"/>
      <c r="DYE4" s="1"/>
      <c r="DYF4" s="1"/>
      <c r="DYG4" s="1"/>
      <c r="DYH4" s="1"/>
      <c r="DYI4" s="1"/>
      <c r="DYJ4" s="1"/>
      <c r="DYK4" s="1"/>
      <c r="DYL4" s="1"/>
      <c r="DYM4" s="1"/>
      <c r="DYN4" s="1"/>
      <c r="DYO4" s="1"/>
      <c r="DYP4" s="1"/>
      <c r="DYQ4" s="1"/>
      <c r="DYR4" s="1"/>
      <c r="DYS4" s="1"/>
      <c r="DYT4" s="1"/>
      <c r="DYU4" s="1"/>
      <c r="DYV4" s="1"/>
      <c r="DYW4" s="1"/>
      <c r="DYX4" s="1"/>
      <c r="DYY4" s="1"/>
      <c r="DYZ4" s="1"/>
      <c r="DZA4" s="1"/>
      <c r="DZB4" s="1"/>
      <c r="DZC4" s="1"/>
      <c r="DZD4" s="1"/>
      <c r="DZE4" s="1"/>
      <c r="DZF4" s="1"/>
      <c r="DZG4" s="1"/>
      <c r="DZH4" s="1"/>
      <c r="DZI4" s="1"/>
      <c r="DZJ4" s="1"/>
      <c r="DZK4" s="1"/>
      <c r="DZL4" s="1"/>
      <c r="DZM4" s="1"/>
      <c r="DZN4" s="1"/>
      <c r="DZO4" s="1"/>
      <c r="DZP4" s="1"/>
      <c r="DZQ4" s="1"/>
      <c r="DZR4" s="1"/>
      <c r="DZS4" s="1"/>
      <c r="DZT4" s="1"/>
      <c r="DZU4" s="1"/>
      <c r="DZV4" s="1"/>
      <c r="DZW4" s="1"/>
      <c r="DZX4" s="1"/>
      <c r="DZY4" s="1"/>
      <c r="DZZ4" s="1"/>
      <c r="EAA4" s="1"/>
      <c r="EAB4" s="1"/>
      <c r="EAC4" s="1"/>
      <c r="EAD4" s="1"/>
      <c r="EAE4" s="1"/>
      <c r="EAF4" s="1"/>
      <c r="EAG4" s="1"/>
      <c r="EAH4" s="1"/>
      <c r="EAI4" s="1"/>
      <c r="EAJ4" s="1"/>
      <c r="EAK4" s="1"/>
      <c r="EAL4" s="1"/>
      <c r="EAM4" s="1"/>
      <c r="EAN4" s="1"/>
      <c r="EAO4" s="1"/>
      <c r="EAP4" s="1"/>
      <c r="EAQ4" s="1"/>
      <c r="EAR4" s="1"/>
      <c r="EAS4" s="1"/>
      <c r="EAT4" s="1"/>
      <c r="EAU4" s="1"/>
      <c r="EAV4" s="1"/>
      <c r="EAW4" s="1"/>
      <c r="EAX4" s="1"/>
      <c r="EAY4" s="1"/>
      <c r="EAZ4" s="1"/>
      <c r="EBA4" s="1"/>
      <c r="EBB4" s="1"/>
      <c r="EBC4" s="1"/>
      <c r="EBD4" s="1"/>
      <c r="EBE4" s="1"/>
      <c r="EBF4" s="1"/>
      <c r="EBG4" s="1"/>
      <c r="EBH4" s="1"/>
      <c r="EBI4" s="1"/>
      <c r="EBJ4" s="1"/>
      <c r="EBK4" s="1"/>
      <c r="EBL4" s="1"/>
      <c r="EBM4" s="1"/>
      <c r="EBN4" s="1"/>
      <c r="EBO4" s="1"/>
      <c r="EBP4" s="1"/>
      <c r="EBQ4" s="1"/>
      <c r="EBR4" s="1"/>
      <c r="EBS4" s="1"/>
      <c r="EBT4" s="1"/>
      <c r="EBU4" s="1"/>
      <c r="EBV4" s="1"/>
      <c r="EBW4" s="1"/>
      <c r="EBX4" s="1"/>
      <c r="EBY4" s="1"/>
      <c r="EBZ4" s="1"/>
      <c r="ECA4" s="1"/>
      <c r="ECB4" s="1"/>
      <c r="ECC4" s="1"/>
      <c r="ECD4" s="1"/>
      <c r="ECE4" s="1"/>
      <c r="ECF4" s="1"/>
      <c r="ECG4" s="1"/>
      <c r="ECH4" s="1"/>
      <c r="ECI4" s="1"/>
      <c r="ECJ4" s="1"/>
      <c r="ECK4" s="1"/>
      <c r="ECL4" s="1"/>
      <c r="ECM4" s="1"/>
      <c r="ECN4" s="1"/>
      <c r="ECO4" s="1"/>
      <c r="ECP4" s="1"/>
      <c r="ECQ4" s="1"/>
      <c r="ECR4" s="1"/>
      <c r="ECS4" s="1"/>
      <c r="ECT4" s="1"/>
      <c r="ECU4" s="1"/>
      <c r="ECV4" s="1"/>
      <c r="ECW4" s="1"/>
      <c r="ECX4" s="1"/>
      <c r="ECY4" s="1"/>
      <c r="ECZ4" s="1"/>
      <c r="EDA4" s="1"/>
      <c r="EDB4" s="1"/>
      <c r="EDC4" s="1"/>
      <c r="EDD4" s="1"/>
      <c r="EDE4" s="1"/>
      <c r="EDF4" s="1"/>
      <c r="EDG4" s="1"/>
      <c r="EDH4" s="1"/>
      <c r="EDI4" s="1"/>
      <c r="EDJ4" s="1"/>
      <c r="EDK4" s="1"/>
      <c r="EDL4" s="1"/>
      <c r="EDM4" s="1"/>
      <c r="EDN4" s="1"/>
      <c r="EDO4" s="1"/>
      <c r="EDP4" s="1"/>
      <c r="EDQ4" s="1"/>
      <c r="EDR4" s="1"/>
      <c r="EDS4" s="1"/>
      <c r="EDT4" s="1"/>
      <c r="EDU4" s="1"/>
      <c r="EDV4" s="1"/>
      <c r="EDW4" s="1"/>
      <c r="EDX4" s="1"/>
      <c r="EDY4" s="1"/>
      <c r="EDZ4" s="1"/>
      <c r="EEA4" s="1"/>
      <c r="EEB4" s="1"/>
      <c r="EEC4" s="1"/>
      <c r="EED4" s="1"/>
      <c r="EEE4" s="1"/>
      <c r="EEF4" s="1"/>
      <c r="EEG4" s="1"/>
      <c r="EEH4" s="1"/>
      <c r="EEI4" s="1"/>
      <c r="EEJ4" s="1"/>
      <c r="EEK4" s="1"/>
      <c r="EEL4" s="1"/>
      <c r="EEM4" s="1"/>
      <c r="EEN4" s="1"/>
      <c r="EEO4" s="1"/>
      <c r="EEP4" s="1"/>
      <c r="EEQ4" s="1"/>
      <c r="EER4" s="1"/>
      <c r="EES4" s="1"/>
      <c r="EET4" s="1"/>
      <c r="EEU4" s="1"/>
      <c r="EEV4" s="1"/>
      <c r="EEW4" s="1"/>
      <c r="EEX4" s="1"/>
      <c r="EEY4" s="1"/>
      <c r="EEZ4" s="1"/>
      <c r="EFA4" s="1"/>
      <c r="EFB4" s="1"/>
      <c r="EFC4" s="1"/>
      <c r="EFD4" s="1"/>
      <c r="EFE4" s="1"/>
      <c r="EFF4" s="1"/>
      <c r="EFG4" s="1"/>
      <c r="EFH4" s="1"/>
      <c r="EFI4" s="1"/>
      <c r="EFJ4" s="1"/>
      <c r="EFK4" s="1"/>
      <c r="EFL4" s="1"/>
      <c r="EFM4" s="1"/>
      <c r="EFN4" s="1"/>
      <c r="EFO4" s="1"/>
      <c r="EFP4" s="1"/>
      <c r="EFQ4" s="1"/>
      <c r="EFR4" s="1"/>
      <c r="EFS4" s="1"/>
      <c r="EFT4" s="1"/>
      <c r="EFU4" s="1"/>
      <c r="EFV4" s="1"/>
      <c r="EFW4" s="1"/>
      <c r="EFX4" s="1"/>
      <c r="EFY4" s="1"/>
      <c r="EFZ4" s="1"/>
      <c r="EGA4" s="1"/>
      <c r="EGB4" s="1"/>
      <c r="EGC4" s="1"/>
      <c r="EGD4" s="1"/>
      <c r="EGE4" s="1"/>
      <c r="EGF4" s="1"/>
      <c r="EGG4" s="1"/>
      <c r="EGH4" s="1"/>
      <c r="EGI4" s="1"/>
      <c r="EGJ4" s="1"/>
      <c r="EGK4" s="1"/>
      <c r="EGL4" s="1"/>
      <c r="EGM4" s="1"/>
      <c r="EGN4" s="1"/>
      <c r="EGO4" s="1"/>
      <c r="EGP4" s="1"/>
      <c r="EGQ4" s="1"/>
      <c r="EGR4" s="1"/>
      <c r="EGS4" s="1"/>
      <c r="EGT4" s="1"/>
      <c r="EGU4" s="1"/>
      <c r="EGV4" s="1"/>
      <c r="EGW4" s="1"/>
      <c r="EGX4" s="1"/>
      <c r="EGY4" s="1"/>
      <c r="EGZ4" s="1"/>
      <c r="EHA4" s="1"/>
      <c r="EHB4" s="1"/>
      <c r="EHC4" s="1"/>
      <c r="EHD4" s="1"/>
      <c r="EHE4" s="1"/>
      <c r="EHF4" s="1"/>
      <c r="EHG4" s="1"/>
      <c r="EHH4" s="1"/>
      <c r="EHI4" s="1"/>
      <c r="EHJ4" s="1"/>
      <c r="EHK4" s="1"/>
      <c r="EHL4" s="1"/>
      <c r="EHM4" s="1"/>
      <c r="EHN4" s="1"/>
      <c r="EHO4" s="1"/>
      <c r="EHP4" s="1"/>
      <c r="EHQ4" s="1"/>
      <c r="EHR4" s="1"/>
      <c r="EHS4" s="1"/>
      <c r="EHT4" s="1"/>
      <c r="EHU4" s="1"/>
      <c r="EHV4" s="1"/>
      <c r="EHW4" s="1"/>
      <c r="EHX4" s="1"/>
      <c r="EHY4" s="1"/>
      <c r="EHZ4" s="1"/>
      <c r="EIA4" s="1"/>
      <c r="EIB4" s="1"/>
      <c r="EIC4" s="1"/>
      <c r="EID4" s="1"/>
      <c r="EIE4" s="1"/>
      <c r="EIF4" s="1"/>
      <c r="EIG4" s="1"/>
      <c r="EIH4" s="1"/>
      <c r="EII4" s="1"/>
      <c r="EIJ4" s="1"/>
      <c r="EIK4" s="1"/>
      <c r="EIL4" s="1"/>
      <c r="EIM4" s="1"/>
      <c r="EIN4" s="1"/>
      <c r="EIO4" s="1"/>
      <c r="EIP4" s="1"/>
      <c r="EIQ4" s="1"/>
      <c r="EIR4" s="1"/>
      <c r="EIS4" s="1"/>
      <c r="EIT4" s="1"/>
      <c r="EIU4" s="1"/>
      <c r="EIV4" s="1"/>
      <c r="EIW4" s="1"/>
      <c r="EIX4" s="1"/>
      <c r="EIY4" s="1"/>
      <c r="EIZ4" s="1"/>
      <c r="EJA4" s="1"/>
      <c r="EJB4" s="1"/>
      <c r="EJC4" s="1"/>
      <c r="EJD4" s="1"/>
      <c r="EJE4" s="1"/>
      <c r="EJF4" s="1"/>
      <c r="EJG4" s="1"/>
      <c r="EJH4" s="1"/>
      <c r="EJI4" s="1"/>
      <c r="EJJ4" s="1"/>
      <c r="EJK4" s="1"/>
      <c r="EJL4" s="1"/>
      <c r="EJM4" s="1"/>
      <c r="EJN4" s="1"/>
      <c r="EJO4" s="1"/>
      <c r="EJP4" s="1"/>
      <c r="EJQ4" s="1"/>
      <c r="EJR4" s="1"/>
      <c r="EJS4" s="1"/>
      <c r="EJT4" s="1"/>
      <c r="EJU4" s="1"/>
      <c r="EJV4" s="1"/>
      <c r="EJW4" s="1"/>
      <c r="EJX4" s="1"/>
      <c r="EJY4" s="1"/>
      <c r="EJZ4" s="1"/>
      <c r="EKA4" s="1"/>
      <c r="EKB4" s="1"/>
      <c r="EKC4" s="1"/>
      <c r="EKD4" s="1"/>
      <c r="EKE4" s="1"/>
      <c r="EKF4" s="1"/>
      <c r="EKG4" s="1"/>
      <c r="EKH4" s="1"/>
      <c r="EKI4" s="1"/>
      <c r="EKJ4" s="1"/>
      <c r="EKK4" s="1"/>
      <c r="EKL4" s="1"/>
      <c r="EKM4" s="1"/>
      <c r="EKN4" s="1"/>
      <c r="EKO4" s="1"/>
      <c r="EKP4" s="1"/>
      <c r="EKQ4" s="1"/>
      <c r="EKR4" s="1"/>
      <c r="EKS4" s="1"/>
      <c r="EKT4" s="1"/>
      <c r="EKU4" s="1"/>
      <c r="EKV4" s="1"/>
      <c r="EKW4" s="1"/>
      <c r="EKX4" s="1"/>
      <c r="EKY4" s="1"/>
      <c r="EKZ4" s="1"/>
      <c r="ELA4" s="1"/>
      <c r="ELB4" s="1"/>
      <c r="ELC4" s="1"/>
      <c r="ELD4" s="1"/>
      <c r="ELE4" s="1"/>
      <c r="ELF4" s="1"/>
      <c r="ELG4" s="1"/>
      <c r="ELH4" s="1"/>
      <c r="ELI4" s="1"/>
      <c r="ELJ4" s="1"/>
      <c r="ELK4" s="1"/>
      <c r="ELL4" s="1"/>
      <c r="ELM4" s="1"/>
      <c r="ELN4" s="1"/>
      <c r="ELO4" s="1"/>
      <c r="ELP4" s="1"/>
      <c r="ELQ4" s="1"/>
      <c r="ELR4" s="1"/>
      <c r="ELS4" s="1"/>
      <c r="ELT4" s="1"/>
      <c r="ELU4" s="1"/>
      <c r="ELV4" s="1"/>
      <c r="ELW4" s="1"/>
      <c r="ELX4" s="1"/>
      <c r="ELY4" s="1"/>
      <c r="ELZ4" s="1"/>
      <c r="EMA4" s="1"/>
      <c r="EMB4" s="1"/>
      <c r="EMC4" s="1"/>
      <c r="EMD4" s="1"/>
      <c r="EME4" s="1"/>
      <c r="EMF4" s="1"/>
      <c r="EMG4" s="1"/>
      <c r="EMH4" s="1"/>
      <c r="EMI4" s="1"/>
      <c r="EMJ4" s="1"/>
      <c r="EMK4" s="1"/>
      <c r="EML4" s="1"/>
      <c r="EMM4" s="1"/>
      <c r="EMN4" s="1"/>
      <c r="EMO4" s="1"/>
      <c r="EMP4" s="1"/>
      <c r="EMQ4" s="1"/>
      <c r="EMR4" s="1"/>
      <c r="EMS4" s="1"/>
      <c r="EMT4" s="1"/>
      <c r="EMU4" s="1"/>
      <c r="EMV4" s="1"/>
      <c r="EMW4" s="1"/>
      <c r="EMX4" s="1"/>
      <c r="EMY4" s="1"/>
      <c r="EMZ4" s="1"/>
      <c r="ENA4" s="1"/>
      <c r="ENB4" s="1"/>
      <c r="ENC4" s="1"/>
      <c r="END4" s="1"/>
      <c r="ENE4" s="1"/>
      <c r="ENF4" s="1"/>
      <c r="ENG4" s="1"/>
      <c r="ENH4" s="1"/>
      <c r="ENI4" s="1"/>
      <c r="ENJ4" s="1"/>
      <c r="ENK4" s="1"/>
      <c r="ENL4" s="1"/>
      <c r="ENM4" s="1"/>
      <c r="ENN4" s="1"/>
      <c r="ENO4" s="1"/>
      <c r="ENP4" s="1"/>
      <c r="ENQ4" s="1"/>
      <c r="ENR4" s="1"/>
      <c r="ENS4" s="1"/>
      <c r="ENT4" s="1"/>
      <c r="ENU4" s="1"/>
      <c r="ENV4" s="1"/>
      <c r="ENW4" s="1"/>
      <c r="ENX4" s="1"/>
      <c r="ENY4" s="1"/>
      <c r="ENZ4" s="1"/>
      <c r="EOA4" s="1"/>
      <c r="EOB4" s="1"/>
      <c r="EOC4" s="1"/>
      <c r="EOD4" s="1"/>
      <c r="EOE4" s="1"/>
      <c r="EOF4" s="1"/>
      <c r="EOG4" s="1"/>
      <c r="EOH4" s="1"/>
      <c r="EOI4" s="1"/>
      <c r="EOJ4" s="1"/>
      <c r="EOK4" s="1"/>
      <c r="EOL4" s="1"/>
      <c r="EOM4" s="1"/>
      <c r="EON4" s="1"/>
      <c r="EOO4" s="1"/>
      <c r="EOP4" s="1"/>
      <c r="EOQ4" s="1"/>
      <c r="EOR4" s="1"/>
      <c r="EOS4" s="1"/>
      <c r="EOT4" s="1"/>
      <c r="EOU4" s="1"/>
      <c r="EOV4" s="1"/>
      <c r="EOW4" s="1"/>
      <c r="EOX4" s="1"/>
      <c r="EOY4" s="1"/>
      <c r="EOZ4" s="1"/>
      <c r="EPA4" s="1"/>
      <c r="EPB4" s="1"/>
      <c r="EPC4" s="1"/>
      <c r="EPD4" s="1"/>
      <c r="EPE4" s="1"/>
      <c r="EPF4" s="1"/>
      <c r="EPG4" s="1"/>
      <c r="EPH4" s="1"/>
      <c r="EPI4" s="1"/>
      <c r="EPJ4" s="1"/>
      <c r="EPK4" s="1"/>
      <c r="EPL4" s="1"/>
      <c r="EPM4" s="1"/>
      <c r="EPN4" s="1"/>
      <c r="EPO4" s="1"/>
      <c r="EPP4" s="1"/>
      <c r="EPQ4" s="1"/>
      <c r="EPR4" s="1"/>
      <c r="EPS4" s="1"/>
      <c r="EPT4" s="1"/>
      <c r="EPU4" s="1"/>
      <c r="EPV4" s="1"/>
      <c r="EPW4" s="1"/>
      <c r="EPX4" s="1"/>
      <c r="EPY4" s="1"/>
      <c r="EPZ4" s="1"/>
      <c r="EQA4" s="1"/>
      <c r="EQB4" s="1"/>
      <c r="EQC4" s="1"/>
      <c r="EQD4" s="1"/>
      <c r="EQE4" s="1"/>
      <c r="EQF4" s="1"/>
      <c r="EQG4" s="1"/>
      <c r="EQH4" s="1"/>
      <c r="EQI4" s="1"/>
      <c r="EQJ4" s="1"/>
      <c r="EQK4" s="1"/>
      <c r="EQL4" s="1"/>
      <c r="EQM4" s="1"/>
      <c r="EQN4" s="1"/>
      <c r="EQO4" s="1"/>
      <c r="EQP4" s="1"/>
      <c r="EQQ4" s="1"/>
      <c r="EQR4" s="1"/>
      <c r="EQS4" s="1"/>
      <c r="EQT4" s="1"/>
      <c r="EQU4" s="1"/>
      <c r="EQV4" s="1"/>
      <c r="EQW4" s="1"/>
      <c r="EQX4" s="1"/>
      <c r="EQY4" s="1"/>
      <c r="EQZ4" s="1"/>
      <c r="ERA4" s="1"/>
      <c r="ERB4" s="1"/>
      <c r="ERC4" s="1"/>
      <c r="ERD4" s="1"/>
      <c r="ERE4" s="1"/>
      <c r="ERF4" s="1"/>
      <c r="ERG4" s="1"/>
      <c r="ERH4" s="1"/>
      <c r="ERI4" s="1"/>
      <c r="ERJ4" s="1"/>
      <c r="ERK4" s="1"/>
      <c r="ERL4" s="1"/>
      <c r="ERM4" s="1"/>
      <c r="ERN4" s="1"/>
      <c r="ERO4" s="1"/>
      <c r="ERP4" s="1"/>
      <c r="ERQ4" s="1"/>
      <c r="ERR4" s="1"/>
      <c r="ERS4" s="1"/>
      <c r="ERT4" s="1"/>
      <c r="ERU4" s="1"/>
      <c r="ERV4" s="1"/>
      <c r="ERW4" s="1"/>
      <c r="ERX4" s="1"/>
      <c r="ERY4" s="1"/>
      <c r="ERZ4" s="1"/>
      <c r="ESA4" s="1"/>
      <c r="ESB4" s="1"/>
      <c r="ESC4" s="1"/>
      <c r="ESD4" s="1"/>
      <c r="ESE4" s="1"/>
      <c r="ESF4" s="1"/>
      <c r="ESG4" s="1"/>
      <c r="ESH4" s="1"/>
      <c r="ESI4" s="1"/>
      <c r="ESJ4" s="1"/>
      <c r="ESK4" s="1"/>
      <c r="ESL4" s="1"/>
      <c r="ESM4" s="1"/>
      <c r="ESN4" s="1"/>
      <c r="ESO4" s="1"/>
      <c r="ESP4" s="1"/>
      <c r="ESQ4" s="1"/>
      <c r="ESR4" s="1"/>
      <c r="ESS4" s="1"/>
      <c r="EST4" s="1"/>
      <c r="ESU4" s="1"/>
      <c r="ESV4" s="1"/>
      <c r="ESW4" s="1"/>
      <c r="ESX4" s="1"/>
      <c r="ESY4" s="1"/>
      <c r="ESZ4" s="1"/>
      <c r="ETA4" s="1"/>
      <c r="ETB4" s="1"/>
      <c r="ETC4" s="1"/>
      <c r="ETD4" s="1"/>
      <c r="ETE4" s="1"/>
      <c r="ETF4" s="1"/>
      <c r="ETG4" s="1"/>
      <c r="ETH4" s="1"/>
      <c r="ETI4" s="1"/>
      <c r="ETJ4" s="1"/>
      <c r="ETK4" s="1"/>
      <c r="ETL4" s="1"/>
      <c r="ETM4" s="1"/>
      <c r="ETN4" s="1"/>
      <c r="ETO4" s="1"/>
      <c r="ETP4" s="1"/>
      <c r="ETQ4" s="1"/>
      <c r="ETR4" s="1"/>
      <c r="ETS4" s="1"/>
      <c r="ETT4" s="1"/>
      <c r="ETU4" s="1"/>
      <c r="ETV4" s="1"/>
      <c r="ETW4" s="1"/>
      <c r="ETX4" s="1"/>
      <c r="ETY4" s="1"/>
      <c r="ETZ4" s="1"/>
      <c r="EUA4" s="1"/>
      <c r="EUB4" s="1"/>
      <c r="EUC4" s="1"/>
      <c r="EUD4" s="1"/>
      <c r="EUE4" s="1"/>
      <c r="EUF4" s="1"/>
      <c r="EUG4" s="1"/>
      <c r="EUH4" s="1"/>
      <c r="EUI4" s="1"/>
      <c r="EUJ4" s="1"/>
      <c r="EUK4" s="1"/>
      <c r="EUL4" s="1"/>
      <c r="EUM4" s="1"/>
      <c r="EUN4" s="1"/>
      <c r="EUO4" s="1"/>
      <c r="EUP4" s="1"/>
      <c r="EUQ4" s="1"/>
      <c r="EUR4" s="1"/>
      <c r="EUS4" s="1"/>
      <c r="EUT4" s="1"/>
      <c r="EUU4" s="1"/>
      <c r="EUV4" s="1"/>
      <c r="EUW4" s="1"/>
      <c r="EUX4" s="1"/>
      <c r="EUY4" s="1"/>
      <c r="EUZ4" s="1"/>
      <c r="EVA4" s="1"/>
      <c r="EVB4" s="1"/>
      <c r="EVC4" s="1"/>
      <c r="EVD4" s="1"/>
      <c r="EVE4" s="1"/>
      <c r="EVF4" s="1"/>
      <c r="EVG4" s="1"/>
      <c r="EVH4" s="1"/>
      <c r="EVI4" s="1"/>
      <c r="EVJ4" s="1"/>
      <c r="EVK4" s="1"/>
      <c r="EVL4" s="1"/>
      <c r="EVM4" s="1"/>
      <c r="EVN4" s="1"/>
      <c r="EVO4" s="1"/>
      <c r="EVP4" s="1"/>
      <c r="EVQ4" s="1"/>
      <c r="EVR4" s="1"/>
      <c r="EVS4" s="1"/>
      <c r="EVT4" s="1"/>
      <c r="EVU4" s="1"/>
      <c r="EVV4" s="1"/>
      <c r="EVW4" s="1"/>
      <c r="EVX4" s="1"/>
      <c r="EVY4" s="1"/>
      <c r="EVZ4" s="1"/>
      <c r="EWA4" s="1"/>
      <c r="EWB4" s="1"/>
      <c r="EWC4" s="1"/>
      <c r="EWD4" s="1"/>
      <c r="EWE4" s="1"/>
      <c r="EWF4" s="1"/>
      <c r="EWG4" s="1"/>
      <c r="EWH4" s="1"/>
      <c r="EWI4" s="1"/>
      <c r="EWJ4" s="1"/>
      <c r="EWK4" s="1"/>
      <c r="EWL4" s="1"/>
      <c r="EWM4" s="1"/>
      <c r="EWN4" s="1"/>
      <c r="EWO4" s="1"/>
      <c r="EWP4" s="1"/>
      <c r="EWQ4" s="1"/>
      <c r="EWR4" s="1"/>
      <c r="EWS4" s="1"/>
      <c r="EWT4" s="1"/>
      <c r="EWU4" s="1"/>
      <c r="EWV4" s="1"/>
      <c r="EWW4" s="1"/>
      <c r="EWX4" s="1"/>
      <c r="EWY4" s="1"/>
      <c r="EWZ4" s="1"/>
      <c r="EXA4" s="1"/>
      <c r="EXB4" s="1"/>
      <c r="EXC4" s="1"/>
      <c r="EXD4" s="1"/>
      <c r="EXE4" s="1"/>
      <c r="EXF4" s="1"/>
      <c r="EXG4" s="1"/>
      <c r="EXH4" s="1"/>
      <c r="EXI4" s="1"/>
      <c r="EXJ4" s="1"/>
      <c r="EXK4" s="1"/>
      <c r="EXL4" s="1"/>
      <c r="EXM4" s="1"/>
      <c r="EXN4" s="1"/>
      <c r="EXO4" s="1"/>
      <c r="EXP4" s="1"/>
      <c r="EXQ4" s="1"/>
      <c r="EXR4" s="1"/>
      <c r="EXS4" s="1"/>
      <c r="EXT4" s="1"/>
      <c r="EXU4" s="1"/>
      <c r="EXV4" s="1"/>
      <c r="EXW4" s="1"/>
      <c r="EXX4" s="1"/>
      <c r="EXY4" s="1"/>
      <c r="EXZ4" s="1"/>
      <c r="EYA4" s="1"/>
      <c r="EYB4" s="1"/>
      <c r="EYC4" s="1"/>
      <c r="EYD4" s="1"/>
      <c r="EYE4" s="1"/>
      <c r="EYF4" s="1"/>
      <c r="EYG4" s="1"/>
      <c r="EYH4" s="1"/>
      <c r="EYI4" s="1"/>
      <c r="EYJ4" s="1"/>
      <c r="EYK4" s="1"/>
      <c r="EYL4" s="1"/>
      <c r="EYM4" s="1"/>
      <c r="EYN4" s="1"/>
      <c r="EYO4" s="1"/>
      <c r="EYP4" s="1"/>
      <c r="EYQ4" s="1"/>
      <c r="EYR4" s="1"/>
      <c r="EYS4" s="1"/>
      <c r="EYT4" s="1"/>
      <c r="EYU4" s="1"/>
      <c r="EYV4" s="1"/>
      <c r="EYW4" s="1"/>
      <c r="EYX4" s="1"/>
      <c r="EYY4" s="1"/>
      <c r="EYZ4" s="1"/>
      <c r="EZA4" s="1"/>
      <c r="EZB4" s="1"/>
      <c r="EZC4" s="1"/>
      <c r="EZD4" s="1"/>
      <c r="EZE4" s="1"/>
      <c r="EZF4" s="1"/>
      <c r="EZG4" s="1"/>
      <c r="EZH4" s="1"/>
      <c r="EZI4" s="1"/>
      <c r="EZJ4" s="1"/>
      <c r="EZK4" s="1"/>
      <c r="EZL4" s="1"/>
      <c r="EZM4" s="1"/>
      <c r="EZN4" s="1"/>
      <c r="EZO4" s="1"/>
      <c r="EZP4" s="1"/>
      <c r="EZQ4" s="1"/>
      <c r="EZR4" s="1"/>
      <c r="EZS4" s="1"/>
      <c r="EZT4" s="1"/>
      <c r="EZU4" s="1"/>
      <c r="EZV4" s="1"/>
      <c r="EZW4" s="1"/>
      <c r="EZX4" s="1"/>
      <c r="EZY4" s="1"/>
      <c r="EZZ4" s="1"/>
      <c r="FAA4" s="1"/>
      <c r="FAB4" s="1"/>
      <c r="FAC4" s="1"/>
      <c r="FAD4" s="1"/>
      <c r="FAE4" s="1"/>
      <c r="FAF4" s="1"/>
      <c r="FAG4" s="1"/>
      <c r="FAH4" s="1"/>
      <c r="FAI4" s="1"/>
      <c r="FAJ4" s="1"/>
      <c r="FAK4" s="1"/>
      <c r="FAL4" s="1"/>
      <c r="FAM4" s="1"/>
      <c r="FAN4" s="1"/>
      <c r="FAO4" s="1"/>
      <c r="FAP4" s="1"/>
      <c r="FAQ4" s="1"/>
      <c r="FAR4" s="1"/>
      <c r="FAS4" s="1"/>
      <c r="FAT4" s="1"/>
      <c r="FAU4" s="1"/>
      <c r="FAV4" s="1"/>
      <c r="FAW4" s="1"/>
      <c r="FAX4" s="1"/>
      <c r="FAY4" s="1"/>
      <c r="FAZ4" s="1"/>
      <c r="FBA4" s="1"/>
      <c r="FBB4" s="1"/>
      <c r="FBC4" s="1"/>
      <c r="FBD4" s="1"/>
      <c r="FBE4" s="1"/>
      <c r="FBF4" s="1"/>
      <c r="FBG4" s="1"/>
      <c r="FBH4" s="1"/>
      <c r="FBI4" s="1"/>
      <c r="FBJ4" s="1"/>
      <c r="FBK4" s="1"/>
      <c r="FBL4" s="1"/>
      <c r="FBM4" s="1"/>
      <c r="FBN4" s="1"/>
      <c r="FBO4" s="1"/>
      <c r="FBP4" s="1"/>
      <c r="FBQ4" s="1"/>
      <c r="FBR4" s="1"/>
      <c r="FBS4" s="1"/>
      <c r="FBT4" s="1"/>
      <c r="FBU4" s="1"/>
      <c r="FBV4" s="1"/>
      <c r="FBW4" s="1"/>
      <c r="FBX4" s="1"/>
      <c r="FBY4" s="1"/>
      <c r="FBZ4" s="1"/>
      <c r="FCA4" s="1"/>
      <c r="FCB4" s="1"/>
      <c r="FCC4" s="1"/>
      <c r="FCD4" s="1"/>
      <c r="FCE4" s="1"/>
      <c r="FCF4" s="1"/>
      <c r="FCG4" s="1"/>
      <c r="FCH4" s="1"/>
      <c r="FCI4" s="1"/>
      <c r="FCJ4" s="1"/>
      <c r="FCK4" s="1"/>
      <c r="FCL4" s="1"/>
      <c r="FCM4" s="1"/>
      <c r="FCN4" s="1"/>
      <c r="FCO4" s="1"/>
      <c r="FCP4" s="1"/>
      <c r="FCQ4" s="1"/>
      <c r="FCR4" s="1"/>
      <c r="FCS4" s="1"/>
      <c r="FCT4" s="1"/>
      <c r="FCU4" s="1"/>
      <c r="FCV4" s="1"/>
      <c r="FCW4" s="1"/>
      <c r="FCX4" s="1"/>
      <c r="FCY4" s="1"/>
      <c r="FCZ4" s="1"/>
      <c r="FDA4" s="1"/>
      <c r="FDB4" s="1"/>
      <c r="FDC4" s="1"/>
      <c r="FDD4" s="1"/>
      <c r="FDE4" s="1"/>
      <c r="FDF4" s="1"/>
      <c r="FDG4" s="1"/>
      <c r="FDH4" s="1"/>
      <c r="FDI4" s="1"/>
      <c r="FDJ4" s="1"/>
      <c r="FDK4" s="1"/>
      <c r="FDL4" s="1"/>
      <c r="FDM4" s="1"/>
      <c r="FDN4" s="1"/>
      <c r="FDO4" s="1"/>
      <c r="FDP4" s="1"/>
      <c r="FDQ4" s="1"/>
      <c r="FDR4" s="1"/>
      <c r="FDS4" s="1"/>
      <c r="FDT4" s="1"/>
      <c r="FDU4" s="1"/>
      <c r="FDV4" s="1"/>
      <c r="FDW4" s="1"/>
      <c r="FDX4" s="1"/>
      <c r="FDY4" s="1"/>
      <c r="FDZ4" s="1"/>
      <c r="FEA4" s="1"/>
      <c r="FEB4" s="1"/>
      <c r="FEC4" s="1"/>
      <c r="FED4" s="1"/>
      <c r="FEE4" s="1"/>
      <c r="FEF4" s="1"/>
      <c r="FEG4" s="1"/>
      <c r="FEH4" s="1"/>
      <c r="FEI4" s="1"/>
      <c r="FEJ4" s="1"/>
      <c r="FEK4" s="1"/>
      <c r="FEL4" s="1"/>
      <c r="FEM4" s="1"/>
      <c r="FEN4" s="1"/>
      <c r="FEO4" s="1"/>
      <c r="FEP4" s="1"/>
      <c r="FEQ4" s="1"/>
      <c r="FER4" s="1"/>
      <c r="FES4" s="1"/>
      <c r="FET4" s="1"/>
      <c r="FEU4" s="1"/>
      <c r="FEV4" s="1"/>
      <c r="FEW4" s="1"/>
      <c r="FEX4" s="1"/>
      <c r="FEY4" s="1"/>
      <c r="FEZ4" s="1"/>
      <c r="FFA4" s="1"/>
      <c r="FFB4" s="1"/>
      <c r="FFC4" s="1"/>
      <c r="FFD4" s="1"/>
      <c r="FFE4" s="1"/>
      <c r="FFF4" s="1"/>
      <c r="FFG4" s="1"/>
      <c r="FFH4" s="1"/>
      <c r="FFI4" s="1"/>
      <c r="FFJ4" s="1"/>
      <c r="FFK4" s="1"/>
      <c r="FFL4" s="1"/>
      <c r="FFM4" s="1"/>
      <c r="FFN4" s="1"/>
      <c r="FFO4" s="1"/>
      <c r="FFP4" s="1"/>
      <c r="FFQ4" s="1"/>
      <c r="FFR4" s="1"/>
      <c r="FFS4" s="1"/>
      <c r="FFT4" s="1"/>
      <c r="FFU4" s="1"/>
      <c r="FFV4" s="1"/>
      <c r="FFW4" s="1"/>
      <c r="FFX4" s="1"/>
      <c r="FFY4" s="1"/>
      <c r="FFZ4" s="1"/>
      <c r="FGA4" s="1"/>
      <c r="FGB4" s="1"/>
      <c r="FGC4" s="1"/>
      <c r="FGD4" s="1"/>
      <c r="FGE4" s="1"/>
      <c r="FGF4" s="1"/>
      <c r="FGG4" s="1"/>
      <c r="FGH4" s="1"/>
      <c r="FGI4" s="1"/>
      <c r="FGJ4" s="1"/>
      <c r="FGK4" s="1"/>
      <c r="FGL4" s="1"/>
      <c r="FGM4" s="1"/>
      <c r="FGN4" s="1"/>
      <c r="FGO4" s="1"/>
      <c r="FGP4" s="1"/>
      <c r="FGQ4" s="1"/>
      <c r="FGR4" s="1"/>
      <c r="FGS4" s="1"/>
      <c r="FGT4" s="1"/>
      <c r="FGU4" s="1"/>
      <c r="FGV4" s="1"/>
      <c r="FGW4" s="1"/>
      <c r="FGX4" s="1"/>
      <c r="FGY4" s="1"/>
      <c r="FGZ4" s="1"/>
      <c r="FHA4" s="1"/>
      <c r="FHB4" s="1"/>
      <c r="FHC4" s="1"/>
      <c r="FHD4" s="1"/>
      <c r="FHE4" s="1"/>
      <c r="FHF4" s="1"/>
      <c r="FHG4" s="1"/>
      <c r="FHH4" s="1"/>
      <c r="FHI4" s="1"/>
      <c r="FHJ4" s="1"/>
      <c r="FHK4" s="1"/>
      <c r="FHL4" s="1"/>
      <c r="FHM4" s="1"/>
      <c r="FHN4" s="1"/>
      <c r="FHO4" s="1"/>
      <c r="FHP4" s="1"/>
      <c r="FHQ4" s="1"/>
      <c r="FHR4" s="1"/>
      <c r="FHS4" s="1"/>
      <c r="FHT4" s="1"/>
      <c r="FHU4" s="1"/>
      <c r="FHV4" s="1"/>
      <c r="FHW4" s="1"/>
      <c r="FHX4" s="1"/>
      <c r="FHY4" s="1"/>
      <c r="FHZ4" s="1"/>
      <c r="FIA4" s="1"/>
      <c r="FIB4" s="1"/>
      <c r="FIC4" s="1"/>
      <c r="FID4" s="1"/>
      <c r="FIE4" s="1"/>
      <c r="FIF4" s="1"/>
      <c r="FIG4" s="1"/>
      <c r="FIH4" s="1"/>
      <c r="FII4" s="1"/>
      <c r="FIJ4" s="1"/>
      <c r="FIK4" s="1"/>
      <c r="FIL4" s="1"/>
      <c r="FIM4" s="1"/>
      <c r="FIN4" s="1"/>
      <c r="FIO4" s="1"/>
      <c r="FIP4" s="1"/>
      <c r="FIQ4" s="1"/>
      <c r="FIR4" s="1"/>
      <c r="FIS4" s="1"/>
      <c r="FIT4" s="1"/>
      <c r="FIU4" s="1"/>
      <c r="FIV4" s="1"/>
      <c r="FIW4" s="1"/>
      <c r="FIX4" s="1"/>
      <c r="FIY4" s="1"/>
      <c r="FIZ4" s="1"/>
      <c r="FJA4" s="1"/>
      <c r="FJB4" s="1"/>
      <c r="FJC4" s="1"/>
      <c r="FJD4" s="1"/>
      <c r="FJE4" s="1"/>
      <c r="FJF4" s="1"/>
      <c r="FJG4" s="1"/>
      <c r="FJH4" s="1"/>
      <c r="FJI4" s="1"/>
      <c r="FJJ4" s="1"/>
      <c r="FJK4" s="1"/>
      <c r="FJL4" s="1"/>
      <c r="FJM4" s="1"/>
      <c r="FJN4" s="1"/>
      <c r="FJO4" s="1"/>
      <c r="FJP4" s="1"/>
      <c r="FJQ4" s="1"/>
      <c r="FJR4" s="1"/>
      <c r="FJS4" s="1"/>
      <c r="FJT4" s="1"/>
      <c r="FJU4" s="1"/>
      <c r="FJV4" s="1"/>
      <c r="FJW4" s="1"/>
      <c r="FJX4" s="1"/>
      <c r="FJY4" s="1"/>
      <c r="FJZ4" s="1"/>
      <c r="FKA4" s="1"/>
      <c r="FKB4" s="1"/>
      <c r="FKC4" s="1"/>
      <c r="FKD4" s="1"/>
      <c r="FKE4" s="1"/>
      <c r="FKF4" s="1"/>
      <c r="FKG4" s="1"/>
      <c r="FKH4" s="1"/>
      <c r="FKI4" s="1"/>
      <c r="FKJ4" s="1"/>
      <c r="FKK4" s="1"/>
      <c r="FKL4" s="1"/>
      <c r="FKM4" s="1"/>
      <c r="FKN4" s="1"/>
      <c r="FKO4" s="1"/>
      <c r="FKP4" s="1"/>
      <c r="FKQ4" s="1"/>
      <c r="FKR4" s="1"/>
      <c r="FKS4" s="1"/>
      <c r="FKT4" s="1"/>
      <c r="FKU4" s="1"/>
      <c r="FKV4" s="1"/>
      <c r="FKW4" s="1"/>
      <c r="FKX4" s="1"/>
      <c r="FKY4" s="1"/>
      <c r="FKZ4" s="1"/>
      <c r="FLA4" s="1"/>
      <c r="FLB4" s="1"/>
      <c r="FLC4" s="1"/>
      <c r="FLD4" s="1"/>
      <c r="FLE4" s="1"/>
      <c r="FLF4" s="1"/>
      <c r="FLG4" s="1"/>
      <c r="FLH4" s="1"/>
      <c r="FLI4" s="1"/>
      <c r="FLJ4" s="1"/>
      <c r="FLK4" s="1"/>
      <c r="FLL4" s="1"/>
      <c r="FLM4" s="1"/>
      <c r="FLN4" s="1"/>
      <c r="FLO4" s="1"/>
      <c r="FLP4" s="1"/>
      <c r="FLQ4" s="1"/>
      <c r="FLR4" s="1"/>
      <c r="FLS4" s="1"/>
      <c r="FLT4" s="1"/>
      <c r="FLU4" s="1"/>
      <c r="FLV4" s="1"/>
      <c r="FLW4" s="1"/>
      <c r="FLX4" s="1"/>
      <c r="FLY4" s="1"/>
      <c r="FLZ4" s="1"/>
      <c r="FMA4" s="1"/>
      <c r="FMB4" s="1"/>
      <c r="FMC4" s="1"/>
      <c r="FMD4" s="1"/>
      <c r="FME4" s="1"/>
      <c r="FMF4" s="1"/>
      <c r="FMG4" s="1"/>
      <c r="FMH4" s="1"/>
      <c r="FMI4" s="1"/>
      <c r="FMJ4" s="1"/>
      <c r="FMK4" s="1"/>
      <c r="FML4" s="1"/>
      <c r="FMM4" s="1"/>
      <c r="FMN4" s="1"/>
      <c r="FMO4" s="1"/>
      <c r="FMP4" s="1"/>
      <c r="FMQ4" s="1"/>
      <c r="FMR4" s="1"/>
      <c r="FMS4" s="1"/>
      <c r="FMT4" s="1"/>
      <c r="FMU4" s="1"/>
      <c r="FMV4" s="1"/>
      <c r="FMW4" s="1"/>
      <c r="FMX4" s="1"/>
      <c r="FMY4" s="1"/>
      <c r="FMZ4" s="1"/>
      <c r="FNA4" s="1"/>
      <c r="FNB4" s="1"/>
      <c r="FNC4" s="1"/>
      <c r="FND4" s="1"/>
      <c r="FNE4" s="1"/>
      <c r="FNF4" s="1"/>
      <c r="FNG4" s="1"/>
      <c r="FNH4" s="1"/>
      <c r="FNI4" s="1"/>
      <c r="FNJ4" s="1"/>
      <c r="FNK4" s="1"/>
      <c r="FNL4" s="1"/>
      <c r="FNM4" s="1"/>
      <c r="FNN4" s="1"/>
      <c r="FNO4" s="1"/>
      <c r="FNP4" s="1"/>
      <c r="FNQ4" s="1"/>
      <c r="FNR4" s="1"/>
      <c r="FNS4" s="1"/>
      <c r="FNT4" s="1"/>
      <c r="FNU4" s="1"/>
      <c r="FNV4" s="1"/>
      <c r="FNW4" s="1"/>
      <c r="FNX4" s="1"/>
      <c r="FNY4" s="1"/>
      <c r="FNZ4" s="1"/>
      <c r="FOA4" s="1"/>
      <c r="FOB4" s="1"/>
      <c r="FOC4" s="1"/>
      <c r="FOD4" s="1"/>
      <c r="FOE4" s="1"/>
      <c r="FOF4" s="1"/>
      <c r="FOG4" s="1"/>
      <c r="FOH4" s="1"/>
      <c r="FOI4" s="1"/>
      <c r="FOJ4" s="1"/>
      <c r="FOK4" s="1"/>
      <c r="FOL4" s="1"/>
      <c r="FOM4" s="1"/>
      <c r="FON4" s="1"/>
      <c r="FOO4" s="1"/>
      <c r="FOP4" s="1"/>
      <c r="FOQ4" s="1"/>
      <c r="FOR4" s="1"/>
      <c r="FOS4" s="1"/>
      <c r="FOT4" s="1"/>
      <c r="FOU4" s="1"/>
      <c r="FOV4" s="1"/>
      <c r="FOW4" s="1"/>
      <c r="FOX4" s="1"/>
      <c r="FOY4" s="1"/>
      <c r="FOZ4" s="1"/>
      <c r="FPA4" s="1"/>
      <c r="FPB4" s="1"/>
      <c r="FPC4" s="1"/>
      <c r="FPD4" s="1"/>
      <c r="FPE4" s="1"/>
      <c r="FPF4" s="1"/>
      <c r="FPG4" s="1"/>
      <c r="FPH4" s="1"/>
      <c r="FPI4" s="1"/>
      <c r="FPJ4" s="1"/>
      <c r="FPK4" s="1"/>
      <c r="FPL4" s="1"/>
      <c r="FPM4" s="1"/>
      <c r="FPN4" s="1"/>
      <c r="FPO4" s="1"/>
      <c r="FPP4" s="1"/>
      <c r="FPQ4" s="1"/>
      <c r="FPR4" s="1"/>
      <c r="FPS4" s="1"/>
      <c r="FPT4" s="1"/>
      <c r="FPU4" s="1"/>
      <c r="FPV4" s="1"/>
      <c r="FPW4" s="1"/>
      <c r="FPX4" s="1"/>
      <c r="FPY4" s="1"/>
      <c r="FPZ4" s="1"/>
      <c r="FQA4" s="1"/>
      <c r="FQB4" s="1"/>
      <c r="FQC4" s="1"/>
      <c r="FQD4" s="1"/>
      <c r="FQE4" s="1"/>
      <c r="FQF4" s="1"/>
      <c r="FQG4" s="1"/>
      <c r="FQH4" s="1"/>
      <c r="FQI4" s="1"/>
      <c r="FQJ4" s="1"/>
      <c r="FQK4" s="1"/>
      <c r="FQL4" s="1"/>
      <c r="FQM4" s="1"/>
      <c r="FQN4" s="1"/>
      <c r="FQO4" s="1"/>
      <c r="FQP4" s="1"/>
      <c r="FQQ4" s="1"/>
      <c r="FQR4" s="1"/>
      <c r="FQS4" s="1"/>
      <c r="FQT4" s="1"/>
      <c r="FQU4" s="1"/>
      <c r="FQV4" s="1"/>
      <c r="FQW4" s="1"/>
      <c r="FQX4" s="1"/>
      <c r="FQY4" s="1"/>
      <c r="FQZ4" s="1"/>
      <c r="FRA4" s="1"/>
      <c r="FRB4" s="1"/>
      <c r="FRC4" s="1"/>
      <c r="FRD4" s="1"/>
      <c r="FRE4" s="1"/>
      <c r="FRF4" s="1"/>
      <c r="FRG4" s="1"/>
      <c r="FRH4" s="1"/>
      <c r="FRI4" s="1"/>
      <c r="FRJ4" s="1"/>
      <c r="FRK4" s="1"/>
      <c r="FRL4" s="1"/>
      <c r="FRM4" s="1"/>
      <c r="FRN4" s="1"/>
      <c r="FRO4" s="1"/>
      <c r="FRP4" s="1"/>
      <c r="FRQ4" s="1"/>
      <c r="FRR4" s="1"/>
      <c r="FRS4" s="1"/>
      <c r="FRT4" s="1"/>
      <c r="FRU4" s="1"/>
      <c r="FRV4" s="1"/>
      <c r="FRW4" s="1"/>
      <c r="FRX4" s="1"/>
      <c r="FRY4" s="1"/>
      <c r="FRZ4" s="1"/>
      <c r="FSA4" s="1"/>
      <c r="FSB4" s="1"/>
      <c r="FSC4" s="1"/>
      <c r="FSD4" s="1"/>
      <c r="FSE4" s="1"/>
      <c r="FSF4" s="1"/>
      <c r="FSG4" s="1"/>
      <c r="FSH4" s="1"/>
      <c r="FSI4" s="1"/>
      <c r="FSJ4" s="1"/>
      <c r="FSK4" s="1"/>
      <c r="FSL4" s="1"/>
      <c r="FSM4" s="1"/>
      <c r="FSN4" s="1"/>
      <c r="FSO4" s="1"/>
      <c r="FSP4" s="1"/>
      <c r="FSQ4" s="1"/>
      <c r="FSR4" s="1"/>
      <c r="FSS4" s="1"/>
      <c r="FST4" s="1"/>
      <c r="FSU4" s="1"/>
      <c r="FSV4" s="1"/>
      <c r="FSW4" s="1"/>
      <c r="FSX4" s="1"/>
      <c r="FSY4" s="1"/>
      <c r="FSZ4" s="1"/>
      <c r="FTA4" s="1"/>
      <c r="FTB4" s="1"/>
      <c r="FTC4" s="1"/>
      <c r="FTD4" s="1"/>
      <c r="FTE4" s="1"/>
      <c r="FTF4" s="1"/>
      <c r="FTG4" s="1"/>
      <c r="FTH4" s="1"/>
      <c r="FTI4" s="1"/>
      <c r="FTJ4" s="1"/>
      <c r="FTK4" s="1"/>
      <c r="FTL4" s="1"/>
      <c r="FTM4" s="1"/>
      <c r="FTN4" s="1"/>
      <c r="FTO4" s="1"/>
      <c r="FTP4" s="1"/>
      <c r="FTQ4" s="1"/>
      <c r="FTR4" s="1"/>
      <c r="FTS4" s="1"/>
      <c r="FTT4" s="1"/>
      <c r="FTU4" s="1"/>
      <c r="FTV4" s="1"/>
      <c r="FTW4" s="1"/>
      <c r="FTX4" s="1"/>
      <c r="FTY4" s="1"/>
      <c r="FTZ4" s="1"/>
      <c r="FUA4" s="1"/>
      <c r="FUB4" s="1"/>
      <c r="FUC4" s="1"/>
      <c r="FUD4" s="1"/>
      <c r="FUE4" s="1"/>
      <c r="FUF4" s="1"/>
      <c r="FUG4" s="1"/>
      <c r="FUH4" s="1"/>
      <c r="FUI4" s="1"/>
      <c r="FUJ4" s="1"/>
      <c r="FUK4" s="1"/>
      <c r="FUL4" s="1"/>
      <c r="FUM4" s="1"/>
      <c r="FUN4" s="1"/>
      <c r="FUO4" s="1"/>
      <c r="FUP4" s="1"/>
      <c r="FUQ4" s="1"/>
      <c r="FUR4" s="1"/>
      <c r="FUS4" s="1"/>
      <c r="FUT4" s="1"/>
      <c r="FUU4" s="1"/>
      <c r="FUV4" s="1"/>
      <c r="FUW4" s="1"/>
      <c r="FUX4" s="1"/>
      <c r="FUY4" s="1"/>
      <c r="FUZ4" s="1"/>
      <c r="FVA4" s="1"/>
      <c r="FVB4" s="1"/>
      <c r="FVC4" s="1"/>
      <c r="FVD4" s="1"/>
      <c r="FVE4" s="1"/>
      <c r="FVF4" s="1"/>
      <c r="FVG4" s="1"/>
      <c r="FVH4" s="1"/>
      <c r="FVI4" s="1"/>
      <c r="FVJ4" s="1"/>
      <c r="FVK4" s="1"/>
      <c r="FVL4" s="1"/>
      <c r="FVM4" s="1"/>
      <c r="FVN4" s="1"/>
      <c r="FVO4" s="1"/>
      <c r="FVP4" s="1"/>
      <c r="FVQ4" s="1"/>
      <c r="FVR4" s="1"/>
      <c r="FVS4" s="1"/>
      <c r="FVT4" s="1"/>
      <c r="FVU4" s="1"/>
      <c r="FVV4" s="1"/>
      <c r="FVW4" s="1"/>
      <c r="FVX4" s="1"/>
      <c r="FVY4" s="1"/>
      <c r="FVZ4" s="1"/>
      <c r="FWA4" s="1"/>
      <c r="FWB4" s="1"/>
      <c r="FWC4" s="1"/>
      <c r="FWD4" s="1"/>
      <c r="FWE4" s="1"/>
      <c r="FWF4" s="1"/>
      <c r="FWG4" s="1"/>
      <c r="FWH4" s="1"/>
      <c r="FWI4" s="1"/>
      <c r="FWJ4" s="1"/>
      <c r="FWK4" s="1"/>
      <c r="FWL4" s="1"/>
      <c r="FWM4" s="1"/>
      <c r="FWN4" s="1"/>
      <c r="FWO4" s="1"/>
      <c r="FWP4" s="1"/>
      <c r="FWQ4" s="1"/>
      <c r="FWR4" s="1"/>
      <c r="FWS4" s="1"/>
      <c r="FWT4" s="1"/>
      <c r="FWU4" s="1"/>
      <c r="FWV4" s="1"/>
      <c r="FWW4" s="1"/>
      <c r="FWX4" s="1"/>
      <c r="FWY4" s="1"/>
      <c r="FWZ4" s="1"/>
      <c r="FXA4" s="1"/>
      <c r="FXB4" s="1"/>
      <c r="FXC4" s="1"/>
      <c r="FXD4" s="1"/>
      <c r="FXE4" s="1"/>
      <c r="FXF4" s="1"/>
      <c r="FXG4" s="1"/>
      <c r="FXH4" s="1"/>
      <c r="FXI4" s="1"/>
      <c r="FXJ4" s="1"/>
      <c r="FXK4" s="1"/>
      <c r="FXL4" s="1"/>
      <c r="FXM4" s="1"/>
      <c r="FXN4" s="1"/>
      <c r="FXO4" s="1"/>
      <c r="FXP4" s="1"/>
      <c r="FXQ4" s="1"/>
      <c r="FXR4" s="1"/>
      <c r="FXS4" s="1"/>
      <c r="FXT4" s="1"/>
      <c r="FXU4" s="1"/>
      <c r="FXV4" s="1"/>
      <c r="FXW4" s="1"/>
      <c r="FXX4" s="1"/>
      <c r="FXY4" s="1"/>
      <c r="FXZ4" s="1"/>
      <c r="FYA4" s="1"/>
      <c r="FYB4" s="1"/>
      <c r="FYC4" s="1"/>
      <c r="FYD4" s="1"/>
      <c r="FYE4" s="1"/>
      <c r="FYF4" s="1"/>
      <c r="FYG4" s="1"/>
      <c r="FYH4" s="1"/>
      <c r="FYI4" s="1"/>
      <c r="FYJ4" s="1"/>
      <c r="FYK4" s="1"/>
      <c r="FYL4" s="1"/>
      <c r="FYM4" s="1"/>
      <c r="FYN4" s="1"/>
      <c r="FYO4" s="1"/>
      <c r="FYP4" s="1"/>
      <c r="FYQ4" s="1"/>
      <c r="FYR4" s="1"/>
      <c r="FYS4" s="1"/>
      <c r="FYT4" s="1"/>
      <c r="FYU4" s="1"/>
      <c r="FYV4" s="1"/>
      <c r="FYW4" s="1"/>
      <c r="FYX4" s="1"/>
      <c r="FYY4" s="1"/>
      <c r="FYZ4" s="1"/>
      <c r="FZA4" s="1"/>
      <c r="FZB4" s="1"/>
      <c r="FZC4" s="1"/>
      <c r="FZD4" s="1"/>
      <c r="FZE4" s="1"/>
      <c r="FZF4" s="1"/>
      <c r="FZG4" s="1"/>
      <c r="FZH4" s="1"/>
      <c r="FZI4" s="1"/>
      <c r="FZJ4" s="1"/>
      <c r="FZK4" s="1"/>
      <c r="FZL4" s="1"/>
      <c r="FZM4" s="1"/>
      <c r="FZN4" s="1"/>
      <c r="FZO4" s="1"/>
      <c r="FZP4" s="1"/>
      <c r="FZQ4" s="1"/>
      <c r="FZR4" s="1"/>
      <c r="FZS4" s="1"/>
      <c r="FZT4" s="1"/>
      <c r="FZU4" s="1"/>
      <c r="FZV4" s="1"/>
      <c r="FZW4" s="1"/>
      <c r="FZX4" s="1"/>
      <c r="FZY4" s="1"/>
      <c r="FZZ4" s="1"/>
      <c r="GAA4" s="1"/>
      <c r="GAB4" s="1"/>
      <c r="GAC4" s="1"/>
      <c r="GAD4" s="1"/>
      <c r="GAE4" s="1"/>
      <c r="GAF4" s="1"/>
      <c r="GAG4" s="1"/>
      <c r="GAH4" s="1"/>
      <c r="GAI4" s="1"/>
      <c r="GAJ4" s="1"/>
      <c r="GAK4" s="1"/>
      <c r="GAL4" s="1"/>
      <c r="GAM4" s="1"/>
      <c r="GAN4" s="1"/>
      <c r="GAO4" s="1"/>
      <c r="GAP4" s="1"/>
      <c r="GAQ4" s="1"/>
      <c r="GAR4" s="1"/>
      <c r="GAS4" s="1"/>
      <c r="GAT4" s="1"/>
      <c r="GAU4" s="1"/>
      <c r="GAV4" s="1"/>
      <c r="GAW4" s="1"/>
      <c r="GAX4" s="1"/>
      <c r="GAY4" s="1"/>
      <c r="GAZ4" s="1"/>
      <c r="GBA4" s="1"/>
      <c r="GBB4" s="1"/>
      <c r="GBC4" s="1"/>
      <c r="GBD4" s="1"/>
      <c r="GBE4" s="1"/>
      <c r="GBF4" s="1"/>
      <c r="GBG4" s="1"/>
      <c r="GBH4" s="1"/>
      <c r="GBI4" s="1"/>
      <c r="GBJ4" s="1"/>
      <c r="GBK4" s="1"/>
      <c r="GBL4" s="1"/>
      <c r="GBM4" s="1"/>
      <c r="GBN4" s="1"/>
      <c r="GBO4" s="1"/>
      <c r="GBP4" s="1"/>
      <c r="GBQ4" s="1"/>
      <c r="GBR4" s="1"/>
      <c r="GBS4" s="1"/>
      <c r="GBT4" s="1"/>
      <c r="GBU4" s="1"/>
      <c r="GBV4" s="1"/>
      <c r="GBW4" s="1"/>
      <c r="GBX4" s="1"/>
      <c r="GBY4" s="1"/>
      <c r="GBZ4" s="1"/>
      <c r="GCA4" s="1"/>
      <c r="GCB4" s="1"/>
      <c r="GCC4" s="1"/>
      <c r="GCD4" s="1"/>
      <c r="GCE4" s="1"/>
      <c r="GCF4" s="1"/>
      <c r="GCG4" s="1"/>
      <c r="GCH4" s="1"/>
      <c r="GCI4" s="1"/>
      <c r="GCJ4" s="1"/>
      <c r="GCK4" s="1"/>
      <c r="GCL4" s="1"/>
      <c r="GCM4" s="1"/>
      <c r="GCN4" s="1"/>
      <c r="GCO4" s="1"/>
      <c r="GCP4" s="1"/>
      <c r="GCQ4" s="1"/>
      <c r="GCR4" s="1"/>
      <c r="GCS4" s="1"/>
      <c r="GCT4" s="1"/>
      <c r="GCU4" s="1"/>
      <c r="GCV4" s="1"/>
      <c r="GCW4" s="1"/>
      <c r="GCX4" s="1"/>
      <c r="GCY4" s="1"/>
      <c r="GCZ4" s="1"/>
      <c r="GDA4" s="1"/>
      <c r="GDB4" s="1"/>
      <c r="GDC4" s="1"/>
      <c r="GDD4" s="1"/>
      <c r="GDE4" s="1"/>
      <c r="GDF4" s="1"/>
      <c r="GDG4" s="1"/>
      <c r="GDH4" s="1"/>
      <c r="GDI4" s="1"/>
      <c r="GDJ4" s="1"/>
      <c r="GDK4" s="1"/>
      <c r="GDL4" s="1"/>
      <c r="GDM4" s="1"/>
      <c r="GDN4" s="1"/>
      <c r="GDO4" s="1"/>
      <c r="GDP4" s="1"/>
      <c r="GDQ4" s="1"/>
      <c r="GDR4" s="1"/>
      <c r="GDS4" s="1"/>
      <c r="GDT4" s="1"/>
      <c r="GDU4" s="1"/>
      <c r="GDV4" s="1"/>
      <c r="GDW4" s="1"/>
      <c r="GDX4" s="1"/>
      <c r="GDY4" s="1"/>
      <c r="GDZ4" s="1"/>
      <c r="GEA4" s="1"/>
      <c r="GEB4" s="1"/>
      <c r="GEC4" s="1"/>
      <c r="GED4" s="1"/>
      <c r="GEE4" s="1"/>
      <c r="GEF4" s="1"/>
      <c r="GEG4" s="1"/>
      <c r="GEH4" s="1"/>
      <c r="GEI4" s="1"/>
      <c r="GEJ4" s="1"/>
      <c r="GEK4" s="1"/>
      <c r="GEL4" s="1"/>
      <c r="GEM4" s="1"/>
      <c r="GEN4" s="1"/>
      <c r="GEO4" s="1"/>
      <c r="GEP4" s="1"/>
      <c r="GEQ4" s="1"/>
      <c r="GER4" s="1"/>
      <c r="GES4" s="1"/>
      <c r="GET4" s="1"/>
      <c r="GEU4" s="1"/>
      <c r="GEV4" s="1"/>
      <c r="GEW4" s="1"/>
      <c r="GEX4" s="1"/>
      <c r="GEY4" s="1"/>
      <c r="GEZ4" s="1"/>
      <c r="GFA4" s="1"/>
      <c r="GFB4" s="1"/>
      <c r="GFC4" s="1"/>
      <c r="GFD4" s="1"/>
      <c r="GFE4" s="1"/>
      <c r="GFF4" s="1"/>
      <c r="GFG4" s="1"/>
      <c r="GFH4" s="1"/>
      <c r="GFI4" s="1"/>
      <c r="GFJ4" s="1"/>
      <c r="GFK4" s="1"/>
      <c r="GFL4" s="1"/>
      <c r="GFM4" s="1"/>
      <c r="GFN4" s="1"/>
      <c r="GFO4" s="1"/>
      <c r="GFP4" s="1"/>
      <c r="GFQ4" s="1"/>
      <c r="GFR4" s="1"/>
      <c r="GFS4" s="1"/>
      <c r="GFT4" s="1"/>
      <c r="GFU4" s="1"/>
      <c r="GFV4" s="1"/>
      <c r="GFW4" s="1"/>
      <c r="GFX4" s="1"/>
      <c r="GFY4" s="1"/>
      <c r="GFZ4" s="1"/>
      <c r="GGA4" s="1"/>
      <c r="GGB4" s="1"/>
      <c r="GGC4" s="1"/>
      <c r="GGD4" s="1"/>
      <c r="GGE4" s="1"/>
      <c r="GGF4" s="1"/>
      <c r="GGG4" s="1"/>
      <c r="GGH4" s="1"/>
      <c r="GGI4" s="1"/>
      <c r="GGJ4" s="1"/>
      <c r="GGK4" s="1"/>
      <c r="GGL4" s="1"/>
      <c r="GGM4" s="1"/>
      <c r="GGN4" s="1"/>
      <c r="GGO4" s="1"/>
      <c r="GGP4" s="1"/>
      <c r="GGQ4" s="1"/>
      <c r="GGR4" s="1"/>
      <c r="GGS4" s="1"/>
      <c r="GGT4" s="1"/>
      <c r="GGU4" s="1"/>
      <c r="GGV4" s="1"/>
      <c r="GGW4" s="1"/>
      <c r="GGX4" s="1"/>
      <c r="GGY4" s="1"/>
      <c r="GGZ4" s="1"/>
      <c r="GHA4" s="1"/>
      <c r="GHB4" s="1"/>
      <c r="GHC4" s="1"/>
      <c r="GHD4" s="1"/>
      <c r="GHE4" s="1"/>
      <c r="GHF4" s="1"/>
      <c r="GHG4" s="1"/>
      <c r="GHH4" s="1"/>
      <c r="GHI4" s="1"/>
      <c r="GHJ4" s="1"/>
      <c r="GHK4" s="1"/>
      <c r="GHL4" s="1"/>
      <c r="GHM4" s="1"/>
      <c r="GHN4" s="1"/>
      <c r="GHO4" s="1"/>
      <c r="GHP4" s="1"/>
      <c r="GHQ4" s="1"/>
      <c r="GHR4" s="1"/>
      <c r="GHS4" s="1"/>
      <c r="GHT4" s="1"/>
      <c r="GHU4" s="1"/>
      <c r="GHV4" s="1"/>
      <c r="GHW4" s="1"/>
      <c r="GHX4" s="1"/>
      <c r="GHY4" s="1"/>
      <c r="GHZ4" s="1"/>
      <c r="GIA4" s="1"/>
      <c r="GIB4" s="1"/>
      <c r="GIC4" s="1"/>
      <c r="GID4" s="1"/>
      <c r="GIE4" s="1"/>
      <c r="GIF4" s="1"/>
      <c r="GIG4" s="1"/>
      <c r="GIH4" s="1"/>
      <c r="GII4" s="1"/>
      <c r="GIJ4" s="1"/>
      <c r="GIK4" s="1"/>
      <c r="GIL4" s="1"/>
      <c r="GIM4" s="1"/>
      <c r="GIN4" s="1"/>
      <c r="GIO4" s="1"/>
      <c r="GIP4" s="1"/>
      <c r="GIQ4" s="1"/>
      <c r="GIR4" s="1"/>
      <c r="GIS4" s="1"/>
      <c r="GIT4" s="1"/>
      <c r="GIU4" s="1"/>
      <c r="GIV4" s="1"/>
      <c r="GIW4" s="1"/>
      <c r="GIX4" s="1"/>
      <c r="GIY4" s="1"/>
      <c r="GIZ4" s="1"/>
      <c r="GJA4" s="1"/>
      <c r="GJB4" s="1"/>
      <c r="GJC4" s="1"/>
      <c r="GJD4" s="1"/>
      <c r="GJE4" s="1"/>
      <c r="GJF4" s="1"/>
      <c r="GJG4" s="1"/>
      <c r="GJH4" s="1"/>
      <c r="GJI4" s="1"/>
      <c r="GJJ4" s="1"/>
      <c r="GJK4" s="1"/>
      <c r="GJL4" s="1"/>
      <c r="GJM4" s="1"/>
      <c r="GJN4" s="1"/>
      <c r="GJO4" s="1"/>
      <c r="GJP4" s="1"/>
      <c r="GJQ4" s="1"/>
      <c r="GJR4" s="1"/>
      <c r="GJS4" s="1"/>
      <c r="GJT4" s="1"/>
      <c r="GJU4" s="1"/>
      <c r="GJV4" s="1"/>
      <c r="GJW4" s="1"/>
      <c r="GJX4" s="1"/>
      <c r="GJY4" s="1"/>
      <c r="GJZ4" s="1"/>
      <c r="GKA4" s="1"/>
      <c r="GKB4" s="1"/>
      <c r="GKC4" s="1"/>
      <c r="GKD4" s="1"/>
      <c r="GKE4" s="1"/>
      <c r="GKF4" s="1"/>
      <c r="GKG4" s="1"/>
      <c r="GKH4" s="1"/>
      <c r="GKI4" s="1"/>
      <c r="GKJ4" s="1"/>
      <c r="GKK4" s="1"/>
      <c r="GKL4" s="1"/>
      <c r="GKM4" s="1"/>
      <c r="GKN4" s="1"/>
      <c r="GKO4" s="1"/>
      <c r="GKP4" s="1"/>
      <c r="GKQ4" s="1"/>
      <c r="GKR4" s="1"/>
      <c r="GKS4" s="1"/>
      <c r="GKT4" s="1"/>
      <c r="GKU4" s="1"/>
      <c r="GKV4" s="1"/>
      <c r="GKW4" s="1"/>
      <c r="GKX4" s="1"/>
      <c r="GKY4" s="1"/>
      <c r="GKZ4" s="1"/>
      <c r="GLA4" s="1"/>
      <c r="GLB4" s="1"/>
      <c r="GLC4" s="1"/>
      <c r="GLD4" s="1"/>
      <c r="GLE4" s="1"/>
      <c r="GLF4" s="1"/>
      <c r="GLG4" s="1"/>
      <c r="GLH4" s="1"/>
      <c r="GLI4" s="1"/>
      <c r="GLJ4" s="1"/>
      <c r="GLK4" s="1"/>
      <c r="GLL4" s="1"/>
      <c r="GLM4" s="1"/>
      <c r="GLN4" s="1"/>
      <c r="GLO4" s="1"/>
      <c r="GLP4" s="1"/>
      <c r="GLQ4" s="1"/>
      <c r="GLR4" s="1"/>
      <c r="GLS4" s="1"/>
      <c r="GLT4" s="1"/>
      <c r="GLU4" s="1"/>
      <c r="GLV4" s="1"/>
      <c r="GLW4" s="1"/>
      <c r="GLX4" s="1"/>
      <c r="GLY4" s="1"/>
      <c r="GLZ4" s="1"/>
      <c r="GMA4" s="1"/>
      <c r="GMB4" s="1"/>
      <c r="GMC4" s="1"/>
      <c r="GMD4" s="1"/>
      <c r="GME4" s="1"/>
      <c r="GMF4" s="1"/>
      <c r="GMG4" s="1"/>
      <c r="GMH4" s="1"/>
      <c r="GMI4" s="1"/>
      <c r="GMJ4" s="1"/>
      <c r="GMK4" s="1"/>
      <c r="GML4" s="1"/>
      <c r="GMM4" s="1"/>
      <c r="GMN4" s="1"/>
      <c r="GMO4" s="1"/>
      <c r="GMP4" s="1"/>
      <c r="GMQ4" s="1"/>
      <c r="GMR4" s="1"/>
      <c r="GMS4" s="1"/>
      <c r="GMT4" s="1"/>
      <c r="GMU4" s="1"/>
      <c r="GMV4" s="1"/>
      <c r="GMW4" s="1"/>
      <c r="GMX4" s="1"/>
      <c r="GMY4" s="1"/>
      <c r="GMZ4" s="1"/>
      <c r="GNA4" s="1"/>
      <c r="GNB4" s="1"/>
      <c r="GNC4" s="1"/>
      <c r="GND4" s="1"/>
      <c r="GNE4" s="1"/>
      <c r="GNF4" s="1"/>
      <c r="GNG4" s="1"/>
      <c r="GNH4" s="1"/>
      <c r="GNI4" s="1"/>
      <c r="GNJ4" s="1"/>
      <c r="GNK4" s="1"/>
      <c r="GNL4" s="1"/>
      <c r="GNM4" s="1"/>
      <c r="GNN4" s="1"/>
      <c r="GNO4" s="1"/>
      <c r="GNP4" s="1"/>
      <c r="GNQ4" s="1"/>
      <c r="GNR4" s="1"/>
      <c r="GNS4" s="1"/>
      <c r="GNT4" s="1"/>
      <c r="GNU4" s="1"/>
      <c r="GNV4" s="1"/>
      <c r="GNW4" s="1"/>
      <c r="GNX4" s="1"/>
      <c r="GNY4" s="1"/>
      <c r="GNZ4" s="1"/>
      <c r="GOA4" s="1"/>
      <c r="GOB4" s="1"/>
      <c r="GOC4" s="1"/>
      <c r="GOD4" s="1"/>
      <c r="GOE4" s="1"/>
      <c r="GOF4" s="1"/>
      <c r="GOG4" s="1"/>
      <c r="GOH4" s="1"/>
      <c r="GOI4" s="1"/>
      <c r="GOJ4" s="1"/>
      <c r="GOK4" s="1"/>
      <c r="GOL4" s="1"/>
      <c r="GOM4" s="1"/>
      <c r="GON4" s="1"/>
      <c r="GOO4" s="1"/>
      <c r="GOP4" s="1"/>
      <c r="GOQ4" s="1"/>
      <c r="GOR4" s="1"/>
      <c r="GOS4" s="1"/>
      <c r="GOT4" s="1"/>
      <c r="GOU4" s="1"/>
      <c r="GOV4" s="1"/>
      <c r="GOW4" s="1"/>
      <c r="GOX4" s="1"/>
      <c r="GOY4" s="1"/>
      <c r="GOZ4" s="1"/>
      <c r="GPA4" s="1"/>
      <c r="GPB4" s="1"/>
      <c r="GPC4" s="1"/>
      <c r="GPD4" s="1"/>
      <c r="GPE4" s="1"/>
      <c r="GPF4" s="1"/>
      <c r="GPG4" s="1"/>
      <c r="GPH4" s="1"/>
      <c r="GPI4" s="1"/>
      <c r="GPJ4" s="1"/>
      <c r="GPK4" s="1"/>
      <c r="GPL4" s="1"/>
      <c r="GPM4" s="1"/>
      <c r="GPN4" s="1"/>
      <c r="GPO4" s="1"/>
      <c r="GPP4" s="1"/>
      <c r="GPQ4" s="1"/>
      <c r="GPR4" s="1"/>
      <c r="GPS4" s="1"/>
      <c r="GPT4" s="1"/>
      <c r="GPU4" s="1"/>
      <c r="GPV4" s="1"/>
      <c r="GPW4" s="1"/>
      <c r="GPX4" s="1"/>
      <c r="GPY4" s="1"/>
      <c r="GPZ4" s="1"/>
      <c r="GQA4" s="1"/>
      <c r="GQB4" s="1"/>
      <c r="GQC4" s="1"/>
      <c r="GQD4" s="1"/>
      <c r="GQE4" s="1"/>
      <c r="GQF4" s="1"/>
      <c r="GQG4" s="1"/>
      <c r="GQH4" s="1"/>
      <c r="GQI4" s="1"/>
      <c r="GQJ4" s="1"/>
      <c r="GQK4" s="1"/>
      <c r="GQL4" s="1"/>
      <c r="GQM4" s="1"/>
      <c r="GQN4" s="1"/>
      <c r="GQO4" s="1"/>
      <c r="GQP4" s="1"/>
      <c r="GQQ4" s="1"/>
      <c r="GQR4" s="1"/>
      <c r="GQS4" s="1"/>
      <c r="GQT4" s="1"/>
      <c r="GQU4" s="1"/>
      <c r="GQV4" s="1"/>
      <c r="GQW4" s="1"/>
      <c r="GQX4" s="1"/>
      <c r="GQY4" s="1"/>
      <c r="GQZ4" s="1"/>
      <c r="GRA4" s="1"/>
      <c r="GRB4" s="1"/>
      <c r="GRC4" s="1"/>
      <c r="GRD4" s="1"/>
      <c r="GRE4" s="1"/>
      <c r="GRF4" s="1"/>
      <c r="GRG4" s="1"/>
      <c r="GRH4" s="1"/>
      <c r="GRI4" s="1"/>
      <c r="GRJ4" s="1"/>
      <c r="GRK4" s="1"/>
      <c r="GRL4" s="1"/>
      <c r="GRM4" s="1"/>
      <c r="GRN4" s="1"/>
      <c r="GRO4" s="1"/>
      <c r="GRP4" s="1"/>
      <c r="GRQ4" s="1"/>
      <c r="GRR4" s="1"/>
      <c r="GRS4" s="1"/>
      <c r="GRT4" s="1"/>
      <c r="GRU4" s="1"/>
      <c r="GRV4" s="1"/>
      <c r="GRW4" s="1"/>
      <c r="GRX4" s="1"/>
      <c r="GRY4" s="1"/>
      <c r="GRZ4" s="1"/>
      <c r="GSA4" s="1"/>
      <c r="GSB4" s="1"/>
      <c r="GSC4" s="1"/>
      <c r="GSD4" s="1"/>
      <c r="GSE4" s="1"/>
      <c r="GSF4" s="1"/>
      <c r="GSG4" s="1"/>
      <c r="GSH4" s="1"/>
      <c r="GSI4" s="1"/>
      <c r="GSJ4" s="1"/>
      <c r="GSK4" s="1"/>
      <c r="GSL4" s="1"/>
      <c r="GSM4" s="1"/>
      <c r="GSN4" s="1"/>
      <c r="GSO4" s="1"/>
      <c r="GSP4" s="1"/>
      <c r="GSQ4" s="1"/>
      <c r="GSR4" s="1"/>
      <c r="GSS4" s="1"/>
      <c r="GST4" s="1"/>
      <c r="GSU4" s="1"/>
      <c r="GSV4" s="1"/>
      <c r="GSW4" s="1"/>
      <c r="GSX4" s="1"/>
      <c r="GSY4" s="1"/>
      <c r="GSZ4" s="1"/>
      <c r="GTA4" s="1"/>
      <c r="GTB4" s="1"/>
      <c r="GTC4" s="1"/>
      <c r="GTD4" s="1"/>
      <c r="GTE4" s="1"/>
      <c r="GTF4" s="1"/>
      <c r="GTG4" s="1"/>
      <c r="GTH4" s="1"/>
      <c r="GTI4" s="1"/>
      <c r="GTJ4" s="1"/>
      <c r="GTK4" s="1"/>
      <c r="GTL4" s="1"/>
      <c r="GTM4" s="1"/>
      <c r="GTN4" s="1"/>
      <c r="GTO4" s="1"/>
      <c r="GTP4" s="1"/>
      <c r="GTQ4" s="1"/>
      <c r="GTR4" s="1"/>
      <c r="GTS4" s="1"/>
      <c r="GTT4" s="1"/>
      <c r="GTU4" s="1"/>
      <c r="GTV4" s="1"/>
      <c r="GTW4" s="1"/>
      <c r="GTX4" s="1"/>
      <c r="GTY4" s="1"/>
      <c r="GTZ4" s="1"/>
      <c r="GUA4" s="1"/>
      <c r="GUB4" s="1"/>
      <c r="GUC4" s="1"/>
      <c r="GUD4" s="1"/>
      <c r="GUE4" s="1"/>
      <c r="GUF4" s="1"/>
      <c r="GUG4" s="1"/>
      <c r="GUH4" s="1"/>
      <c r="GUI4" s="1"/>
      <c r="GUJ4" s="1"/>
      <c r="GUK4" s="1"/>
      <c r="GUL4" s="1"/>
      <c r="GUM4" s="1"/>
      <c r="GUN4" s="1"/>
      <c r="GUO4" s="1"/>
      <c r="GUP4" s="1"/>
      <c r="GUQ4" s="1"/>
      <c r="GUR4" s="1"/>
      <c r="GUS4" s="1"/>
      <c r="GUT4" s="1"/>
      <c r="GUU4" s="1"/>
      <c r="GUV4" s="1"/>
      <c r="GUW4" s="1"/>
      <c r="GUX4" s="1"/>
      <c r="GUY4" s="1"/>
      <c r="GUZ4" s="1"/>
      <c r="GVA4" s="1"/>
      <c r="GVB4" s="1"/>
      <c r="GVC4" s="1"/>
      <c r="GVD4" s="1"/>
      <c r="GVE4" s="1"/>
      <c r="GVF4" s="1"/>
      <c r="GVG4" s="1"/>
      <c r="GVH4" s="1"/>
      <c r="GVI4" s="1"/>
      <c r="GVJ4" s="1"/>
      <c r="GVK4" s="1"/>
      <c r="GVL4" s="1"/>
      <c r="GVM4" s="1"/>
      <c r="GVN4" s="1"/>
      <c r="GVO4" s="1"/>
      <c r="GVP4" s="1"/>
      <c r="GVQ4" s="1"/>
      <c r="GVR4" s="1"/>
      <c r="GVS4" s="1"/>
      <c r="GVT4" s="1"/>
      <c r="GVU4" s="1"/>
      <c r="GVV4" s="1"/>
      <c r="GVW4" s="1"/>
      <c r="GVX4" s="1"/>
      <c r="GVY4" s="1"/>
      <c r="GVZ4" s="1"/>
      <c r="GWA4" s="1"/>
      <c r="GWB4" s="1"/>
      <c r="GWC4" s="1"/>
      <c r="GWD4" s="1"/>
      <c r="GWE4" s="1"/>
      <c r="GWF4" s="1"/>
      <c r="GWG4" s="1"/>
      <c r="GWH4" s="1"/>
      <c r="GWI4" s="1"/>
      <c r="GWJ4" s="1"/>
      <c r="GWK4" s="1"/>
      <c r="GWL4" s="1"/>
      <c r="GWM4" s="1"/>
      <c r="GWN4" s="1"/>
      <c r="GWO4" s="1"/>
      <c r="GWP4" s="1"/>
      <c r="GWQ4" s="1"/>
      <c r="GWR4" s="1"/>
      <c r="GWS4" s="1"/>
      <c r="GWT4" s="1"/>
      <c r="GWU4" s="1"/>
      <c r="GWV4" s="1"/>
      <c r="GWW4" s="1"/>
      <c r="GWX4" s="1"/>
      <c r="GWY4" s="1"/>
      <c r="GWZ4" s="1"/>
      <c r="GXA4" s="1"/>
      <c r="GXB4" s="1"/>
      <c r="GXC4" s="1"/>
      <c r="GXD4" s="1"/>
      <c r="GXE4" s="1"/>
      <c r="GXF4" s="1"/>
      <c r="GXG4" s="1"/>
      <c r="GXH4" s="1"/>
      <c r="GXI4" s="1"/>
      <c r="GXJ4" s="1"/>
      <c r="GXK4" s="1"/>
      <c r="GXL4" s="1"/>
      <c r="GXM4" s="1"/>
      <c r="GXN4" s="1"/>
      <c r="GXO4" s="1"/>
      <c r="GXP4" s="1"/>
      <c r="GXQ4" s="1"/>
      <c r="GXR4" s="1"/>
      <c r="GXS4" s="1"/>
      <c r="GXT4" s="1"/>
      <c r="GXU4" s="1"/>
      <c r="GXV4" s="1"/>
      <c r="GXW4" s="1"/>
      <c r="GXX4" s="1"/>
      <c r="GXY4" s="1"/>
      <c r="GXZ4" s="1"/>
      <c r="GYA4" s="1"/>
      <c r="GYB4" s="1"/>
      <c r="GYC4" s="1"/>
      <c r="GYD4" s="1"/>
      <c r="GYE4" s="1"/>
      <c r="GYF4" s="1"/>
      <c r="GYG4" s="1"/>
      <c r="GYH4" s="1"/>
      <c r="GYI4" s="1"/>
      <c r="GYJ4" s="1"/>
      <c r="GYK4" s="1"/>
      <c r="GYL4" s="1"/>
      <c r="GYM4" s="1"/>
      <c r="GYN4" s="1"/>
      <c r="GYO4" s="1"/>
      <c r="GYP4" s="1"/>
      <c r="GYQ4" s="1"/>
      <c r="GYR4" s="1"/>
      <c r="GYS4" s="1"/>
      <c r="GYT4" s="1"/>
      <c r="GYU4" s="1"/>
      <c r="GYV4" s="1"/>
      <c r="GYW4" s="1"/>
      <c r="GYX4" s="1"/>
      <c r="GYY4" s="1"/>
      <c r="GYZ4" s="1"/>
      <c r="GZA4" s="1"/>
      <c r="GZB4" s="1"/>
      <c r="GZC4" s="1"/>
      <c r="GZD4" s="1"/>
      <c r="GZE4" s="1"/>
      <c r="GZF4" s="1"/>
      <c r="GZG4" s="1"/>
      <c r="GZH4" s="1"/>
      <c r="GZI4" s="1"/>
      <c r="GZJ4" s="1"/>
      <c r="GZK4" s="1"/>
      <c r="GZL4" s="1"/>
      <c r="GZM4" s="1"/>
      <c r="GZN4" s="1"/>
      <c r="GZO4" s="1"/>
      <c r="GZP4" s="1"/>
      <c r="GZQ4" s="1"/>
      <c r="GZR4" s="1"/>
      <c r="GZS4" s="1"/>
      <c r="GZT4" s="1"/>
      <c r="GZU4" s="1"/>
      <c r="GZV4" s="1"/>
      <c r="GZW4" s="1"/>
      <c r="GZX4" s="1"/>
      <c r="GZY4" s="1"/>
      <c r="GZZ4" s="1"/>
      <c r="HAA4" s="1"/>
      <c r="HAB4" s="1"/>
      <c r="HAC4" s="1"/>
      <c r="HAD4" s="1"/>
      <c r="HAE4" s="1"/>
      <c r="HAF4" s="1"/>
      <c r="HAG4" s="1"/>
      <c r="HAH4" s="1"/>
      <c r="HAI4" s="1"/>
      <c r="HAJ4" s="1"/>
      <c r="HAK4" s="1"/>
      <c r="HAL4" s="1"/>
      <c r="HAM4" s="1"/>
      <c r="HAN4" s="1"/>
      <c r="HAO4" s="1"/>
      <c r="HAP4" s="1"/>
      <c r="HAQ4" s="1"/>
      <c r="HAR4" s="1"/>
      <c r="HAS4" s="1"/>
      <c r="HAT4" s="1"/>
      <c r="HAU4" s="1"/>
      <c r="HAV4" s="1"/>
      <c r="HAW4" s="1"/>
      <c r="HAX4" s="1"/>
      <c r="HAY4" s="1"/>
      <c r="HAZ4" s="1"/>
      <c r="HBA4" s="1"/>
      <c r="HBB4" s="1"/>
      <c r="HBC4" s="1"/>
      <c r="HBD4" s="1"/>
      <c r="HBE4" s="1"/>
      <c r="HBF4" s="1"/>
      <c r="HBG4" s="1"/>
      <c r="HBH4" s="1"/>
      <c r="HBI4" s="1"/>
      <c r="HBJ4" s="1"/>
      <c r="HBK4" s="1"/>
      <c r="HBL4" s="1"/>
      <c r="HBM4" s="1"/>
      <c r="HBN4" s="1"/>
      <c r="HBO4" s="1"/>
      <c r="HBP4" s="1"/>
      <c r="HBQ4" s="1"/>
      <c r="HBR4" s="1"/>
      <c r="HBS4" s="1"/>
      <c r="HBT4" s="1"/>
      <c r="HBU4" s="1"/>
      <c r="HBV4" s="1"/>
      <c r="HBW4" s="1"/>
      <c r="HBX4" s="1"/>
      <c r="HBY4" s="1"/>
      <c r="HBZ4" s="1"/>
      <c r="HCA4" s="1"/>
      <c r="HCB4" s="1"/>
      <c r="HCC4" s="1"/>
      <c r="HCD4" s="1"/>
      <c r="HCE4" s="1"/>
      <c r="HCF4" s="1"/>
      <c r="HCG4" s="1"/>
      <c r="HCH4" s="1"/>
      <c r="HCI4" s="1"/>
      <c r="HCJ4" s="1"/>
      <c r="HCK4" s="1"/>
      <c r="HCL4" s="1"/>
      <c r="HCM4" s="1"/>
      <c r="HCN4" s="1"/>
      <c r="HCO4" s="1"/>
      <c r="HCP4" s="1"/>
      <c r="HCQ4" s="1"/>
      <c r="HCR4" s="1"/>
      <c r="HCS4" s="1"/>
      <c r="HCT4" s="1"/>
      <c r="HCU4" s="1"/>
      <c r="HCV4" s="1"/>
      <c r="HCW4" s="1"/>
      <c r="HCX4" s="1"/>
      <c r="HCY4" s="1"/>
      <c r="HCZ4" s="1"/>
      <c r="HDA4" s="1"/>
      <c r="HDB4" s="1"/>
      <c r="HDC4" s="1"/>
      <c r="HDD4" s="1"/>
      <c r="HDE4" s="1"/>
      <c r="HDF4" s="1"/>
      <c r="HDG4" s="1"/>
      <c r="HDH4" s="1"/>
      <c r="HDI4" s="1"/>
      <c r="HDJ4" s="1"/>
      <c r="HDK4" s="1"/>
      <c r="HDL4" s="1"/>
      <c r="HDM4" s="1"/>
      <c r="HDN4" s="1"/>
      <c r="HDO4" s="1"/>
      <c r="HDP4" s="1"/>
      <c r="HDQ4" s="1"/>
      <c r="HDR4" s="1"/>
      <c r="HDS4" s="1"/>
      <c r="HDT4" s="1"/>
      <c r="HDU4" s="1"/>
      <c r="HDV4" s="1"/>
      <c r="HDW4" s="1"/>
      <c r="HDX4" s="1"/>
      <c r="HDY4" s="1"/>
      <c r="HDZ4" s="1"/>
      <c r="HEA4" s="1"/>
      <c r="HEB4" s="1"/>
      <c r="HEC4" s="1"/>
      <c r="HED4" s="1"/>
      <c r="HEE4" s="1"/>
      <c r="HEF4" s="1"/>
      <c r="HEG4" s="1"/>
      <c r="HEH4" s="1"/>
      <c r="HEI4" s="1"/>
      <c r="HEJ4" s="1"/>
      <c r="HEK4" s="1"/>
      <c r="HEL4" s="1"/>
      <c r="HEM4" s="1"/>
      <c r="HEN4" s="1"/>
      <c r="HEO4" s="1"/>
      <c r="HEP4" s="1"/>
      <c r="HEQ4" s="1"/>
      <c r="HER4" s="1"/>
      <c r="HES4" s="1"/>
      <c r="HET4" s="1"/>
      <c r="HEU4" s="1"/>
      <c r="HEV4" s="1"/>
      <c r="HEW4" s="1"/>
      <c r="HEX4" s="1"/>
      <c r="HEY4" s="1"/>
      <c r="HEZ4" s="1"/>
      <c r="HFA4" s="1"/>
      <c r="HFB4" s="1"/>
      <c r="HFC4" s="1"/>
      <c r="HFD4" s="1"/>
      <c r="HFE4" s="1"/>
      <c r="HFF4" s="1"/>
      <c r="HFG4" s="1"/>
      <c r="HFH4" s="1"/>
      <c r="HFI4" s="1"/>
      <c r="HFJ4" s="1"/>
      <c r="HFK4" s="1"/>
      <c r="HFL4" s="1"/>
      <c r="HFM4" s="1"/>
      <c r="HFN4" s="1"/>
      <c r="HFO4" s="1"/>
      <c r="HFP4" s="1"/>
      <c r="HFQ4" s="1"/>
      <c r="HFR4" s="1"/>
      <c r="HFS4" s="1"/>
      <c r="HFT4" s="1"/>
      <c r="HFU4" s="1"/>
      <c r="HFV4" s="1"/>
      <c r="HFW4" s="1"/>
      <c r="HFX4" s="1"/>
      <c r="HFY4" s="1"/>
      <c r="HFZ4" s="1"/>
      <c r="HGA4" s="1"/>
      <c r="HGB4" s="1"/>
      <c r="HGC4" s="1"/>
      <c r="HGD4" s="1"/>
      <c r="HGE4" s="1"/>
      <c r="HGF4" s="1"/>
      <c r="HGG4" s="1"/>
      <c r="HGH4" s="1"/>
      <c r="HGI4" s="1"/>
      <c r="HGJ4" s="1"/>
      <c r="HGK4" s="1"/>
      <c r="HGL4" s="1"/>
      <c r="HGM4" s="1"/>
      <c r="HGN4" s="1"/>
      <c r="HGO4" s="1"/>
      <c r="HGP4" s="1"/>
      <c r="HGQ4" s="1"/>
      <c r="HGR4" s="1"/>
      <c r="HGS4" s="1"/>
      <c r="HGT4" s="1"/>
      <c r="HGU4" s="1"/>
      <c r="HGV4" s="1"/>
      <c r="HGW4" s="1"/>
      <c r="HGX4" s="1"/>
      <c r="HGY4" s="1"/>
      <c r="HGZ4" s="1"/>
      <c r="HHA4" s="1"/>
      <c r="HHB4" s="1"/>
      <c r="HHC4" s="1"/>
      <c r="HHD4" s="1"/>
      <c r="HHE4" s="1"/>
      <c r="HHF4" s="1"/>
      <c r="HHG4" s="1"/>
      <c r="HHH4" s="1"/>
      <c r="HHI4" s="1"/>
      <c r="HHJ4" s="1"/>
      <c r="HHK4" s="1"/>
      <c r="HHL4" s="1"/>
      <c r="HHM4" s="1"/>
      <c r="HHN4" s="1"/>
      <c r="HHO4" s="1"/>
      <c r="HHP4" s="1"/>
      <c r="HHQ4" s="1"/>
      <c r="HHR4" s="1"/>
      <c r="HHS4" s="1"/>
      <c r="HHT4" s="1"/>
      <c r="HHU4" s="1"/>
      <c r="HHV4" s="1"/>
      <c r="HHW4" s="1"/>
      <c r="HHX4" s="1"/>
      <c r="HHY4" s="1"/>
      <c r="HHZ4" s="1"/>
      <c r="HIA4" s="1"/>
      <c r="HIB4" s="1"/>
      <c r="HIC4" s="1"/>
      <c r="HID4" s="1"/>
      <c r="HIE4" s="1"/>
      <c r="HIF4" s="1"/>
      <c r="HIG4" s="1"/>
      <c r="HIH4" s="1"/>
      <c r="HII4" s="1"/>
      <c r="HIJ4" s="1"/>
      <c r="HIK4" s="1"/>
      <c r="HIL4" s="1"/>
      <c r="HIM4" s="1"/>
      <c r="HIN4" s="1"/>
      <c r="HIO4" s="1"/>
      <c r="HIP4" s="1"/>
      <c r="HIQ4" s="1"/>
      <c r="HIR4" s="1"/>
      <c r="HIS4" s="1"/>
      <c r="HIT4" s="1"/>
      <c r="HIU4" s="1"/>
      <c r="HIV4" s="1"/>
      <c r="HIW4" s="1"/>
      <c r="HIX4" s="1"/>
      <c r="HIY4" s="1"/>
      <c r="HIZ4" s="1"/>
      <c r="HJA4" s="1"/>
      <c r="HJB4" s="1"/>
      <c r="HJC4" s="1"/>
      <c r="HJD4" s="1"/>
      <c r="HJE4" s="1"/>
      <c r="HJF4" s="1"/>
      <c r="HJG4" s="1"/>
      <c r="HJH4" s="1"/>
      <c r="HJI4" s="1"/>
      <c r="HJJ4" s="1"/>
      <c r="HJK4" s="1"/>
      <c r="HJL4" s="1"/>
      <c r="HJM4" s="1"/>
      <c r="HJN4" s="1"/>
      <c r="HJO4" s="1"/>
      <c r="HJP4" s="1"/>
      <c r="HJQ4" s="1"/>
      <c r="HJR4" s="1"/>
      <c r="HJS4" s="1"/>
      <c r="HJT4" s="1"/>
      <c r="HJU4" s="1"/>
      <c r="HJV4" s="1"/>
      <c r="HJW4" s="1"/>
      <c r="HJX4" s="1"/>
      <c r="HJY4" s="1"/>
      <c r="HJZ4" s="1"/>
      <c r="HKA4" s="1"/>
      <c r="HKB4" s="1"/>
      <c r="HKC4" s="1"/>
      <c r="HKD4" s="1"/>
      <c r="HKE4" s="1"/>
      <c r="HKF4" s="1"/>
      <c r="HKG4" s="1"/>
      <c r="HKH4" s="1"/>
      <c r="HKI4" s="1"/>
      <c r="HKJ4" s="1"/>
      <c r="HKK4" s="1"/>
      <c r="HKL4" s="1"/>
      <c r="HKM4" s="1"/>
      <c r="HKN4" s="1"/>
      <c r="HKO4" s="1"/>
      <c r="HKP4" s="1"/>
      <c r="HKQ4" s="1"/>
      <c r="HKR4" s="1"/>
      <c r="HKS4" s="1"/>
      <c r="HKT4" s="1"/>
      <c r="HKU4" s="1"/>
      <c r="HKV4" s="1"/>
      <c r="HKW4" s="1"/>
      <c r="HKX4" s="1"/>
      <c r="HKY4" s="1"/>
      <c r="HKZ4" s="1"/>
      <c r="HLA4" s="1"/>
      <c r="HLB4" s="1"/>
      <c r="HLC4" s="1"/>
      <c r="HLD4" s="1"/>
      <c r="HLE4" s="1"/>
      <c r="HLF4" s="1"/>
      <c r="HLG4" s="1"/>
      <c r="HLH4" s="1"/>
      <c r="HLI4" s="1"/>
      <c r="HLJ4" s="1"/>
      <c r="HLK4" s="1"/>
      <c r="HLL4" s="1"/>
      <c r="HLM4" s="1"/>
      <c r="HLN4" s="1"/>
      <c r="HLO4" s="1"/>
      <c r="HLP4" s="1"/>
      <c r="HLQ4" s="1"/>
      <c r="HLR4" s="1"/>
      <c r="HLS4" s="1"/>
      <c r="HLT4" s="1"/>
      <c r="HLU4" s="1"/>
      <c r="HLV4" s="1"/>
      <c r="HLW4" s="1"/>
      <c r="HLX4" s="1"/>
      <c r="HLY4" s="1"/>
      <c r="HLZ4" s="1"/>
      <c r="HMA4" s="1"/>
      <c r="HMB4" s="1"/>
      <c r="HMC4" s="1"/>
      <c r="HMD4" s="1"/>
      <c r="HME4" s="1"/>
      <c r="HMF4" s="1"/>
      <c r="HMG4" s="1"/>
      <c r="HMH4" s="1"/>
      <c r="HMI4" s="1"/>
      <c r="HMJ4" s="1"/>
      <c r="HMK4" s="1"/>
      <c r="HML4" s="1"/>
      <c r="HMM4" s="1"/>
      <c r="HMN4" s="1"/>
      <c r="HMO4" s="1"/>
      <c r="HMP4" s="1"/>
      <c r="HMQ4" s="1"/>
      <c r="HMR4" s="1"/>
      <c r="HMS4" s="1"/>
      <c r="HMT4" s="1"/>
      <c r="HMU4" s="1"/>
      <c r="HMV4" s="1"/>
      <c r="HMW4" s="1"/>
      <c r="HMX4" s="1"/>
      <c r="HMY4" s="1"/>
      <c r="HMZ4" s="1"/>
      <c r="HNA4" s="1"/>
      <c r="HNB4" s="1"/>
      <c r="HNC4" s="1"/>
      <c r="HND4" s="1"/>
      <c r="HNE4" s="1"/>
      <c r="HNF4" s="1"/>
      <c r="HNG4" s="1"/>
      <c r="HNH4" s="1"/>
      <c r="HNI4" s="1"/>
      <c r="HNJ4" s="1"/>
      <c r="HNK4" s="1"/>
      <c r="HNL4" s="1"/>
      <c r="HNM4" s="1"/>
      <c r="HNN4" s="1"/>
      <c r="HNO4" s="1"/>
      <c r="HNP4" s="1"/>
      <c r="HNQ4" s="1"/>
      <c r="HNR4" s="1"/>
      <c r="HNS4" s="1"/>
      <c r="HNT4" s="1"/>
      <c r="HNU4" s="1"/>
      <c r="HNV4" s="1"/>
      <c r="HNW4" s="1"/>
      <c r="HNX4" s="1"/>
      <c r="HNY4" s="1"/>
      <c r="HNZ4" s="1"/>
      <c r="HOA4" s="1"/>
      <c r="HOB4" s="1"/>
      <c r="HOC4" s="1"/>
      <c r="HOD4" s="1"/>
      <c r="HOE4" s="1"/>
      <c r="HOF4" s="1"/>
      <c r="HOG4" s="1"/>
      <c r="HOH4" s="1"/>
      <c r="HOI4" s="1"/>
      <c r="HOJ4" s="1"/>
      <c r="HOK4" s="1"/>
      <c r="HOL4" s="1"/>
      <c r="HOM4" s="1"/>
      <c r="HON4" s="1"/>
      <c r="HOO4" s="1"/>
      <c r="HOP4" s="1"/>
      <c r="HOQ4" s="1"/>
      <c r="HOR4" s="1"/>
      <c r="HOS4" s="1"/>
      <c r="HOT4" s="1"/>
      <c r="HOU4" s="1"/>
      <c r="HOV4" s="1"/>
      <c r="HOW4" s="1"/>
      <c r="HOX4" s="1"/>
      <c r="HOY4" s="1"/>
      <c r="HOZ4" s="1"/>
      <c r="HPA4" s="1"/>
      <c r="HPB4" s="1"/>
      <c r="HPC4" s="1"/>
      <c r="HPD4" s="1"/>
      <c r="HPE4" s="1"/>
      <c r="HPF4" s="1"/>
      <c r="HPG4" s="1"/>
      <c r="HPH4" s="1"/>
      <c r="HPI4" s="1"/>
      <c r="HPJ4" s="1"/>
      <c r="HPK4" s="1"/>
      <c r="HPL4" s="1"/>
      <c r="HPM4" s="1"/>
      <c r="HPN4" s="1"/>
      <c r="HPO4" s="1"/>
      <c r="HPP4" s="1"/>
      <c r="HPQ4" s="1"/>
      <c r="HPR4" s="1"/>
      <c r="HPS4" s="1"/>
      <c r="HPT4" s="1"/>
      <c r="HPU4" s="1"/>
      <c r="HPV4" s="1"/>
      <c r="HPW4" s="1"/>
      <c r="HPX4" s="1"/>
      <c r="HPY4" s="1"/>
      <c r="HPZ4" s="1"/>
      <c r="HQA4" s="1"/>
      <c r="HQB4" s="1"/>
      <c r="HQC4" s="1"/>
      <c r="HQD4" s="1"/>
      <c r="HQE4" s="1"/>
      <c r="HQF4" s="1"/>
      <c r="HQG4" s="1"/>
      <c r="HQH4" s="1"/>
      <c r="HQI4" s="1"/>
      <c r="HQJ4" s="1"/>
      <c r="HQK4" s="1"/>
      <c r="HQL4" s="1"/>
      <c r="HQM4" s="1"/>
      <c r="HQN4" s="1"/>
      <c r="HQO4" s="1"/>
      <c r="HQP4" s="1"/>
      <c r="HQQ4" s="1"/>
      <c r="HQR4" s="1"/>
      <c r="HQS4" s="1"/>
      <c r="HQT4" s="1"/>
      <c r="HQU4" s="1"/>
      <c r="HQV4" s="1"/>
      <c r="HQW4" s="1"/>
      <c r="HQX4" s="1"/>
      <c r="HQY4" s="1"/>
      <c r="HQZ4" s="1"/>
      <c r="HRA4" s="1"/>
      <c r="HRB4" s="1"/>
      <c r="HRC4" s="1"/>
      <c r="HRD4" s="1"/>
      <c r="HRE4" s="1"/>
      <c r="HRF4" s="1"/>
      <c r="HRG4" s="1"/>
      <c r="HRH4" s="1"/>
      <c r="HRI4" s="1"/>
      <c r="HRJ4" s="1"/>
      <c r="HRK4" s="1"/>
      <c r="HRL4" s="1"/>
      <c r="HRM4" s="1"/>
      <c r="HRN4" s="1"/>
      <c r="HRO4" s="1"/>
      <c r="HRP4" s="1"/>
      <c r="HRQ4" s="1"/>
      <c r="HRR4" s="1"/>
      <c r="HRS4" s="1"/>
      <c r="HRT4" s="1"/>
      <c r="HRU4" s="1"/>
      <c r="HRV4" s="1"/>
      <c r="HRW4" s="1"/>
      <c r="HRX4" s="1"/>
      <c r="HRY4" s="1"/>
      <c r="HRZ4" s="1"/>
      <c r="HSA4" s="1"/>
      <c r="HSB4" s="1"/>
      <c r="HSC4" s="1"/>
      <c r="HSD4" s="1"/>
      <c r="HSE4" s="1"/>
      <c r="HSF4" s="1"/>
      <c r="HSG4" s="1"/>
      <c r="HSH4" s="1"/>
      <c r="HSI4" s="1"/>
      <c r="HSJ4" s="1"/>
      <c r="HSK4" s="1"/>
      <c r="HSL4" s="1"/>
      <c r="HSM4" s="1"/>
      <c r="HSN4" s="1"/>
      <c r="HSO4" s="1"/>
      <c r="HSP4" s="1"/>
      <c r="HSQ4" s="1"/>
      <c r="HSR4" s="1"/>
      <c r="HSS4" s="1"/>
      <c r="HST4" s="1"/>
      <c r="HSU4" s="1"/>
      <c r="HSV4" s="1"/>
      <c r="HSW4" s="1"/>
      <c r="HSX4" s="1"/>
      <c r="HSY4" s="1"/>
      <c r="HSZ4" s="1"/>
      <c r="HTA4" s="1"/>
      <c r="HTB4" s="1"/>
      <c r="HTC4" s="1"/>
      <c r="HTD4" s="1"/>
      <c r="HTE4" s="1"/>
      <c r="HTF4" s="1"/>
      <c r="HTG4" s="1"/>
      <c r="HTH4" s="1"/>
      <c r="HTI4" s="1"/>
      <c r="HTJ4" s="1"/>
      <c r="HTK4" s="1"/>
      <c r="HTL4" s="1"/>
      <c r="HTM4" s="1"/>
      <c r="HTN4" s="1"/>
      <c r="HTO4" s="1"/>
      <c r="HTP4" s="1"/>
      <c r="HTQ4" s="1"/>
      <c r="HTR4" s="1"/>
      <c r="HTS4" s="1"/>
      <c r="HTT4" s="1"/>
      <c r="HTU4" s="1"/>
      <c r="HTV4" s="1"/>
      <c r="HTW4" s="1"/>
      <c r="HTX4" s="1"/>
      <c r="HTY4" s="1"/>
      <c r="HTZ4" s="1"/>
      <c r="HUA4" s="1"/>
      <c r="HUB4" s="1"/>
      <c r="HUC4" s="1"/>
      <c r="HUD4" s="1"/>
      <c r="HUE4" s="1"/>
      <c r="HUF4" s="1"/>
      <c r="HUG4" s="1"/>
      <c r="HUH4" s="1"/>
      <c r="HUI4" s="1"/>
      <c r="HUJ4" s="1"/>
      <c r="HUK4" s="1"/>
      <c r="HUL4" s="1"/>
      <c r="HUM4" s="1"/>
      <c r="HUN4" s="1"/>
      <c r="HUO4" s="1"/>
      <c r="HUP4" s="1"/>
      <c r="HUQ4" s="1"/>
      <c r="HUR4" s="1"/>
      <c r="HUS4" s="1"/>
      <c r="HUT4" s="1"/>
      <c r="HUU4" s="1"/>
      <c r="HUV4" s="1"/>
      <c r="HUW4" s="1"/>
      <c r="HUX4" s="1"/>
      <c r="HUY4" s="1"/>
      <c r="HUZ4" s="1"/>
      <c r="HVA4" s="1"/>
      <c r="HVB4" s="1"/>
      <c r="HVC4" s="1"/>
      <c r="HVD4" s="1"/>
      <c r="HVE4" s="1"/>
      <c r="HVF4" s="1"/>
      <c r="HVG4" s="1"/>
      <c r="HVH4" s="1"/>
      <c r="HVI4" s="1"/>
      <c r="HVJ4" s="1"/>
      <c r="HVK4" s="1"/>
      <c r="HVL4" s="1"/>
      <c r="HVM4" s="1"/>
      <c r="HVN4" s="1"/>
      <c r="HVO4" s="1"/>
      <c r="HVP4" s="1"/>
      <c r="HVQ4" s="1"/>
      <c r="HVR4" s="1"/>
      <c r="HVS4" s="1"/>
      <c r="HVT4" s="1"/>
      <c r="HVU4" s="1"/>
      <c r="HVV4" s="1"/>
      <c r="HVW4" s="1"/>
      <c r="HVX4" s="1"/>
      <c r="HVY4" s="1"/>
      <c r="HVZ4" s="1"/>
      <c r="HWA4" s="1"/>
      <c r="HWB4" s="1"/>
      <c r="HWC4" s="1"/>
      <c r="HWD4" s="1"/>
      <c r="HWE4" s="1"/>
      <c r="HWF4" s="1"/>
      <c r="HWG4" s="1"/>
      <c r="HWH4" s="1"/>
      <c r="HWI4" s="1"/>
      <c r="HWJ4" s="1"/>
      <c r="HWK4" s="1"/>
      <c r="HWL4" s="1"/>
      <c r="HWM4" s="1"/>
      <c r="HWN4" s="1"/>
      <c r="HWO4" s="1"/>
      <c r="HWP4" s="1"/>
      <c r="HWQ4" s="1"/>
      <c r="HWR4" s="1"/>
      <c r="HWS4" s="1"/>
      <c r="HWT4" s="1"/>
      <c r="HWU4" s="1"/>
      <c r="HWV4" s="1"/>
      <c r="HWW4" s="1"/>
      <c r="HWX4" s="1"/>
      <c r="HWY4" s="1"/>
      <c r="HWZ4" s="1"/>
      <c r="HXA4" s="1"/>
      <c r="HXB4" s="1"/>
      <c r="HXC4" s="1"/>
      <c r="HXD4" s="1"/>
      <c r="HXE4" s="1"/>
      <c r="HXF4" s="1"/>
      <c r="HXG4" s="1"/>
      <c r="HXH4" s="1"/>
      <c r="HXI4" s="1"/>
      <c r="HXJ4" s="1"/>
      <c r="HXK4" s="1"/>
      <c r="HXL4" s="1"/>
      <c r="HXM4" s="1"/>
      <c r="HXN4" s="1"/>
      <c r="HXO4" s="1"/>
      <c r="HXP4" s="1"/>
      <c r="HXQ4" s="1"/>
      <c r="HXR4" s="1"/>
      <c r="HXS4" s="1"/>
      <c r="HXT4" s="1"/>
      <c r="HXU4" s="1"/>
      <c r="HXV4" s="1"/>
      <c r="HXW4" s="1"/>
      <c r="HXX4" s="1"/>
      <c r="HXY4" s="1"/>
      <c r="HXZ4" s="1"/>
      <c r="HYA4" s="1"/>
      <c r="HYB4" s="1"/>
      <c r="HYC4" s="1"/>
      <c r="HYD4" s="1"/>
      <c r="HYE4" s="1"/>
      <c r="HYF4" s="1"/>
      <c r="HYG4" s="1"/>
      <c r="HYH4" s="1"/>
      <c r="HYI4" s="1"/>
      <c r="HYJ4" s="1"/>
      <c r="HYK4" s="1"/>
      <c r="HYL4" s="1"/>
      <c r="HYM4" s="1"/>
      <c r="HYN4" s="1"/>
      <c r="HYO4" s="1"/>
      <c r="HYP4" s="1"/>
      <c r="HYQ4" s="1"/>
      <c r="HYR4" s="1"/>
      <c r="HYS4" s="1"/>
      <c r="HYT4" s="1"/>
      <c r="HYU4" s="1"/>
      <c r="HYV4" s="1"/>
      <c r="HYW4" s="1"/>
      <c r="HYX4" s="1"/>
      <c r="HYY4" s="1"/>
      <c r="HYZ4" s="1"/>
      <c r="HZA4" s="1"/>
      <c r="HZB4" s="1"/>
      <c r="HZC4" s="1"/>
      <c r="HZD4" s="1"/>
      <c r="HZE4" s="1"/>
      <c r="HZF4" s="1"/>
      <c r="HZG4" s="1"/>
      <c r="HZH4" s="1"/>
      <c r="HZI4" s="1"/>
      <c r="HZJ4" s="1"/>
      <c r="HZK4" s="1"/>
      <c r="HZL4" s="1"/>
      <c r="HZM4" s="1"/>
      <c r="HZN4" s="1"/>
      <c r="HZO4" s="1"/>
      <c r="HZP4" s="1"/>
      <c r="HZQ4" s="1"/>
      <c r="HZR4" s="1"/>
      <c r="HZS4" s="1"/>
      <c r="HZT4" s="1"/>
      <c r="HZU4" s="1"/>
      <c r="HZV4" s="1"/>
      <c r="HZW4" s="1"/>
      <c r="HZX4" s="1"/>
      <c r="HZY4" s="1"/>
      <c r="HZZ4" s="1"/>
      <c r="IAA4" s="1"/>
      <c r="IAB4" s="1"/>
      <c r="IAC4" s="1"/>
      <c r="IAD4" s="1"/>
      <c r="IAE4" s="1"/>
      <c r="IAF4" s="1"/>
      <c r="IAG4" s="1"/>
      <c r="IAH4" s="1"/>
      <c r="IAI4" s="1"/>
      <c r="IAJ4" s="1"/>
      <c r="IAK4" s="1"/>
      <c r="IAL4" s="1"/>
      <c r="IAM4" s="1"/>
      <c r="IAN4" s="1"/>
      <c r="IAO4" s="1"/>
      <c r="IAP4" s="1"/>
      <c r="IAQ4" s="1"/>
      <c r="IAR4" s="1"/>
      <c r="IAS4" s="1"/>
      <c r="IAT4" s="1"/>
      <c r="IAU4" s="1"/>
      <c r="IAV4" s="1"/>
      <c r="IAW4" s="1"/>
      <c r="IAX4" s="1"/>
      <c r="IAY4" s="1"/>
      <c r="IAZ4" s="1"/>
      <c r="IBA4" s="1"/>
      <c r="IBB4" s="1"/>
      <c r="IBC4" s="1"/>
      <c r="IBD4" s="1"/>
      <c r="IBE4" s="1"/>
      <c r="IBF4" s="1"/>
      <c r="IBG4" s="1"/>
      <c r="IBH4" s="1"/>
      <c r="IBI4" s="1"/>
      <c r="IBJ4" s="1"/>
      <c r="IBK4" s="1"/>
      <c r="IBL4" s="1"/>
      <c r="IBM4" s="1"/>
      <c r="IBN4" s="1"/>
      <c r="IBO4" s="1"/>
      <c r="IBP4" s="1"/>
      <c r="IBQ4" s="1"/>
      <c r="IBR4" s="1"/>
      <c r="IBS4" s="1"/>
      <c r="IBT4" s="1"/>
      <c r="IBU4" s="1"/>
      <c r="IBV4" s="1"/>
      <c r="IBW4" s="1"/>
      <c r="IBX4" s="1"/>
      <c r="IBY4" s="1"/>
      <c r="IBZ4" s="1"/>
      <c r="ICA4" s="1"/>
      <c r="ICB4" s="1"/>
      <c r="ICC4" s="1"/>
      <c r="ICD4" s="1"/>
      <c r="ICE4" s="1"/>
      <c r="ICF4" s="1"/>
      <c r="ICG4" s="1"/>
      <c r="ICH4" s="1"/>
      <c r="ICI4" s="1"/>
      <c r="ICJ4" s="1"/>
      <c r="ICK4" s="1"/>
      <c r="ICL4" s="1"/>
      <c r="ICM4" s="1"/>
      <c r="ICN4" s="1"/>
      <c r="ICO4" s="1"/>
      <c r="ICP4" s="1"/>
      <c r="ICQ4" s="1"/>
      <c r="ICR4" s="1"/>
      <c r="ICS4" s="1"/>
      <c r="ICT4" s="1"/>
      <c r="ICU4" s="1"/>
      <c r="ICV4" s="1"/>
      <c r="ICW4" s="1"/>
      <c r="ICX4" s="1"/>
      <c r="ICY4" s="1"/>
      <c r="ICZ4" s="1"/>
      <c r="IDA4" s="1"/>
      <c r="IDB4" s="1"/>
      <c r="IDC4" s="1"/>
      <c r="IDD4" s="1"/>
      <c r="IDE4" s="1"/>
      <c r="IDF4" s="1"/>
      <c r="IDG4" s="1"/>
      <c r="IDH4" s="1"/>
      <c r="IDI4" s="1"/>
      <c r="IDJ4" s="1"/>
      <c r="IDK4" s="1"/>
      <c r="IDL4" s="1"/>
      <c r="IDM4" s="1"/>
      <c r="IDN4" s="1"/>
      <c r="IDO4" s="1"/>
      <c r="IDP4" s="1"/>
      <c r="IDQ4" s="1"/>
      <c r="IDR4" s="1"/>
      <c r="IDS4" s="1"/>
      <c r="IDT4" s="1"/>
      <c r="IDU4" s="1"/>
      <c r="IDV4" s="1"/>
      <c r="IDW4" s="1"/>
      <c r="IDX4" s="1"/>
      <c r="IDY4" s="1"/>
      <c r="IDZ4" s="1"/>
      <c r="IEA4" s="1"/>
      <c r="IEB4" s="1"/>
      <c r="IEC4" s="1"/>
      <c r="IED4" s="1"/>
      <c r="IEE4" s="1"/>
      <c r="IEF4" s="1"/>
      <c r="IEG4" s="1"/>
      <c r="IEH4" s="1"/>
      <c r="IEI4" s="1"/>
      <c r="IEJ4" s="1"/>
      <c r="IEK4" s="1"/>
      <c r="IEL4" s="1"/>
      <c r="IEM4" s="1"/>
      <c r="IEN4" s="1"/>
      <c r="IEO4" s="1"/>
      <c r="IEP4" s="1"/>
      <c r="IEQ4" s="1"/>
      <c r="IER4" s="1"/>
      <c r="IES4" s="1"/>
      <c r="IET4" s="1"/>
      <c r="IEU4" s="1"/>
      <c r="IEV4" s="1"/>
      <c r="IEW4" s="1"/>
      <c r="IEX4" s="1"/>
      <c r="IEY4" s="1"/>
      <c r="IEZ4" s="1"/>
      <c r="IFA4" s="1"/>
      <c r="IFB4" s="1"/>
      <c r="IFC4" s="1"/>
      <c r="IFD4" s="1"/>
      <c r="IFE4" s="1"/>
      <c r="IFF4" s="1"/>
      <c r="IFG4" s="1"/>
      <c r="IFH4" s="1"/>
      <c r="IFI4" s="1"/>
      <c r="IFJ4" s="1"/>
      <c r="IFK4" s="1"/>
      <c r="IFL4" s="1"/>
      <c r="IFM4" s="1"/>
      <c r="IFN4" s="1"/>
      <c r="IFO4" s="1"/>
      <c r="IFP4" s="1"/>
      <c r="IFQ4" s="1"/>
      <c r="IFR4" s="1"/>
      <c r="IFS4" s="1"/>
      <c r="IFT4" s="1"/>
      <c r="IFU4" s="1"/>
      <c r="IFV4" s="1"/>
      <c r="IFW4" s="1"/>
      <c r="IFX4" s="1"/>
      <c r="IFY4" s="1"/>
      <c r="IFZ4" s="1"/>
      <c r="IGA4" s="1"/>
      <c r="IGB4" s="1"/>
      <c r="IGC4" s="1"/>
      <c r="IGD4" s="1"/>
      <c r="IGE4" s="1"/>
      <c r="IGF4" s="1"/>
      <c r="IGG4" s="1"/>
      <c r="IGH4" s="1"/>
      <c r="IGI4" s="1"/>
      <c r="IGJ4" s="1"/>
      <c r="IGK4" s="1"/>
      <c r="IGL4" s="1"/>
      <c r="IGM4" s="1"/>
      <c r="IGN4" s="1"/>
      <c r="IGO4" s="1"/>
      <c r="IGP4" s="1"/>
      <c r="IGQ4" s="1"/>
      <c r="IGR4" s="1"/>
      <c r="IGS4" s="1"/>
      <c r="IGT4" s="1"/>
      <c r="IGU4" s="1"/>
      <c r="IGV4" s="1"/>
      <c r="IGW4" s="1"/>
      <c r="IGX4" s="1"/>
      <c r="IGY4" s="1"/>
      <c r="IGZ4" s="1"/>
      <c r="IHA4" s="1"/>
      <c r="IHB4" s="1"/>
      <c r="IHC4" s="1"/>
      <c r="IHD4" s="1"/>
      <c r="IHE4" s="1"/>
      <c r="IHF4" s="1"/>
      <c r="IHG4" s="1"/>
      <c r="IHH4" s="1"/>
      <c r="IHI4" s="1"/>
      <c r="IHJ4" s="1"/>
      <c r="IHK4" s="1"/>
      <c r="IHL4" s="1"/>
      <c r="IHM4" s="1"/>
      <c r="IHN4" s="1"/>
      <c r="IHO4" s="1"/>
      <c r="IHP4" s="1"/>
      <c r="IHQ4" s="1"/>
      <c r="IHR4" s="1"/>
      <c r="IHS4" s="1"/>
      <c r="IHT4" s="1"/>
      <c r="IHU4" s="1"/>
      <c r="IHV4" s="1"/>
      <c r="IHW4" s="1"/>
      <c r="IHX4" s="1"/>
      <c r="IHY4" s="1"/>
      <c r="IHZ4" s="1"/>
      <c r="IIA4" s="1"/>
      <c r="IIB4" s="1"/>
      <c r="IIC4" s="1"/>
      <c r="IID4" s="1"/>
      <c r="IIE4" s="1"/>
      <c r="IIF4" s="1"/>
      <c r="IIG4" s="1"/>
      <c r="IIH4" s="1"/>
      <c r="III4" s="1"/>
      <c r="IIJ4" s="1"/>
      <c r="IIK4" s="1"/>
      <c r="IIL4" s="1"/>
      <c r="IIM4" s="1"/>
      <c r="IIN4" s="1"/>
      <c r="IIO4" s="1"/>
      <c r="IIP4" s="1"/>
      <c r="IIQ4" s="1"/>
      <c r="IIR4" s="1"/>
      <c r="IIS4" s="1"/>
      <c r="IIT4" s="1"/>
      <c r="IIU4" s="1"/>
      <c r="IIV4" s="1"/>
      <c r="IIW4" s="1"/>
      <c r="IIX4" s="1"/>
      <c r="IIY4" s="1"/>
      <c r="IIZ4" s="1"/>
      <c r="IJA4" s="1"/>
      <c r="IJB4" s="1"/>
      <c r="IJC4" s="1"/>
      <c r="IJD4" s="1"/>
      <c r="IJE4" s="1"/>
      <c r="IJF4" s="1"/>
      <c r="IJG4" s="1"/>
      <c r="IJH4" s="1"/>
      <c r="IJI4" s="1"/>
      <c r="IJJ4" s="1"/>
      <c r="IJK4" s="1"/>
      <c r="IJL4" s="1"/>
      <c r="IJM4" s="1"/>
      <c r="IJN4" s="1"/>
      <c r="IJO4" s="1"/>
      <c r="IJP4" s="1"/>
      <c r="IJQ4" s="1"/>
      <c r="IJR4" s="1"/>
      <c r="IJS4" s="1"/>
      <c r="IJT4" s="1"/>
      <c r="IJU4" s="1"/>
      <c r="IJV4" s="1"/>
      <c r="IJW4" s="1"/>
      <c r="IJX4" s="1"/>
      <c r="IJY4" s="1"/>
      <c r="IJZ4" s="1"/>
      <c r="IKA4" s="1"/>
      <c r="IKB4" s="1"/>
      <c r="IKC4" s="1"/>
      <c r="IKD4" s="1"/>
      <c r="IKE4" s="1"/>
      <c r="IKF4" s="1"/>
      <c r="IKG4" s="1"/>
      <c r="IKH4" s="1"/>
      <c r="IKI4" s="1"/>
      <c r="IKJ4" s="1"/>
      <c r="IKK4" s="1"/>
      <c r="IKL4" s="1"/>
      <c r="IKM4" s="1"/>
      <c r="IKN4" s="1"/>
      <c r="IKO4" s="1"/>
      <c r="IKP4" s="1"/>
      <c r="IKQ4" s="1"/>
      <c r="IKR4" s="1"/>
      <c r="IKS4" s="1"/>
      <c r="IKT4" s="1"/>
      <c r="IKU4" s="1"/>
      <c r="IKV4" s="1"/>
      <c r="IKW4" s="1"/>
      <c r="IKX4" s="1"/>
      <c r="IKY4" s="1"/>
      <c r="IKZ4" s="1"/>
      <c r="ILA4" s="1"/>
      <c r="ILB4" s="1"/>
      <c r="ILC4" s="1"/>
      <c r="ILD4" s="1"/>
      <c r="ILE4" s="1"/>
      <c r="ILF4" s="1"/>
      <c r="ILG4" s="1"/>
      <c r="ILH4" s="1"/>
      <c r="ILI4" s="1"/>
      <c r="ILJ4" s="1"/>
      <c r="ILK4" s="1"/>
      <c r="ILL4" s="1"/>
      <c r="ILM4" s="1"/>
      <c r="ILN4" s="1"/>
      <c r="ILO4" s="1"/>
      <c r="ILP4" s="1"/>
      <c r="ILQ4" s="1"/>
      <c r="ILR4" s="1"/>
      <c r="ILS4" s="1"/>
      <c r="ILT4" s="1"/>
      <c r="ILU4" s="1"/>
      <c r="ILV4" s="1"/>
      <c r="ILW4" s="1"/>
      <c r="ILX4" s="1"/>
      <c r="ILY4" s="1"/>
      <c r="ILZ4" s="1"/>
      <c r="IMA4" s="1"/>
      <c r="IMB4" s="1"/>
      <c r="IMC4" s="1"/>
      <c r="IMD4" s="1"/>
      <c r="IME4" s="1"/>
      <c r="IMF4" s="1"/>
      <c r="IMG4" s="1"/>
      <c r="IMH4" s="1"/>
      <c r="IMI4" s="1"/>
      <c r="IMJ4" s="1"/>
      <c r="IMK4" s="1"/>
      <c r="IML4" s="1"/>
      <c r="IMM4" s="1"/>
      <c r="IMN4" s="1"/>
      <c r="IMO4" s="1"/>
      <c r="IMP4" s="1"/>
      <c r="IMQ4" s="1"/>
      <c r="IMR4" s="1"/>
      <c r="IMS4" s="1"/>
      <c r="IMT4" s="1"/>
      <c r="IMU4" s="1"/>
      <c r="IMV4" s="1"/>
      <c r="IMW4" s="1"/>
      <c r="IMX4" s="1"/>
      <c r="IMY4" s="1"/>
      <c r="IMZ4" s="1"/>
      <c r="INA4" s="1"/>
      <c r="INB4" s="1"/>
      <c r="INC4" s="1"/>
      <c r="IND4" s="1"/>
      <c r="INE4" s="1"/>
      <c r="INF4" s="1"/>
      <c r="ING4" s="1"/>
      <c r="INH4" s="1"/>
      <c r="INI4" s="1"/>
      <c r="INJ4" s="1"/>
      <c r="INK4" s="1"/>
      <c r="INL4" s="1"/>
      <c r="INM4" s="1"/>
      <c r="INN4" s="1"/>
      <c r="INO4" s="1"/>
      <c r="INP4" s="1"/>
      <c r="INQ4" s="1"/>
      <c r="INR4" s="1"/>
      <c r="INS4" s="1"/>
      <c r="INT4" s="1"/>
      <c r="INU4" s="1"/>
      <c r="INV4" s="1"/>
      <c r="INW4" s="1"/>
      <c r="INX4" s="1"/>
      <c r="INY4" s="1"/>
      <c r="INZ4" s="1"/>
      <c r="IOA4" s="1"/>
      <c r="IOB4" s="1"/>
      <c r="IOC4" s="1"/>
      <c r="IOD4" s="1"/>
      <c r="IOE4" s="1"/>
      <c r="IOF4" s="1"/>
      <c r="IOG4" s="1"/>
      <c r="IOH4" s="1"/>
      <c r="IOI4" s="1"/>
      <c r="IOJ4" s="1"/>
      <c r="IOK4" s="1"/>
      <c r="IOL4" s="1"/>
      <c r="IOM4" s="1"/>
      <c r="ION4" s="1"/>
      <c r="IOO4" s="1"/>
      <c r="IOP4" s="1"/>
      <c r="IOQ4" s="1"/>
      <c r="IOR4" s="1"/>
      <c r="IOS4" s="1"/>
      <c r="IOT4" s="1"/>
      <c r="IOU4" s="1"/>
      <c r="IOV4" s="1"/>
      <c r="IOW4" s="1"/>
      <c r="IOX4" s="1"/>
      <c r="IOY4" s="1"/>
      <c r="IOZ4" s="1"/>
      <c r="IPA4" s="1"/>
      <c r="IPB4" s="1"/>
      <c r="IPC4" s="1"/>
      <c r="IPD4" s="1"/>
      <c r="IPE4" s="1"/>
      <c r="IPF4" s="1"/>
      <c r="IPG4" s="1"/>
      <c r="IPH4" s="1"/>
      <c r="IPI4" s="1"/>
      <c r="IPJ4" s="1"/>
      <c r="IPK4" s="1"/>
      <c r="IPL4" s="1"/>
      <c r="IPM4" s="1"/>
      <c r="IPN4" s="1"/>
      <c r="IPO4" s="1"/>
      <c r="IPP4" s="1"/>
      <c r="IPQ4" s="1"/>
      <c r="IPR4" s="1"/>
      <c r="IPS4" s="1"/>
      <c r="IPT4" s="1"/>
      <c r="IPU4" s="1"/>
      <c r="IPV4" s="1"/>
      <c r="IPW4" s="1"/>
      <c r="IPX4" s="1"/>
      <c r="IPY4" s="1"/>
      <c r="IPZ4" s="1"/>
      <c r="IQA4" s="1"/>
      <c r="IQB4" s="1"/>
      <c r="IQC4" s="1"/>
      <c r="IQD4" s="1"/>
      <c r="IQE4" s="1"/>
      <c r="IQF4" s="1"/>
      <c r="IQG4" s="1"/>
      <c r="IQH4" s="1"/>
      <c r="IQI4" s="1"/>
      <c r="IQJ4" s="1"/>
      <c r="IQK4" s="1"/>
      <c r="IQL4" s="1"/>
      <c r="IQM4" s="1"/>
      <c r="IQN4" s="1"/>
      <c r="IQO4" s="1"/>
      <c r="IQP4" s="1"/>
      <c r="IQQ4" s="1"/>
      <c r="IQR4" s="1"/>
      <c r="IQS4" s="1"/>
      <c r="IQT4" s="1"/>
      <c r="IQU4" s="1"/>
      <c r="IQV4" s="1"/>
      <c r="IQW4" s="1"/>
      <c r="IQX4" s="1"/>
      <c r="IQY4" s="1"/>
      <c r="IQZ4" s="1"/>
      <c r="IRA4" s="1"/>
      <c r="IRB4" s="1"/>
      <c r="IRC4" s="1"/>
      <c r="IRD4" s="1"/>
      <c r="IRE4" s="1"/>
      <c r="IRF4" s="1"/>
      <c r="IRG4" s="1"/>
      <c r="IRH4" s="1"/>
      <c r="IRI4" s="1"/>
      <c r="IRJ4" s="1"/>
      <c r="IRK4" s="1"/>
      <c r="IRL4" s="1"/>
      <c r="IRM4" s="1"/>
      <c r="IRN4" s="1"/>
      <c r="IRO4" s="1"/>
      <c r="IRP4" s="1"/>
      <c r="IRQ4" s="1"/>
      <c r="IRR4" s="1"/>
      <c r="IRS4" s="1"/>
      <c r="IRT4" s="1"/>
      <c r="IRU4" s="1"/>
      <c r="IRV4" s="1"/>
      <c r="IRW4" s="1"/>
      <c r="IRX4" s="1"/>
      <c r="IRY4" s="1"/>
      <c r="IRZ4" s="1"/>
      <c r="ISA4" s="1"/>
      <c r="ISB4" s="1"/>
      <c r="ISC4" s="1"/>
      <c r="ISD4" s="1"/>
      <c r="ISE4" s="1"/>
      <c r="ISF4" s="1"/>
      <c r="ISG4" s="1"/>
      <c r="ISH4" s="1"/>
      <c r="ISI4" s="1"/>
      <c r="ISJ4" s="1"/>
      <c r="ISK4" s="1"/>
      <c r="ISL4" s="1"/>
      <c r="ISM4" s="1"/>
      <c r="ISN4" s="1"/>
      <c r="ISO4" s="1"/>
      <c r="ISP4" s="1"/>
      <c r="ISQ4" s="1"/>
      <c r="ISR4" s="1"/>
      <c r="ISS4" s="1"/>
      <c r="IST4" s="1"/>
      <c r="ISU4" s="1"/>
      <c r="ISV4" s="1"/>
      <c r="ISW4" s="1"/>
      <c r="ISX4" s="1"/>
      <c r="ISY4" s="1"/>
      <c r="ISZ4" s="1"/>
      <c r="ITA4" s="1"/>
      <c r="ITB4" s="1"/>
      <c r="ITC4" s="1"/>
      <c r="ITD4" s="1"/>
      <c r="ITE4" s="1"/>
      <c r="ITF4" s="1"/>
      <c r="ITG4" s="1"/>
      <c r="ITH4" s="1"/>
      <c r="ITI4" s="1"/>
      <c r="ITJ4" s="1"/>
      <c r="ITK4" s="1"/>
      <c r="ITL4" s="1"/>
      <c r="ITM4" s="1"/>
      <c r="ITN4" s="1"/>
      <c r="ITO4" s="1"/>
      <c r="ITP4" s="1"/>
      <c r="ITQ4" s="1"/>
      <c r="ITR4" s="1"/>
      <c r="ITS4" s="1"/>
      <c r="ITT4" s="1"/>
      <c r="ITU4" s="1"/>
      <c r="ITV4" s="1"/>
      <c r="ITW4" s="1"/>
      <c r="ITX4" s="1"/>
      <c r="ITY4" s="1"/>
      <c r="ITZ4" s="1"/>
      <c r="IUA4" s="1"/>
      <c r="IUB4" s="1"/>
      <c r="IUC4" s="1"/>
      <c r="IUD4" s="1"/>
      <c r="IUE4" s="1"/>
      <c r="IUF4" s="1"/>
      <c r="IUG4" s="1"/>
      <c r="IUH4" s="1"/>
      <c r="IUI4" s="1"/>
      <c r="IUJ4" s="1"/>
      <c r="IUK4" s="1"/>
      <c r="IUL4" s="1"/>
      <c r="IUM4" s="1"/>
      <c r="IUN4" s="1"/>
      <c r="IUO4" s="1"/>
      <c r="IUP4" s="1"/>
      <c r="IUQ4" s="1"/>
      <c r="IUR4" s="1"/>
      <c r="IUS4" s="1"/>
      <c r="IUT4" s="1"/>
      <c r="IUU4" s="1"/>
      <c r="IUV4" s="1"/>
      <c r="IUW4" s="1"/>
      <c r="IUX4" s="1"/>
      <c r="IUY4" s="1"/>
      <c r="IUZ4" s="1"/>
      <c r="IVA4" s="1"/>
      <c r="IVB4" s="1"/>
      <c r="IVC4" s="1"/>
      <c r="IVD4" s="1"/>
      <c r="IVE4" s="1"/>
      <c r="IVF4" s="1"/>
      <c r="IVG4" s="1"/>
      <c r="IVH4" s="1"/>
      <c r="IVI4" s="1"/>
      <c r="IVJ4" s="1"/>
      <c r="IVK4" s="1"/>
      <c r="IVL4" s="1"/>
      <c r="IVM4" s="1"/>
      <c r="IVN4" s="1"/>
      <c r="IVO4" s="1"/>
      <c r="IVP4" s="1"/>
      <c r="IVQ4" s="1"/>
      <c r="IVR4" s="1"/>
      <c r="IVS4" s="1"/>
      <c r="IVT4" s="1"/>
      <c r="IVU4" s="1"/>
      <c r="IVV4" s="1"/>
      <c r="IVW4" s="1"/>
      <c r="IVX4" s="1"/>
      <c r="IVY4" s="1"/>
      <c r="IVZ4" s="1"/>
      <c r="IWA4" s="1"/>
      <c r="IWB4" s="1"/>
      <c r="IWC4" s="1"/>
      <c r="IWD4" s="1"/>
      <c r="IWE4" s="1"/>
      <c r="IWF4" s="1"/>
      <c r="IWG4" s="1"/>
      <c r="IWH4" s="1"/>
      <c r="IWI4" s="1"/>
      <c r="IWJ4" s="1"/>
      <c r="IWK4" s="1"/>
      <c r="IWL4" s="1"/>
      <c r="IWM4" s="1"/>
      <c r="IWN4" s="1"/>
      <c r="IWO4" s="1"/>
      <c r="IWP4" s="1"/>
      <c r="IWQ4" s="1"/>
      <c r="IWR4" s="1"/>
      <c r="IWS4" s="1"/>
      <c r="IWT4" s="1"/>
      <c r="IWU4" s="1"/>
      <c r="IWV4" s="1"/>
      <c r="IWW4" s="1"/>
      <c r="IWX4" s="1"/>
      <c r="IWY4" s="1"/>
      <c r="IWZ4" s="1"/>
      <c r="IXA4" s="1"/>
      <c r="IXB4" s="1"/>
      <c r="IXC4" s="1"/>
      <c r="IXD4" s="1"/>
      <c r="IXE4" s="1"/>
      <c r="IXF4" s="1"/>
      <c r="IXG4" s="1"/>
      <c r="IXH4" s="1"/>
      <c r="IXI4" s="1"/>
      <c r="IXJ4" s="1"/>
      <c r="IXK4" s="1"/>
      <c r="IXL4" s="1"/>
      <c r="IXM4" s="1"/>
      <c r="IXN4" s="1"/>
      <c r="IXO4" s="1"/>
      <c r="IXP4" s="1"/>
      <c r="IXQ4" s="1"/>
      <c r="IXR4" s="1"/>
      <c r="IXS4" s="1"/>
      <c r="IXT4" s="1"/>
      <c r="IXU4" s="1"/>
      <c r="IXV4" s="1"/>
      <c r="IXW4" s="1"/>
      <c r="IXX4" s="1"/>
      <c r="IXY4" s="1"/>
      <c r="IXZ4" s="1"/>
      <c r="IYA4" s="1"/>
      <c r="IYB4" s="1"/>
      <c r="IYC4" s="1"/>
      <c r="IYD4" s="1"/>
      <c r="IYE4" s="1"/>
      <c r="IYF4" s="1"/>
      <c r="IYG4" s="1"/>
      <c r="IYH4" s="1"/>
      <c r="IYI4" s="1"/>
      <c r="IYJ4" s="1"/>
      <c r="IYK4" s="1"/>
      <c r="IYL4" s="1"/>
      <c r="IYM4" s="1"/>
      <c r="IYN4" s="1"/>
      <c r="IYO4" s="1"/>
      <c r="IYP4" s="1"/>
      <c r="IYQ4" s="1"/>
      <c r="IYR4" s="1"/>
      <c r="IYS4" s="1"/>
      <c r="IYT4" s="1"/>
      <c r="IYU4" s="1"/>
      <c r="IYV4" s="1"/>
      <c r="IYW4" s="1"/>
      <c r="IYX4" s="1"/>
      <c r="IYY4" s="1"/>
      <c r="IYZ4" s="1"/>
      <c r="IZA4" s="1"/>
      <c r="IZB4" s="1"/>
      <c r="IZC4" s="1"/>
      <c r="IZD4" s="1"/>
      <c r="IZE4" s="1"/>
      <c r="IZF4" s="1"/>
      <c r="IZG4" s="1"/>
      <c r="IZH4" s="1"/>
      <c r="IZI4" s="1"/>
      <c r="IZJ4" s="1"/>
      <c r="IZK4" s="1"/>
      <c r="IZL4" s="1"/>
      <c r="IZM4" s="1"/>
      <c r="IZN4" s="1"/>
      <c r="IZO4" s="1"/>
      <c r="IZP4" s="1"/>
      <c r="IZQ4" s="1"/>
      <c r="IZR4" s="1"/>
      <c r="IZS4" s="1"/>
      <c r="IZT4" s="1"/>
      <c r="IZU4" s="1"/>
      <c r="IZV4" s="1"/>
      <c r="IZW4" s="1"/>
      <c r="IZX4" s="1"/>
      <c r="IZY4" s="1"/>
      <c r="IZZ4" s="1"/>
      <c r="JAA4" s="1"/>
      <c r="JAB4" s="1"/>
      <c r="JAC4" s="1"/>
      <c r="JAD4" s="1"/>
      <c r="JAE4" s="1"/>
      <c r="JAF4" s="1"/>
      <c r="JAG4" s="1"/>
      <c r="JAH4" s="1"/>
      <c r="JAI4" s="1"/>
      <c r="JAJ4" s="1"/>
      <c r="JAK4" s="1"/>
      <c r="JAL4" s="1"/>
      <c r="JAM4" s="1"/>
      <c r="JAN4" s="1"/>
      <c r="JAO4" s="1"/>
      <c r="JAP4" s="1"/>
      <c r="JAQ4" s="1"/>
      <c r="JAR4" s="1"/>
      <c r="JAS4" s="1"/>
      <c r="JAT4" s="1"/>
      <c r="JAU4" s="1"/>
      <c r="JAV4" s="1"/>
      <c r="JAW4" s="1"/>
      <c r="JAX4" s="1"/>
      <c r="JAY4" s="1"/>
      <c r="JAZ4" s="1"/>
      <c r="JBA4" s="1"/>
      <c r="JBB4" s="1"/>
      <c r="JBC4" s="1"/>
      <c r="JBD4" s="1"/>
      <c r="JBE4" s="1"/>
      <c r="JBF4" s="1"/>
      <c r="JBG4" s="1"/>
      <c r="JBH4" s="1"/>
      <c r="JBI4" s="1"/>
      <c r="JBJ4" s="1"/>
      <c r="JBK4" s="1"/>
      <c r="JBL4" s="1"/>
      <c r="JBM4" s="1"/>
      <c r="JBN4" s="1"/>
      <c r="JBO4" s="1"/>
      <c r="JBP4" s="1"/>
      <c r="JBQ4" s="1"/>
      <c r="JBR4" s="1"/>
      <c r="JBS4" s="1"/>
      <c r="JBT4" s="1"/>
      <c r="JBU4" s="1"/>
      <c r="JBV4" s="1"/>
      <c r="JBW4" s="1"/>
      <c r="JBX4" s="1"/>
      <c r="JBY4" s="1"/>
      <c r="JBZ4" s="1"/>
      <c r="JCA4" s="1"/>
      <c r="JCB4" s="1"/>
      <c r="JCC4" s="1"/>
      <c r="JCD4" s="1"/>
      <c r="JCE4" s="1"/>
      <c r="JCF4" s="1"/>
      <c r="JCG4" s="1"/>
      <c r="JCH4" s="1"/>
      <c r="JCI4" s="1"/>
      <c r="JCJ4" s="1"/>
      <c r="JCK4" s="1"/>
      <c r="JCL4" s="1"/>
      <c r="JCM4" s="1"/>
      <c r="JCN4" s="1"/>
      <c r="JCO4" s="1"/>
      <c r="JCP4" s="1"/>
      <c r="JCQ4" s="1"/>
      <c r="JCR4" s="1"/>
      <c r="JCS4" s="1"/>
      <c r="JCT4" s="1"/>
      <c r="JCU4" s="1"/>
      <c r="JCV4" s="1"/>
      <c r="JCW4" s="1"/>
      <c r="JCX4" s="1"/>
      <c r="JCY4" s="1"/>
      <c r="JCZ4" s="1"/>
      <c r="JDA4" s="1"/>
      <c r="JDB4" s="1"/>
      <c r="JDC4" s="1"/>
      <c r="JDD4" s="1"/>
      <c r="JDE4" s="1"/>
      <c r="JDF4" s="1"/>
      <c r="JDG4" s="1"/>
      <c r="JDH4" s="1"/>
      <c r="JDI4" s="1"/>
      <c r="JDJ4" s="1"/>
      <c r="JDK4" s="1"/>
      <c r="JDL4" s="1"/>
      <c r="JDM4" s="1"/>
      <c r="JDN4" s="1"/>
      <c r="JDO4" s="1"/>
      <c r="JDP4" s="1"/>
      <c r="JDQ4" s="1"/>
      <c r="JDR4" s="1"/>
      <c r="JDS4" s="1"/>
      <c r="JDT4" s="1"/>
      <c r="JDU4" s="1"/>
      <c r="JDV4" s="1"/>
      <c r="JDW4" s="1"/>
      <c r="JDX4" s="1"/>
      <c r="JDY4" s="1"/>
      <c r="JDZ4" s="1"/>
      <c r="JEA4" s="1"/>
      <c r="JEB4" s="1"/>
      <c r="JEC4" s="1"/>
      <c r="JED4" s="1"/>
      <c r="JEE4" s="1"/>
      <c r="JEF4" s="1"/>
      <c r="JEG4" s="1"/>
      <c r="JEH4" s="1"/>
      <c r="JEI4" s="1"/>
      <c r="JEJ4" s="1"/>
      <c r="JEK4" s="1"/>
      <c r="JEL4" s="1"/>
      <c r="JEM4" s="1"/>
      <c r="JEN4" s="1"/>
      <c r="JEO4" s="1"/>
      <c r="JEP4" s="1"/>
      <c r="JEQ4" s="1"/>
      <c r="JER4" s="1"/>
      <c r="JES4" s="1"/>
      <c r="JET4" s="1"/>
      <c r="JEU4" s="1"/>
      <c r="JEV4" s="1"/>
      <c r="JEW4" s="1"/>
      <c r="JEX4" s="1"/>
      <c r="JEY4" s="1"/>
      <c r="JEZ4" s="1"/>
      <c r="JFA4" s="1"/>
      <c r="JFB4" s="1"/>
      <c r="JFC4" s="1"/>
      <c r="JFD4" s="1"/>
      <c r="JFE4" s="1"/>
      <c r="JFF4" s="1"/>
      <c r="JFG4" s="1"/>
      <c r="JFH4" s="1"/>
      <c r="JFI4" s="1"/>
      <c r="JFJ4" s="1"/>
      <c r="JFK4" s="1"/>
      <c r="JFL4" s="1"/>
      <c r="JFM4" s="1"/>
      <c r="JFN4" s="1"/>
      <c r="JFO4" s="1"/>
      <c r="JFP4" s="1"/>
      <c r="JFQ4" s="1"/>
      <c r="JFR4" s="1"/>
      <c r="JFS4" s="1"/>
      <c r="JFT4" s="1"/>
      <c r="JFU4" s="1"/>
      <c r="JFV4" s="1"/>
      <c r="JFW4" s="1"/>
      <c r="JFX4" s="1"/>
      <c r="JFY4" s="1"/>
      <c r="JFZ4" s="1"/>
      <c r="JGA4" s="1"/>
      <c r="JGB4" s="1"/>
      <c r="JGC4" s="1"/>
      <c r="JGD4" s="1"/>
      <c r="JGE4" s="1"/>
      <c r="JGF4" s="1"/>
      <c r="JGG4" s="1"/>
      <c r="JGH4" s="1"/>
      <c r="JGI4" s="1"/>
      <c r="JGJ4" s="1"/>
      <c r="JGK4" s="1"/>
      <c r="JGL4" s="1"/>
      <c r="JGM4" s="1"/>
      <c r="JGN4" s="1"/>
      <c r="JGO4" s="1"/>
      <c r="JGP4" s="1"/>
      <c r="JGQ4" s="1"/>
      <c r="JGR4" s="1"/>
      <c r="JGS4" s="1"/>
      <c r="JGT4" s="1"/>
      <c r="JGU4" s="1"/>
      <c r="JGV4" s="1"/>
      <c r="JGW4" s="1"/>
      <c r="JGX4" s="1"/>
      <c r="JGY4" s="1"/>
      <c r="JGZ4" s="1"/>
      <c r="JHA4" s="1"/>
      <c r="JHB4" s="1"/>
      <c r="JHC4" s="1"/>
      <c r="JHD4" s="1"/>
      <c r="JHE4" s="1"/>
      <c r="JHF4" s="1"/>
      <c r="JHG4" s="1"/>
      <c r="JHH4" s="1"/>
      <c r="JHI4" s="1"/>
      <c r="JHJ4" s="1"/>
      <c r="JHK4" s="1"/>
      <c r="JHL4" s="1"/>
      <c r="JHM4" s="1"/>
      <c r="JHN4" s="1"/>
      <c r="JHO4" s="1"/>
      <c r="JHP4" s="1"/>
      <c r="JHQ4" s="1"/>
      <c r="JHR4" s="1"/>
      <c r="JHS4" s="1"/>
      <c r="JHT4" s="1"/>
      <c r="JHU4" s="1"/>
      <c r="JHV4" s="1"/>
      <c r="JHW4" s="1"/>
      <c r="JHX4" s="1"/>
      <c r="JHY4" s="1"/>
      <c r="JHZ4" s="1"/>
      <c r="JIA4" s="1"/>
      <c r="JIB4" s="1"/>
      <c r="JIC4" s="1"/>
      <c r="JID4" s="1"/>
      <c r="JIE4" s="1"/>
      <c r="JIF4" s="1"/>
      <c r="JIG4" s="1"/>
      <c r="JIH4" s="1"/>
      <c r="JII4" s="1"/>
      <c r="JIJ4" s="1"/>
      <c r="JIK4" s="1"/>
      <c r="JIL4" s="1"/>
      <c r="JIM4" s="1"/>
      <c r="JIN4" s="1"/>
      <c r="JIO4" s="1"/>
      <c r="JIP4" s="1"/>
      <c r="JIQ4" s="1"/>
      <c r="JIR4" s="1"/>
      <c r="JIS4" s="1"/>
      <c r="JIT4" s="1"/>
      <c r="JIU4" s="1"/>
      <c r="JIV4" s="1"/>
      <c r="JIW4" s="1"/>
      <c r="JIX4" s="1"/>
      <c r="JIY4" s="1"/>
      <c r="JIZ4" s="1"/>
      <c r="JJA4" s="1"/>
      <c r="JJB4" s="1"/>
      <c r="JJC4" s="1"/>
      <c r="JJD4" s="1"/>
      <c r="JJE4" s="1"/>
      <c r="JJF4" s="1"/>
      <c r="JJG4" s="1"/>
      <c r="JJH4" s="1"/>
      <c r="JJI4" s="1"/>
      <c r="JJJ4" s="1"/>
      <c r="JJK4" s="1"/>
      <c r="JJL4" s="1"/>
      <c r="JJM4" s="1"/>
      <c r="JJN4" s="1"/>
      <c r="JJO4" s="1"/>
      <c r="JJP4" s="1"/>
      <c r="JJQ4" s="1"/>
      <c r="JJR4" s="1"/>
      <c r="JJS4" s="1"/>
      <c r="JJT4" s="1"/>
      <c r="JJU4" s="1"/>
      <c r="JJV4" s="1"/>
      <c r="JJW4" s="1"/>
      <c r="JJX4" s="1"/>
      <c r="JJY4" s="1"/>
      <c r="JJZ4" s="1"/>
      <c r="JKA4" s="1"/>
      <c r="JKB4" s="1"/>
      <c r="JKC4" s="1"/>
      <c r="JKD4" s="1"/>
      <c r="JKE4" s="1"/>
      <c r="JKF4" s="1"/>
      <c r="JKG4" s="1"/>
      <c r="JKH4" s="1"/>
      <c r="JKI4" s="1"/>
      <c r="JKJ4" s="1"/>
      <c r="JKK4" s="1"/>
      <c r="JKL4" s="1"/>
      <c r="JKM4" s="1"/>
      <c r="JKN4" s="1"/>
      <c r="JKO4" s="1"/>
      <c r="JKP4" s="1"/>
      <c r="JKQ4" s="1"/>
      <c r="JKR4" s="1"/>
      <c r="JKS4" s="1"/>
      <c r="JKT4" s="1"/>
      <c r="JKU4" s="1"/>
      <c r="JKV4" s="1"/>
      <c r="JKW4" s="1"/>
      <c r="JKX4" s="1"/>
      <c r="JKY4" s="1"/>
      <c r="JKZ4" s="1"/>
      <c r="JLA4" s="1"/>
      <c r="JLB4" s="1"/>
      <c r="JLC4" s="1"/>
      <c r="JLD4" s="1"/>
      <c r="JLE4" s="1"/>
      <c r="JLF4" s="1"/>
      <c r="JLG4" s="1"/>
      <c r="JLH4" s="1"/>
      <c r="JLI4" s="1"/>
      <c r="JLJ4" s="1"/>
      <c r="JLK4" s="1"/>
      <c r="JLL4" s="1"/>
      <c r="JLM4" s="1"/>
      <c r="JLN4" s="1"/>
      <c r="JLO4" s="1"/>
      <c r="JLP4" s="1"/>
      <c r="JLQ4" s="1"/>
      <c r="JLR4" s="1"/>
      <c r="JLS4" s="1"/>
      <c r="JLT4" s="1"/>
      <c r="JLU4" s="1"/>
      <c r="JLV4" s="1"/>
      <c r="JLW4" s="1"/>
      <c r="JLX4" s="1"/>
      <c r="JLY4" s="1"/>
      <c r="JLZ4" s="1"/>
      <c r="JMA4" s="1"/>
      <c r="JMB4" s="1"/>
      <c r="JMC4" s="1"/>
      <c r="JMD4" s="1"/>
      <c r="JME4" s="1"/>
      <c r="JMF4" s="1"/>
      <c r="JMG4" s="1"/>
      <c r="JMH4" s="1"/>
      <c r="JMI4" s="1"/>
      <c r="JMJ4" s="1"/>
      <c r="JMK4" s="1"/>
      <c r="JML4" s="1"/>
      <c r="JMM4" s="1"/>
      <c r="JMN4" s="1"/>
      <c r="JMO4" s="1"/>
      <c r="JMP4" s="1"/>
      <c r="JMQ4" s="1"/>
      <c r="JMR4" s="1"/>
      <c r="JMS4" s="1"/>
      <c r="JMT4" s="1"/>
      <c r="JMU4" s="1"/>
      <c r="JMV4" s="1"/>
      <c r="JMW4" s="1"/>
      <c r="JMX4" s="1"/>
      <c r="JMY4" s="1"/>
      <c r="JMZ4" s="1"/>
      <c r="JNA4" s="1"/>
      <c r="JNB4" s="1"/>
      <c r="JNC4" s="1"/>
      <c r="JND4" s="1"/>
      <c r="JNE4" s="1"/>
      <c r="JNF4" s="1"/>
      <c r="JNG4" s="1"/>
      <c r="JNH4" s="1"/>
      <c r="JNI4" s="1"/>
      <c r="JNJ4" s="1"/>
      <c r="JNK4" s="1"/>
      <c r="JNL4" s="1"/>
      <c r="JNM4" s="1"/>
      <c r="JNN4" s="1"/>
      <c r="JNO4" s="1"/>
      <c r="JNP4" s="1"/>
      <c r="JNQ4" s="1"/>
      <c r="JNR4" s="1"/>
      <c r="JNS4" s="1"/>
      <c r="JNT4" s="1"/>
      <c r="JNU4" s="1"/>
      <c r="JNV4" s="1"/>
      <c r="JNW4" s="1"/>
      <c r="JNX4" s="1"/>
      <c r="JNY4" s="1"/>
      <c r="JNZ4" s="1"/>
      <c r="JOA4" s="1"/>
      <c r="JOB4" s="1"/>
      <c r="JOC4" s="1"/>
      <c r="JOD4" s="1"/>
      <c r="JOE4" s="1"/>
      <c r="JOF4" s="1"/>
      <c r="JOG4" s="1"/>
      <c r="JOH4" s="1"/>
      <c r="JOI4" s="1"/>
      <c r="JOJ4" s="1"/>
      <c r="JOK4" s="1"/>
      <c r="JOL4" s="1"/>
      <c r="JOM4" s="1"/>
      <c r="JON4" s="1"/>
      <c r="JOO4" s="1"/>
      <c r="JOP4" s="1"/>
      <c r="JOQ4" s="1"/>
      <c r="JOR4" s="1"/>
      <c r="JOS4" s="1"/>
      <c r="JOT4" s="1"/>
      <c r="JOU4" s="1"/>
      <c r="JOV4" s="1"/>
      <c r="JOW4" s="1"/>
      <c r="JOX4" s="1"/>
      <c r="JOY4" s="1"/>
      <c r="JOZ4" s="1"/>
      <c r="JPA4" s="1"/>
      <c r="JPB4" s="1"/>
      <c r="JPC4" s="1"/>
      <c r="JPD4" s="1"/>
      <c r="JPE4" s="1"/>
      <c r="JPF4" s="1"/>
      <c r="JPG4" s="1"/>
      <c r="JPH4" s="1"/>
      <c r="JPI4" s="1"/>
      <c r="JPJ4" s="1"/>
      <c r="JPK4" s="1"/>
      <c r="JPL4" s="1"/>
      <c r="JPM4" s="1"/>
      <c r="JPN4" s="1"/>
      <c r="JPO4" s="1"/>
      <c r="JPP4" s="1"/>
      <c r="JPQ4" s="1"/>
      <c r="JPR4" s="1"/>
      <c r="JPS4" s="1"/>
      <c r="JPT4" s="1"/>
      <c r="JPU4" s="1"/>
      <c r="JPV4" s="1"/>
      <c r="JPW4" s="1"/>
      <c r="JPX4" s="1"/>
      <c r="JPY4" s="1"/>
      <c r="JPZ4" s="1"/>
      <c r="JQA4" s="1"/>
      <c r="JQB4" s="1"/>
      <c r="JQC4" s="1"/>
      <c r="JQD4" s="1"/>
      <c r="JQE4" s="1"/>
      <c r="JQF4" s="1"/>
      <c r="JQG4" s="1"/>
      <c r="JQH4" s="1"/>
      <c r="JQI4" s="1"/>
      <c r="JQJ4" s="1"/>
      <c r="JQK4" s="1"/>
      <c r="JQL4" s="1"/>
      <c r="JQM4" s="1"/>
      <c r="JQN4" s="1"/>
      <c r="JQO4" s="1"/>
      <c r="JQP4" s="1"/>
      <c r="JQQ4" s="1"/>
      <c r="JQR4" s="1"/>
      <c r="JQS4" s="1"/>
      <c r="JQT4" s="1"/>
      <c r="JQU4" s="1"/>
      <c r="JQV4" s="1"/>
      <c r="JQW4" s="1"/>
      <c r="JQX4" s="1"/>
      <c r="JQY4" s="1"/>
      <c r="JQZ4" s="1"/>
      <c r="JRA4" s="1"/>
      <c r="JRB4" s="1"/>
      <c r="JRC4" s="1"/>
      <c r="JRD4" s="1"/>
      <c r="JRE4" s="1"/>
      <c r="JRF4" s="1"/>
      <c r="JRG4" s="1"/>
      <c r="JRH4" s="1"/>
      <c r="JRI4" s="1"/>
      <c r="JRJ4" s="1"/>
      <c r="JRK4" s="1"/>
      <c r="JRL4" s="1"/>
      <c r="JRM4" s="1"/>
      <c r="JRN4" s="1"/>
      <c r="JRO4" s="1"/>
      <c r="JRP4" s="1"/>
      <c r="JRQ4" s="1"/>
      <c r="JRR4" s="1"/>
      <c r="JRS4" s="1"/>
      <c r="JRT4" s="1"/>
      <c r="JRU4" s="1"/>
      <c r="JRV4" s="1"/>
      <c r="JRW4" s="1"/>
      <c r="JRX4" s="1"/>
      <c r="JRY4" s="1"/>
      <c r="JRZ4" s="1"/>
      <c r="JSA4" s="1"/>
      <c r="JSB4" s="1"/>
      <c r="JSC4" s="1"/>
      <c r="JSD4" s="1"/>
      <c r="JSE4" s="1"/>
      <c r="JSF4" s="1"/>
      <c r="JSG4" s="1"/>
      <c r="JSH4" s="1"/>
      <c r="JSI4" s="1"/>
      <c r="JSJ4" s="1"/>
      <c r="JSK4" s="1"/>
      <c r="JSL4" s="1"/>
      <c r="JSM4" s="1"/>
      <c r="JSN4" s="1"/>
      <c r="JSO4" s="1"/>
      <c r="JSP4" s="1"/>
      <c r="JSQ4" s="1"/>
      <c r="JSR4" s="1"/>
      <c r="JSS4" s="1"/>
      <c r="JST4" s="1"/>
      <c r="JSU4" s="1"/>
      <c r="JSV4" s="1"/>
      <c r="JSW4" s="1"/>
      <c r="JSX4" s="1"/>
      <c r="JSY4" s="1"/>
      <c r="JSZ4" s="1"/>
      <c r="JTA4" s="1"/>
      <c r="JTB4" s="1"/>
      <c r="JTC4" s="1"/>
      <c r="JTD4" s="1"/>
      <c r="JTE4" s="1"/>
      <c r="JTF4" s="1"/>
      <c r="JTG4" s="1"/>
      <c r="JTH4" s="1"/>
      <c r="JTI4" s="1"/>
      <c r="JTJ4" s="1"/>
      <c r="JTK4" s="1"/>
      <c r="JTL4" s="1"/>
      <c r="JTM4" s="1"/>
      <c r="JTN4" s="1"/>
      <c r="JTO4" s="1"/>
      <c r="JTP4" s="1"/>
      <c r="JTQ4" s="1"/>
      <c r="JTR4" s="1"/>
      <c r="JTS4" s="1"/>
      <c r="JTT4" s="1"/>
      <c r="JTU4" s="1"/>
      <c r="JTV4" s="1"/>
      <c r="JTW4" s="1"/>
      <c r="JTX4" s="1"/>
      <c r="JTY4" s="1"/>
      <c r="JTZ4" s="1"/>
      <c r="JUA4" s="1"/>
      <c r="JUB4" s="1"/>
      <c r="JUC4" s="1"/>
      <c r="JUD4" s="1"/>
      <c r="JUE4" s="1"/>
      <c r="JUF4" s="1"/>
      <c r="JUG4" s="1"/>
      <c r="JUH4" s="1"/>
      <c r="JUI4" s="1"/>
      <c r="JUJ4" s="1"/>
      <c r="JUK4" s="1"/>
      <c r="JUL4" s="1"/>
      <c r="JUM4" s="1"/>
      <c r="JUN4" s="1"/>
      <c r="JUO4" s="1"/>
      <c r="JUP4" s="1"/>
      <c r="JUQ4" s="1"/>
      <c r="JUR4" s="1"/>
      <c r="JUS4" s="1"/>
      <c r="JUT4" s="1"/>
      <c r="JUU4" s="1"/>
      <c r="JUV4" s="1"/>
      <c r="JUW4" s="1"/>
      <c r="JUX4" s="1"/>
      <c r="JUY4" s="1"/>
      <c r="JUZ4" s="1"/>
      <c r="JVA4" s="1"/>
      <c r="JVB4" s="1"/>
      <c r="JVC4" s="1"/>
      <c r="JVD4" s="1"/>
      <c r="JVE4" s="1"/>
      <c r="JVF4" s="1"/>
      <c r="JVG4" s="1"/>
      <c r="JVH4" s="1"/>
      <c r="JVI4" s="1"/>
      <c r="JVJ4" s="1"/>
      <c r="JVK4" s="1"/>
      <c r="JVL4" s="1"/>
      <c r="JVM4" s="1"/>
      <c r="JVN4" s="1"/>
      <c r="JVO4" s="1"/>
      <c r="JVP4" s="1"/>
      <c r="JVQ4" s="1"/>
      <c r="JVR4" s="1"/>
      <c r="JVS4" s="1"/>
      <c r="JVT4" s="1"/>
      <c r="JVU4" s="1"/>
      <c r="JVV4" s="1"/>
      <c r="JVW4" s="1"/>
      <c r="JVX4" s="1"/>
      <c r="JVY4" s="1"/>
      <c r="JVZ4" s="1"/>
      <c r="JWA4" s="1"/>
      <c r="JWB4" s="1"/>
      <c r="JWC4" s="1"/>
      <c r="JWD4" s="1"/>
      <c r="JWE4" s="1"/>
      <c r="JWF4" s="1"/>
      <c r="JWG4" s="1"/>
      <c r="JWH4" s="1"/>
      <c r="JWI4" s="1"/>
      <c r="JWJ4" s="1"/>
      <c r="JWK4" s="1"/>
      <c r="JWL4" s="1"/>
      <c r="JWM4" s="1"/>
      <c r="JWN4" s="1"/>
      <c r="JWO4" s="1"/>
      <c r="JWP4" s="1"/>
      <c r="JWQ4" s="1"/>
      <c r="JWR4" s="1"/>
      <c r="JWS4" s="1"/>
      <c r="JWT4" s="1"/>
      <c r="JWU4" s="1"/>
      <c r="JWV4" s="1"/>
      <c r="JWW4" s="1"/>
      <c r="JWX4" s="1"/>
      <c r="JWY4" s="1"/>
      <c r="JWZ4" s="1"/>
      <c r="JXA4" s="1"/>
      <c r="JXB4" s="1"/>
      <c r="JXC4" s="1"/>
      <c r="JXD4" s="1"/>
      <c r="JXE4" s="1"/>
      <c r="JXF4" s="1"/>
      <c r="JXG4" s="1"/>
      <c r="JXH4" s="1"/>
      <c r="JXI4" s="1"/>
      <c r="JXJ4" s="1"/>
      <c r="JXK4" s="1"/>
      <c r="JXL4" s="1"/>
      <c r="JXM4" s="1"/>
      <c r="JXN4" s="1"/>
      <c r="JXO4" s="1"/>
      <c r="JXP4" s="1"/>
      <c r="JXQ4" s="1"/>
      <c r="JXR4" s="1"/>
      <c r="JXS4" s="1"/>
      <c r="JXT4" s="1"/>
      <c r="JXU4" s="1"/>
      <c r="JXV4" s="1"/>
      <c r="JXW4" s="1"/>
      <c r="JXX4" s="1"/>
      <c r="JXY4" s="1"/>
      <c r="JXZ4" s="1"/>
      <c r="JYA4" s="1"/>
      <c r="JYB4" s="1"/>
      <c r="JYC4" s="1"/>
      <c r="JYD4" s="1"/>
      <c r="JYE4" s="1"/>
      <c r="JYF4" s="1"/>
      <c r="JYG4" s="1"/>
      <c r="JYH4" s="1"/>
      <c r="JYI4" s="1"/>
      <c r="JYJ4" s="1"/>
      <c r="JYK4" s="1"/>
      <c r="JYL4" s="1"/>
      <c r="JYM4" s="1"/>
      <c r="JYN4" s="1"/>
      <c r="JYO4" s="1"/>
      <c r="JYP4" s="1"/>
      <c r="JYQ4" s="1"/>
      <c r="JYR4" s="1"/>
      <c r="JYS4" s="1"/>
      <c r="JYT4" s="1"/>
      <c r="JYU4" s="1"/>
      <c r="JYV4" s="1"/>
      <c r="JYW4" s="1"/>
      <c r="JYX4" s="1"/>
      <c r="JYY4" s="1"/>
      <c r="JYZ4" s="1"/>
      <c r="JZA4" s="1"/>
      <c r="JZB4" s="1"/>
      <c r="JZC4" s="1"/>
      <c r="JZD4" s="1"/>
      <c r="JZE4" s="1"/>
      <c r="JZF4" s="1"/>
      <c r="JZG4" s="1"/>
      <c r="JZH4" s="1"/>
      <c r="JZI4" s="1"/>
      <c r="JZJ4" s="1"/>
      <c r="JZK4" s="1"/>
      <c r="JZL4" s="1"/>
      <c r="JZM4" s="1"/>
      <c r="JZN4" s="1"/>
      <c r="JZO4" s="1"/>
      <c r="JZP4" s="1"/>
      <c r="JZQ4" s="1"/>
      <c r="JZR4" s="1"/>
      <c r="JZS4" s="1"/>
      <c r="JZT4" s="1"/>
      <c r="JZU4" s="1"/>
      <c r="JZV4" s="1"/>
      <c r="JZW4" s="1"/>
      <c r="JZX4" s="1"/>
      <c r="JZY4" s="1"/>
      <c r="JZZ4" s="1"/>
      <c r="KAA4" s="1"/>
      <c r="KAB4" s="1"/>
      <c r="KAC4" s="1"/>
      <c r="KAD4" s="1"/>
      <c r="KAE4" s="1"/>
      <c r="KAF4" s="1"/>
      <c r="KAG4" s="1"/>
      <c r="KAH4" s="1"/>
      <c r="KAI4" s="1"/>
      <c r="KAJ4" s="1"/>
      <c r="KAK4" s="1"/>
      <c r="KAL4" s="1"/>
      <c r="KAM4" s="1"/>
      <c r="KAN4" s="1"/>
      <c r="KAO4" s="1"/>
      <c r="KAP4" s="1"/>
      <c r="KAQ4" s="1"/>
      <c r="KAR4" s="1"/>
      <c r="KAS4" s="1"/>
      <c r="KAT4" s="1"/>
      <c r="KAU4" s="1"/>
      <c r="KAV4" s="1"/>
      <c r="KAW4" s="1"/>
      <c r="KAX4" s="1"/>
      <c r="KAY4" s="1"/>
      <c r="KAZ4" s="1"/>
      <c r="KBA4" s="1"/>
      <c r="KBB4" s="1"/>
      <c r="KBC4" s="1"/>
      <c r="KBD4" s="1"/>
      <c r="KBE4" s="1"/>
      <c r="KBF4" s="1"/>
      <c r="KBG4" s="1"/>
      <c r="KBH4" s="1"/>
      <c r="KBI4" s="1"/>
      <c r="KBJ4" s="1"/>
      <c r="KBK4" s="1"/>
      <c r="KBL4" s="1"/>
      <c r="KBM4" s="1"/>
      <c r="KBN4" s="1"/>
      <c r="KBO4" s="1"/>
      <c r="KBP4" s="1"/>
      <c r="KBQ4" s="1"/>
      <c r="KBR4" s="1"/>
      <c r="KBS4" s="1"/>
      <c r="KBT4" s="1"/>
      <c r="KBU4" s="1"/>
      <c r="KBV4" s="1"/>
      <c r="KBW4" s="1"/>
      <c r="KBX4" s="1"/>
      <c r="KBY4" s="1"/>
      <c r="KBZ4" s="1"/>
      <c r="KCA4" s="1"/>
      <c r="KCB4" s="1"/>
      <c r="KCC4" s="1"/>
      <c r="KCD4" s="1"/>
      <c r="KCE4" s="1"/>
      <c r="KCF4" s="1"/>
      <c r="KCG4" s="1"/>
      <c r="KCH4" s="1"/>
      <c r="KCI4" s="1"/>
      <c r="KCJ4" s="1"/>
      <c r="KCK4" s="1"/>
      <c r="KCL4" s="1"/>
      <c r="KCM4" s="1"/>
      <c r="KCN4" s="1"/>
      <c r="KCO4" s="1"/>
      <c r="KCP4" s="1"/>
      <c r="KCQ4" s="1"/>
      <c r="KCR4" s="1"/>
      <c r="KCS4" s="1"/>
      <c r="KCT4" s="1"/>
      <c r="KCU4" s="1"/>
      <c r="KCV4" s="1"/>
      <c r="KCW4" s="1"/>
      <c r="KCX4" s="1"/>
      <c r="KCY4" s="1"/>
      <c r="KCZ4" s="1"/>
      <c r="KDA4" s="1"/>
      <c r="KDB4" s="1"/>
      <c r="KDC4" s="1"/>
      <c r="KDD4" s="1"/>
      <c r="KDE4" s="1"/>
      <c r="KDF4" s="1"/>
      <c r="KDG4" s="1"/>
      <c r="KDH4" s="1"/>
      <c r="KDI4" s="1"/>
      <c r="KDJ4" s="1"/>
      <c r="KDK4" s="1"/>
      <c r="KDL4" s="1"/>
      <c r="KDM4" s="1"/>
      <c r="KDN4" s="1"/>
      <c r="KDO4" s="1"/>
      <c r="KDP4" s="1"/>
      <c r="KDQ4" s="1"/>
      <c r="KDR4" s="1"/>
      <c r="KDS4" s="1"/>
      <c r="KDT4" s="1"/>
      <c r="KDU4" s="1"/>
      <c r="KDV4" s="1"/>
      <c r="KDW4" s="1"/>
      <c r="KDX4" s="1"/>
      <c r="KDY4" s="1"/>
      <c r="KDZ4" s="1"/>
      <c r="KEA4" s="1"/>
      <c r="KEB4" s="1"/>
      <c r="KEC4" s="1"/>
      <c r="KED4" s="1"/>
      <c r="KEE4" s="1"/>
      <c r="KEF4" s="1"/>
      <c r="KEG4" s="1"/>
      <c r="KEH4" s="1"/>
      <c r="KEI4" s="1"/>
      <c r="KEJ4" s="1"/>
      <c r="KEK4" s="1"/>
      <c r="KEL4" s="1"/>
      <c r="KEM4" s="1"/>
      <c r="KEN4" s="1"/>
      <c r="KEO4" s="1"/>
      <c r="KEP4" s="1"/>
      <c r="KEQ4" s="1"/>
      <c r="KER4" s="1"/>
      <c r="KES4" s="1"/>
      <c r="KET4" s="1"/>
      <c r="KEU4" s="1"/>
      <c r="KEV4" s="1"/>
      <c r="KEW4" s="1"/>
      <c r="KEX4" s="1"/>
      <c r="KEY4" s="1"/>
      <c r="KEZ4" s="1"/>
      <c r="KFA4" s="1"/>
      <c r="KFB4" s="1"/>
      <c r="KFC4" s="1"/>
      <c r="KFD4" s="1"/>
      <c r="KFE4" s="1"/>
      <c r="KFF4" s="1"/>
      <c r="KFG4" s="1"/>
      <c r="KFH4" s="1"/>
      <c r="KFI4" s="1"/>
      <c r="KFJ4" s="1"/>
      <c r="KFK4" s="1"/>
      <c r="KFL4" s="1"/>
      <c r="KFM4" s="1"/>
      <c r="KFN4" s="1"/>
      <c r="KFO4" s="1"/>
      <c r="KFP4" s="1"/>
      <c r="KFQ4" s="1"/>
      <c r="KFR4" s="1"/>
      <c r="KFS4" s="1"/>
      <c r="KFT4" s="1"/>
      <c r="KFU4" s="1"/>
      <c r="KFV4" s="1"/>
      <c r="KFW4" s="1"/>
      <c r="KFX4" s="1"/>
      <c r="KFY4" s="1"/>
      <c r="KFZ4" s="1"/>
      <c r="KGA4" s="1"/>
      <c r="KGB4" s="1"/>
      <c r="KGC4" s="1"/>
      <c r="KGD4" s="1"/>
      <c r="KGE4" s="1"/>
      <c r="KGF4" s="1"/>
      <c r="KGG4" s="1"/>
      <c r="KGH4" s="1"/>
      <c r="KGI4" s="1"/>
      <c r="KGJ4" s="1"/>
      <c r="KGK4" s="1"/>
      <c r="KGL4" s="1"/>
      <c r="KGM4" s="1"/>
      <c r="KGN4" s="1"/>
      <c r="KGO4" s="1"/>
      <c r="KGP4" s="1"/>
      <c r="KGQ4" s="1"/>
      <c r="KGR4" s="1"/>
      <c r="KGS4" s="1"/>
      <c r="KGT4" s="1"/>
      <c r="KGU4" s="1"/>
      <c r="KGV4" s="1"/>
      <c r="KGW4" s="1"/>
      <c r="KGX4" s="1"/>
      <c r="KGY4" s="1"/>
      <c r="KGZ4" s="1"/>
      <c r="KHA4" s="1"/>
      <c r="KHB4" s="1"/>
      <c r="KHC4" s="1"/>
      <c r="KHD4" s="1"/>
      <c r="KHE4" s="1"/>
      <c r="KHF4" s="1"/>
      <c r="KHG4" s="1"/>
      <c r="KHH4" s="1"/>
      <c r="KHI4" s="1"/>
      <c r="KHJ4" s="1"/>
      <c r="KHK4" s="1"/>
      <c r="KHL4" s="1"/>
      <c r="KHM4" s="1"/>
      <c r="KHN4" s="1"/>
      <c r="KHO4" s="1"/>
      <c r="KHP4" s="1"/>
      <c r="KHQ4" s="1"/>
      <c r="KHR4" s="1"/>
      <c r="KHS4" s="1"/>
      <c r="KHT4" s="1"/>
      <c r="KHU4" s="1"/>
      <c r="KHV4" s="1"/>
      <c r="KHW4" s="1"/>
      <c r="KHX4" s="1"/>
      <c r="KHY4" s="1"/>
      <c r="KHZ4" s="1"/>
      <c r="KIA4" s="1"/>
      <c r="KIB4" s="1"/>
      <c r="KIC4" s="1"/>
      <c r="KID4" s="1"/>
      <c r="KIE4" s="1"/>
      <c r="KIF4" s="1"/>
      <c r="KIG4" s="1"/>
      <c r="KIH4" s="1"/>
      <c r="KII4" s="1"/>
      <c r="KIJ4" s="1"/>
      <c r="KIK4" s="1"/>
      <c r="KIL4" s="1"/>
      <c r="KIM4" s="1"/>
      <c r="KIN4" s="1"/>
      <c r="KIO4" s="1"/>
      <c r="KIP4" s="1"/>
      <c r="KIQ4" s="1"/>
      <c r="KIR4" s="1"/>
      <c r="KIS4" s="1"/>
      <c r="KIT4" s="1"/>
      <c r="KIU4" s="1"/>
      <c r="KIV4" s="1"/>
      <c r="KIW4" s="1"/>
      <c r="KIX4" s="1"/>
      <c r="KIY4" s="1"/>
      <c r="KIZ4" s="1"/>
      <c r="KJA4" s="1"/>
      <c r="KJB4" s="1"/>
      <c r="KJC4" s="1"/>
      <c r="KJD4" s="1"/>
      <c r="KJE4" s="1"/>
      <c r="KJF4" s="1"/>
      <c r="KJG4" s="1"/>
      <c r="KJH4" s="1"/>
      <c r="KJI4" s="1"/>
      <c r="KJJ4" s="1"/>
      <c r="KJK4" s="1"/>
      <c r="KJL4" s="1"/>
      <c r="KJM4" s="1"/>
      <c r="KJN4" s="1"/>
      <c r="KJO4" s="1"/>
      <c r="KJP4" s="1"/>
      <c r="KJQ4" s="1"/>
      <c r="KJR4" s="1"/>
      <c r="KJS4" s="1"/>
      <c r="KJT4" s="1"/>
      <c r="KJU4" s="1"/>
      <c r="KJV4" s="1"/>
      <c r="KJW4" s="1"/>
      <c r="KJX4" s="1"/>
      <c r="KJY4" s="1"/>
      <c r="KJZ4" s="1"/>
      <c r="KKA4" s="1"/>
      <c r="KKB4" s="1"/>
      <c r="KKC4" s="1"/>
      <c r="KKD4" s="1"/>
      <c r="KKE4" s="1"/>
      <c r="KKF4" s="1"/>
      <c r="KKG4" s="1"/>
      <c r="KKH4" s="1"/>
      <c r="KKI4" s="1"/>
      <c r="KKJ4" s="1"/>
      <c r="KKK4" s="1"/>
      <c r="KKL4" s="1"/>
      <c r="KKM4" s="1"/>
      <c r="KKN4" s="1"/>
      <c r="KKO4" s="1"/>
      <c r="KKP4" s="1"/>
      <c r="KKQ4" s="1"/>
      <c r="KKR4" s="1"/>
      <c r="KKS4" s="1"/>
      <c r="KKT4" s="1"/>
      <c r="KKU4" s="1"/>
      <c r="KKV4" s="1"/>
      <c r="KKW4" s="1"/>
      <c r="KKX4" s="1"/>
      <c r="KKY4" s="1"/>
      <c r="KKZ4" s="1"/>
      <c r="KLA4" s="1"/>
      <c r="KLB4" s="1"/>
      <c r="KLC4" s="1"/>
      <c r="KLD4" s="1"/>
      <c r="KLE4" s="1"/>
      <c r="KLF4" s="1"/>
      <c r="KLG4" s="1"/>
      <c r="KLH4" s="1"/>
      <c r="KLI4" s="1"/>
      <c r="KLJ4" s="1"/>
      <c r="KLK4" s="1"/>
      <c r="KLL4" s="1"/>
      <c r="KLM4" s="1"/>
      <c r="KLN4" s="1"/>
      <c r="KLO4" s="1"/>
      <c r="KLP4" s="1"/>
      <c r="KLQ4" s="1"/>
      <c r="KLR4" s="1"/>
      <c r="KLS4" s="1"/>
      <c r="KLT4" s="1"/>
      <c r="KLU4" s="1"/>
      <c r="KLV4" s="1"/>
      <c r="KLW4" s="1"/>
      <c r="KLX4" s="1"/>
      <c r="KLY4" s="1"/>
      <c r="KLZ4" s="1"/>
      <c r="KMA4" s="1"/>
      <c r="KMB4" s="1"/>
      <c r="KMC4" s="1"/>
      <c r="KMD4" s="1"/>
      <c r="KME4" s="1"/>
      <c r="KMF4" s="1"/>
      <c r="KMG4" s="1"/>
      <c r="KMH4" s="1"/>
      <c r="KMI4" s="1"/>
      <c r="KMJ4" s="1"/>
      <c r="KMK4" s="1"/>
      <c r="KML4" s="1"/>
      <c r="KMM4" s="1"/>
      <c r="KMN4" s="1"/>
      <c r="KMO4" s="1"/>
      <c r="KMP4" s="1"/>
      <c r="KMQ4" s="1"/>
      <c r="KMR4" s="1"/>
      <c r="KMS4" s="1"/>
      <c r="KMT4" s="1"/>
      <c r="KMU4" s="1"/>
      <c r="KMV4" s="1"/>
      <c r="KMW4" s="1"/>
      <c r="KMX4" s="1"/>
      <c r="KMY4" s="1"/>
      <c r="KMZ4" s="1"/>
      <c r="KNA4" s="1"/>
      <c r="KNB4" s="1"/>
      <c r="KNC4" s="1"/>
      <c r="KND4" s="1"/>
      <c r="KNE4" s="1"/>
      <c r="KNF4" s="1"/>
      <c r="KNG4" s="1"/>
      <c r="KNH4" s="1"/>
      <c r="KNI4" s="1"/>
      <c r="KNJ4" s="1"/>
      <c r="KNK4" s="1"/>
      <c r="KNL4" s="1"/>
      <c r="KNM4" s="1"/>
      <c r="KNN4" s="1"/>
      <c r="KNO4" s="1"/>
      <c r="KNP4" s="1"/>
      <c r="KNQ4" s="1"/>
      <c r="KNR4" s="1"/>
      <c r="KNS4" s="1"/>
      <c r="KNT4" s="1"/>
      <c r="KNU4" s="1"/>
      <c r="KNV4" s="1"/>
      <c r="KNW4" s="1"/>
      <c r="KNX4" s="1"/>
      <c r="KNY4" s="1"/>
      <c r="KNZ4" s="1"/>
      <c r="KOA4" s="1"/>
      <c r="KOB4" s="1"/>
      <c r="KOC4" s="1"/>
      <c r="KOD4" s="1"/>
      <c r="KOE4" s="1"/>
      <c r="KOF4" s="1"/>
      <c r="KOG4" s="1"/>
      <c r="KOH4" s="1"/>
      <c r="KOI4" s="1"/>
      <c r="KOJ4" s="1"/>
      <c r="KOK4" s="1"/>
      <c r="KOL4" s="1"/>
      <c r="KOM4" s="1"/>
      <c r="KON4" s="1"/>
      <c r="KOO4" s="1"/>
      <c r="KOP4" s="1"/>
      <c r="KOQ4" s="1"/>
      <c r="KOR4" s="1"/>
      <c r="KOS4" s="1"/>
      <c r="KOT4" s="1"/>
      <c r="KOU4" s="1"/>
      <c r="KOV4" s="1"/>
      <c r="KOW4" s="1"/>
      <c r="KOX4" s="1"/>
      <c r="KOY4" s="1"/>
      <c r="KOZ4" s="1"/>
      <c r="KPA4" s="1"/>
      <c r="KPB4" s="1"/>
      <c r="KPC4" s="1"/>
      <c r="KPD4" s="1"/>
      <c r="KPE4" s="1"/>
      <c r="KPF4" s="1"/>
      <c r="KPG4" s="1"/>
      <c r="KPH4" s="1"/>
      <c r="KPI4" s="1"/>
      <c r="KPJ4" s="1"/>
      <c r="KPK4" s="1"/>
      <c r="KPL4" s="1"/>
      <c r="KPM4" s="1"/>
      <c r="KPN4" s="1"/>
      <c r="KPO4" s="1"/>
      <c r="KPP4" s="1"/>
      <c r="KPQ4" s="1"/>
      <c r="KPR4" s="1"/>
      <c r="KPS4" s="1"/>
      <c r="KPT4" s="1"/>
      <c r="KPU4" s="1"/>
      <c r="KPV4" s="1"/>
      <c r="KPW4" s="1"/>
      <c r="KPX4" s="1"/>
      <c r="KPY4" s="1"/>
      <c r="KPZ4" s="1"/>
      <c r="KQA4" s="1"/>
      <c r="KQB4" s="1"/>
      <c r="KQC4" s="1"/>
      <c r="KQD4" s="1"/>
      <c r="KQE4" s="1"/>
      <c r="KQF4" s="1"/>
      <c r="KQG4" s="1"/>
      <c r="KQH4" s="1"/>
      <c r="KQI4" s="1"/>
      <c r="KQJ4" s="1"/>
      <c r="KQK4" s="1"/>
      <c r="KQL4" s="1"/>
      <c r="KQM4" s="1"/>
      <c r="KQN4" s="1"/>
      <c r="KQO4" s="1"/>
      <c r="KQP4" s="1"/>
      <c r="KQQ4" s="1"/>
      <c r="KQR4" s="1"/>
      <c r="KQS4" s="1"/>
      <c r="KQT4" s="1"/>
      <c r="KQU4" s="1"/>
      <c r="KQV4" s="1"/>
      <c r="KQW4" s="1"/>
      <c r="KQX4" s="1"/>
      <c r="KQY4" s="1"/>
      <c r="KQZ4" s="1"/>
      <c r="KRA4" s="1"/>
      <c r="KRB4" s="1"/>
      <c r="KRC4" s="1"/>
      <c r="KRD4" s="1"/>
      <c r="KRE4" s="1"/>
      <c r="KRF4" s="1"/>
      <c r="KRG4" s="1"/>
      <c r="KRH4" s="1"/>
      <c r="KRI4" s="1"/>
      <c r="KRJ4" s="1"/>
      <c r="KRK4" s="1"/>
      <c r="KRL4" s="1"/>
      <c r="KRM4" s="1"/>
      <c r="KRN4" s="1"/>
      <c r="KRO4" s="1"/>
      <c r="KRP4" s="1"/>
      <c r="KRQ4" s="1"/>
      <c r="KRR4" s="1"/>
      <c r="KRS4" s="1"/>
      <c r="KRT4" s="1"/>
      <c r="KRU4" s="1"/>
      <c r="KRV4" s="1"/>
      <c r="KRW4" s="1"/>
      <c r="KRX4" s="1"/>
      <c r="KRY4" s="1"/>
      <c r="KRZ4" s="1"/>
      <c r="KSA4" s="1"/>
      <c r="KSB4" s="1"/>
      <c r="KSC4" s="1"/>
      <c r="KSD4" s="1"/>
      <c r="KSE4" s="1"/>
      <c r="KSF4" s="1"/>
      <c r="KSG4" s="1"/>
      <c r="KSH4" s="1"/>
      <c r="KSI4" s="1"/>
      <c r="KSJ4" s="1"/>
      <c r="KSK4" s="1"/>
      <c r="KSL4" s="1"/>
      <c r="KSM4" s="1"/>
      <c r="KSN4" s="1"/>
      <c r="KSO4" s="1"/>
      <c r="KSP4" s="1"/>
      <c r="KSQ4" s="1"/>
      <c r="KSR4" s="1"/>
      <c r="KSS4" s="1"/>
      <c r="KST4" s="1"/>
      <c r="KSU4" s="1"/>
      <c r="KSV4" s="1"/>
      <c r="KSW4" s="1"/>
      <c r="KSX4" s="1"/>
      <c r="KSY4" s="1"/>
      <c r="KSZ4" s="1"/>
      <c r="KTA4" s="1"/>
      <c r="KTB4" s="1"/>
      <c r="KTC4" s="1"/>
      <c r="KTD4" s="1"/>
      <c r="KTE4" s="1"/>
      <c r="KTF4" s="1"/>
      <c r="KTG4" s="1"/>
      <c r="KTH4" s="1"/>
      <c r="KTI4" s="1"/>
      <c r="KTJ4" s="1"/>
      <c r="KTK4" s="1"/>
      <c r="KTL4" s="1"/>
      <c r="KTM4" s="1"/>
      <c r="KTN4" s="1"/>
      <c r="KTO4" s="1"/>
      <c r="KTP4" s="1"/>
      <c r="KTQ4" s="1"/>
      <c r="KTR4" s="1"/>
      <c r="KTS4" s="1"/>
      <c r="KTT4" s="1"/>
      <c r="KTU4" s="1"/>
      <c r="KTV4" s="1"/>
      <c r="KTW4" s="1"/>
      <c r="KTX4" s="1"/>
      <c r="KTY4" s="1"/>
      <c r="KTZ4" s="1"/>
      <c r="KUA4" s="1"/>
      <c r="KUB4" s="1"/>
      <c r="KUC4" s="1"/>
      <c r="KUD4" s="1"/>
      <c r="KUE4" s="1"/>
      <c r="KUF4" s="1"/>
      <c r="KUG4" s="1"/>
      <c r="KUH4" s="1"/>
      <c r="KUI4" s="1"/>
      <c r="KUJ4" s="1"/>
      <c r="KUK4" s="1"/>
      <c r="KUL4" s="1"/>
      <c r="KUM4" s="1"/>
      <c r="KUN4" s="1"/>
      <c r="KUO4" s="1"/>
      <c r="KUP4" s="1"/>
      <c r="KUQ4" s="1"/>
      <c r="KUR4" s="1"/>
      <c r="KUS4" s="1"/>
      <c r="KUT4" s="1"/>
      <c r="KUU4" s="1"/>
      <c r="KUV4" s="1"/>
      <c r="KUW4" s="1"/>
      <c r="KUX4" s="1"/>
      <c r="KUY4" s="1"/>
      <c r="KUZ4" s="1"/>
      <c r="KVA4" s="1"/>
      <c r="KVB4" s="1"/>
      <c r="KVC4" s="1"/>
      <c r="KVD4" s="1"/>
      <c r="KVE4" s="1"/>
      <c r="KVF4" s="1"/>
      <c r="KVG4" s="1"/>
      <c r="KVH4" s="1"/>
      <c r="KVI4" s="1"/>
      <c r="KVJ4" s="1"/>
      <c r="KVK4" s="1"/>
      <c r="KVL4" s="1"/>
      <c r="KVM4" s="1"/>
      <c r="KVN4" s="1"/>
      <c r="KVO4" s="1"/>
      <c r="KVP4" s="1"/>
      <c r="KVQ4" s="1"/>
      <c r="KVR4" s="1"/>
      <c r="KVS4" s="1"/>
      <c r="KVT4" s="1"/>
      <c r="KVU4" s="1"/>
      <c r="KVV4" s="1"/>
      <c r="KVW4" s="1"/>
      <c r="KVX4" s="1"/>
      <c r="KVY4" s="1"/>
      <c r="KVZ4" s="1"/>
      <c r="KWA4" s="1"/>
      <c r="KWB4" s="1"/>
      <c r="KWC4" s="1"/>
      <c r="KWD4" s="1"/>
      <c r="KWE4" s="1"/>
      <c r="KWF4" s="1"/>
      <c r="KWG4" s="1"/>
      <c r="KWH4" s="1"/>
      <c r="KWI4" s="1"/>
      <c r="KWJ4" s="1"/>
      <c r="KWK4" s="1"/>
      <c r="KWL4" s="1"/>
      <c r="KWM4" s="1"/>
      <c r="KWN4" s="1"/>
      <c r="KWO4" s="1"/>
      <c r="KWP4" s="1"/>
      <c r="KWQ4" s="1"/>
      <c r="KWR4" s="1"/>
      <c r="KWS4" s="1"/>
      <c r="KWT4" s="1"/>
      <c r="KWU4" s="1"/>
      <c r="KWV4" s="1"/>
      <c r="KWW4" s="1"/>
      <c r="KWX4" s="1"/>
      <c r="KWY4" s="1"/>
      <c r="KWZ4" s="1"/>
      <c r="KXA4" s="1"/>
      <c r="KXB4" s="1"/>
      <c r="KXC4" s="1"/>
      <c r="KXD4" s="1"/>
      <c r="KXE4" s="1"/>
      <c r="KXF4" s="1"/>
      <c r="KXG4" s="1"/>
      <c r="KXH4" s="1"/>
      <c r="KXI4" s="1"/>
      <c r="KXJ4" s="1"/>
      <c r="KXK4" s="1"/>
      <c r="KXL4" s="1"/>
      <c r="KXM4" s="1"/>
      <c r="KXN4" s="1"/>
      <c r="KXO4" s="1"/>
      <c r="KXP4" s="1"/>
      <c r="KXQ4" s="1"/>
      <c r="KXR4" s="1"/>
      <c r="KXS4" s="1"/>
      <c r="KXT4" s="1"/>
      <c r="KXU4" s="1"/>
      <c r="KXV4" s="1"/>
      <c r="KXW4" s="1"/>
      <c r="KXX4" s="1"/>
      <c r="KXY4" s="1"/>
      <c r="KXZ4" s="1"/>
      <c r="KYA4" s="1"/>
      <c r="KYB4" s="1"/>
      <c r="KYC4" s="1"/>
      <c r="KYD4" s="1"/>
      <c r="KYE4" s="1"/>
      <c r="KYF4" s="1"/>
      <c r="KYG4" s="1"/>
      <c r="KYH4" s="1"/>
      <c r="KYI4" s="1"/>
      <c r="KYJ4" s="1"/>
      <c r="KYK4" s="1"/>
      <c r="KYL4" s="1"/>
      <c r="KYM4" s="1"/>
      <c r="KYN4" s="1"/>
      <c r="KYO4" s="1"/>
      <c r="KYP4" s="1"/>
      <c r="KYQ4" s="1"/>
      <c r="KYR4" s="1"/>
      <c r="KYS4" s="1"/>
      <c r="KYT4" s="1"/>
      <c r="KYU4" s="1"/>
      <c r="KYV4" s="1"/>
      <c r="KYW4" s="1"/>
      <c r="KYX4" s="1"/>
      <c r="KYY4" s="1"/>
      <c r="KYZ4" s="1"/>
      <c r="KZA4" s="1"/>
      <c r="KZB4" s="1"/>
      <c r="KZC4" s="1"/>
      <c r="KZD4" s="1"/>
      <c r="KZE4" s="1"/>
      <c r="KZF4" s="1"/>
      <c r="KZG4" s="1"/>
      <c r="KZH4" s="1"/>
      <c r="KZI4" s="1"/>
      <c r="KZJ4" s="1"/>
      <c r="KZK4" s="1"/>
      <c r="KZL4" s="1"/>
      <c r="KZM4" s="1"/>
      <c r="KZN4" s="1"/>
      <c r="KZO4" s="1"/>
      <c r="KZP4" s="1"/>
      <c r="KZQ4" s="1"/>
      <c r="KZR4" s="1"/>
      <c r="KZS4" s="1"/>
      <c r="KZT4" s="1"/>
      <c r="KZU4" s="1"/>
      <c r="KZV4" s="1"/>
      <c r="KZW4" s="1"/>
      <c r="KZX4" s="1"/>
      <c r="KZY4" s="1"/>
      <c r="KZZ4" s="1"/>
      <c r="LAA4" s="1"/>
      <c r="LAB4" s="1"/>
      <c r="LAC4" s="1"/>
      <c r="LAD4" s="1"/>
      <c r="LAE4" s="1"/>
      <c r="LAF4" s="1"/>
      <c r="LAG4" s="1"/>
      <c r="LAH4" s="1"/>
      <c r="LAI4" s="1"/>
      <c r="LAJ4" s="1"/>
      <c r="LAK4" s="1"/>
      <c r="LAL4" s="1"/>
      <c r="LAM4" s="1"/>
      <c r="LAN4" s="1"/>
      <c r="LAO4" s="1"/>
      <c r="LAP4" s="1"/>
      <c r="LAQ4" s="1"/>
      <c r="LAR4" s="1"/>
      <c r="LAS4" s="1"/>
      <c r="LAT4" s="1"/>
      <c r="LAU4" s="1"/>
      <c r="LAV4" s="1"/>
      <c r="LAW4" s="1"/>
      <c r="LAX4" s="1"/>
      <c r="LAY4" s="1"/>
      <c r="LAZ4" s="1"/>
      <c r="LBA4" s="1"/>
      <c r="LBB4" s="1"/>
      <c r="LBC4" s="1"/>
      <c r="LBD4" s="1"/>
      <c r="LBE4" s="1"/>
      <c r="LBF4" s="1"/>
      <c r="LBG4" s="1"/>
      <c r="LBH4" s="1"/>
      <c r="LBI4" s="1"/>
      <c r="LBJ4" s="1"/>
      <c r="LBK4" s="1"/>
      <c r="LBL4" s="1"/>
      <c r="LBM4" s="1"/>
      <c r="LBN4" s="1"/>
      <c r="LBO4" s="1"/>
      <c r="LBP4" s="1"/>
      <c r="LBQ4" s="1"/>
      <c r="LBR4" s="1"/>
      <c r="LBS4" s="1"/>
      <c r="LBT4" s="1"/>
      <c r="LBU4" s="1"/>
      <c r="LBV4" s="1"/>
      <c r="LBW4" s="1"/>
      <c r="LBX4" s="1"/>
      <c r="LBY4" s="1"/>
      <c r="LBZ4" s="1"/>
      <c r="LCA4" s="1"/>
      <c r="LCB4" s="1"/>
      <c r="LCC4" s="1"/>
      <c r="LCD4" s="1"/>
      <c r="LCE4" s="1"/>
      <c r="LCF4" s="1"/>
      <c r="LCG4" s="1"/>
      <c r="LCH4" s="1"/>
      <c r="LCI4" s="1"/>
      <c r="LCJ4" s="1"/>
      <c r="LCK4" s="1"/>
      <c r="LCL4" s="1"/>
      <c r="LCM4" s="1"/>
      <c r="LCN4" s="1"/>
      <c r="LCO4" s="1"/>
      <c r="LCP4" s="1"/>
      <c r="LCQ4" s="1"/>
      <c r="LCR4" s="1"/>
      <c r="LCS4" s="1"/>
      <c r="LCT4" s="1"/>
      <c r="LCU4" s="1"/>
      <c r="LCV4" s="1"/>
      <c r="LCW4" s="1"/>
      <c r="LCX4" s="1"/>
      <c r="LCY4" s="1"/>
      <c r="LCZ4" s="1"/>
      <c r="LDA4" s="1"/>
      <c r="LDB4" s="1"/>
      <c r="LDC4" s="1"/>
      <c r="LDD4" s="1"/>
      <c r="LDE4" s="1"/>
      <c r="LDF4" s="1"/>
      <c r="LDG4" s="1"/>
      <c r="LDH4" s="1"/>
      <c r="LDI4" s="1"/>
      <c r="LDJ4" s="1"/>
      <c r="LDK4" s="1"/>
      <c r="LDL4" s="1"/>
      <c r="LDM4" s="1"/>
      <c r="LDN4" s="1"/>
      <c r="LDO4" s="1"/>
      <c r="LDP4" s="1"/>
      <c r="LDQ4" s="1"/>
      <c r="LDR4" s="1"/>
      <c r="LDS4" s="1"/>
      <c r="LDT4" s="1"/>
      <c r="LDU4" s="1"/>
      <c r="LDV4" s="1"/>
      <c r="LDW4" s="1"/>
      <c r="LDX4" s="1"/>
      <c r="LDY4" s="1"/>
      <c r="LDZ4" s="1"/>
      <c r="LEA4" s="1"/>
      <c r="LEB4" s="1"/>
      <c r="LEC4" s="1"/>
      <c r="LED4" s="1"/>
      <c r="LEE4" s="1"/>
      <c r="LEF4" s="1"/>
      <c r="LEG4" s="1"/>
      <c r="LEH4" s="1"/>
      <c r="LEI4" s="1"/>
      <c r="LEJ4" s="1"/>
      <c r="LEK4" s="1"/>
      <c r="LEL4" s="1"/>
      <c r="LEM4" s="1"/>
      <c r="LEN4" s="1"/>
      <c r="LEO4" s="1"/>
      <c r="LEP4" s="1"/>
      <c r="LEQ4" s="1"/>
      <c r="LER4" s="1"/>
      <c r="LES4" s="1"/>
      <c r="LET4" s="1"/>
      <c r="LEU4" s="1"/>
      <c r="LEV4" s="1"/>
      <c r="LEW4" s="1"/>
      <c r="LEX4" s="1"/>
      <c r="LEY4" s="1"/>
      <c r="LEZ4" s="1"/>
      <c r="LFA4" s="1"/>
      <c r="LFB4" s="1"/>
      <c r="LFC4" s="1"/>
      <c r="LFD4" s="1"/>
      <c r="LFE4" s="1"/>
      <c r="LFF4" s="1"/>
      <c r="LFG4" s="1"/>
      <c r="LFH4" s="1"/>
      <c r="LFI4" s="1"/>
      <c r="LFJ4" s="1"/>
      <c r="LFK4" s="1"/>
      <c r="LFL4" s="1"/>
      <c r="LFM4" s="1"/>
      <c r="LFN4" s="1"/>
      <c r="LFO4" s="1"/>
      <c r="LFP4" s="1"/>
      <c r="LFQ4" s="1"/>
      <c r="LFR4" s="1"/>
      <c r="LFS4" s="1"/>
      <c r="LFT4" s="1"/>
      <c r="LFU4" s="1"/>
      <c r="LFV4" s="1"/>
      <c r="LFW4" s="1"/>
      <c r="LFX4" s="1"/>
      <c r="LFY4" s="1"/>
      <c r="LFZ4" s="1"/>
      <c r="LGA4" s="1"/>
      <c r="LGB4" s="1"/>
      <c r="LGC4" s="1"/>
      <c r="LGD4" s="1"/>
      <c r="LGE4" s="1"/>
      <c r="LGF4" s="1"/>
      <c r="LGG4" s="1"/>
      <c r="LGH4" s="1"/>
      <c r="LGI4" s="1"/>
      <c r="LGJ4" s="1"/>
      <c r="LGK4" s="1"/>
      <c r="LGL4" s="1"/>
      <c r="LGM4" s="1"/>
      <c r="LGN4" s="1"/>
      <c r="LGO4" s="1"/>
      <c r="LGP4" s="1"/>
      <c r="LGQ4" s="1"/>
      <c r="LGR4" s="1"/>
      <c r="LGS4" s="1"/>
      <c r="LGT4" s="1"/>
      <c r="LGU4" s="1"/>
      <c r="LGV4" s="1"/>
      <c r="LGW4" s="1"/>
      <c r="LGX4" s="1"/>
      <c r="LGY4" s="1"/>
      <c r="LGZ4" s="1"/>
      <c r="LHA4" s="1"/>
      <c r="LHB4" s="1"/>
      <c r="LHC4" s="1"/>
      <c r="LHD4" s="1"/>
      <c r="LHE4" s="1"/>
      <c r="LHF4" s="1"/>
      <c r="LHG4" s="1"/>
      <c r="LHH4" s="1"/>
      <c r="LHI4" s="1"/>
      <c r="LHJ4" s="1"/>
      <c r="LHK4" s="1"/>
      <c r="LHL4" s="1"/>
      <c r="LHM4" s="1"/>
      <c r="LHN4" s="1"/>
      <c r="LHO4" s="1"/>
      <c r="LHP4" s="1"/>
      <c r="LHQ4" s="1"/>
      <c r="LHR4" s="1"/>
      <c r="LHS4" s="1"/>
      <c r="LHT4" s="1"/>
      <c r="LHU4" s="1"/>
      <c r="LHV4" s="1"/>
      <c r="LHW4" s="1"/>
      <c r="LHX4" s="1"/>
      <c r="LHY4" s="1"/>
      <c r="LHZ4" s="1"/>
      <c r="LIA4" s="1"/>
      <c r="LIB4" s="1"/>
      <c r="LIC4" s="1"/>
      <c r="LID4" s="1"/>
      <c r="LIE4" s="1"/>
      <c r="LIF4" s="1"/>
      <c r="LIG4" s="1"/>
      <c r="LIH4" s="1"/>
      <c r="LII4" s="1"/>
      <c r="LIJ4" s="1"/>
      <c r="LIK4" s="1"/>
      <c r="LIL4" s="1"/>
      <c r="LIM4" s="1"/>
      <c r="LIN4" s="1"/>
      <c r="LIO4" s="1"/>
      <c r="LIP4" s="1"/>
      <c r="LIQ4" s="1"/>
      <c r="LIR4" s="1"/>
      <c r="LIS4" s="1"/>
      <c r="LIT4" s="1"/>
      <c r="LIU4" s="1"/>
      <c r="LIV4" s="1"/>
      <c r="LIW4" s="1"/>
      <c r="LIX4" s="1"/>
      <c r="LIY4" s="1"/>
      <c r="LIZ4" s="1"/>
      <c r="LJA4" s="1"/>
      <c r="LJB4" s="1"/>
      <c r="LJC4" s="1"/>
      <c r="LJD4" s="1"/>
      <c r="LJE4" s="1"/>
      <c r="LJF4" s="1"/>
      <c r="LJG4" s="1"/>
      <c r="LJH4" s="1"/>
      <c r="LJI4" s="1"/>
      <c r="LJJ4" s="1"/>
      <c r="LJK4" s="1"/>
      <c r="LJL4" s="1"/>
      <c r="LJM4" s="1"/>
      <c r="LJN4" s="1"/>
      <c r="LJO4" s="1"/>
      <c r="LJP4" s="1"/>
      <c r="LJQ4" s="1"/>
      <c r="LJR4" s="1"/>
      <c r="LJS4" s="1"/>
      <c r="LJT4" s="1"/>
      <c r="LJU4" s="1"/>
      <c r="LJV4" s="1"/>
      <c r="LJW4" s="1"/>
      <c r="LJX4" s="1"/>
      <c r="LJY4" s="1"/>
      <c r="LJZ4" s="1"/>
      <c r="LKA4" s="1"/>
      <c r="LKB4" s="1"/>
      <c r="LKC4" s="1"/>
      <c r="LKD4" s="1"/>
      <c r="LKE4" s="1"/>
      <c r="LKF4" s="1"/>
      <c r="LKG4" s="1"/>
      <c r="LKH4" s="1"/>
      <c r="LKI4" s="1"/>
      <c r="LKJ4" s="1"/>
      <c r="LKK4" s="1"/>
      <c r="LKL4" s="1"/>
      <c r="LKM4" s="1"/>
      <c r="LKN4" s="1"/>
      <c r="LKO4" s="1"/>
      <c r="LKP4" s="1"/>
      <c r="LKQ4" s="1"/>
      <c r="LKR4" s="1"/>
      <c r="LKS4" s="1"/>
      <c r="LKT4" s="1"/>
      <c r="LKU4" s="1"/>
      <c r="LKV4" s="1"/>
      <c r="LKW4" s="1"/>
      <c r="LKX4" s="1"/>
      <c r="LKY4" s="1"/>
      <c r="LKZ4" s="1"/>
      <c r="LLA4" s="1"/>
      <c r="LLB4" s="1"/>
      <c r="LLC4" s="1"/>
      <c r="LLD4" s="1"/>
      <c r="LLE4" s="1"/>
      <c r="LLF4" s="1"/>
      <c r="LLG4" s="1"/>
      <c r="LLH4" s="1"/>
      <c r="LLI4" s="1"/>
      <c r="LLJ4" s="1"/>
      <c r="LLK4" s="1"/>
      <c r="LLL4" s="1"/>
      <c r="LLM4" s="1"/>
      <c r="LLN4" s="1"/>
      <c r="LLO4" s="1"/>
      <c r="LLP4" s="1"/>
      <c r="LLQ4" s="1"/>
      <c r="LLR4" s="1"/>
      <c r="LLS4" s="1"/>
      <c r="LLT4" s="1"/>
      <c r="LLU4" s="1"/>
      <c r="LLV4" s="1"/>
      <c r="LLW4" s="1"/>
      <c r="LLX4" s="1"/>
      <c r="LLY4" s="1"/>
      <c r="LLZ4" s="1"/>
      <c r="LMA4" s="1"/>
      <c r="LMB4" s="1"/>
      <c r="LMC4" s="1"/>
      <c r="LMD4" s="1"/>
      <c r="LME4" s="1"/>
      <c r="LMF4" s="1"/>
      <c r="LMG4" s="1"/>
      <c r="LMH4" s="1"/>
      <c r="LMI4" s="1"/>
      <c r="LMJ4" s="1"/>
      <c r="LMK4" s="1"/>
      <c r="LML4" s="1"/>
      <c r="LMM4" s="1"/>
      <c r="LMN4" s="1"/>
      <c r="LMO4" s="1"/>
      <c r="LMP4" s="1"/>
      <c r="LMQ4" s="1"/>
      <c r="LMR4" s="1"/>
      <c r="LMS4" s="1"/>
      <c r="LMT4" s="1"/>
      <c r="LMU4" s="1"/>
      <c r="LMV4" s="1"/>
      <c r="LMW4" s="1"/>
      <c r="LMX4" s="1"/>
      <c r="LMY4" s="1"/>
      <c r="LMZ4" s="1"/>
      <c r="LNA4" s="1"/>
      <c r="LNB4" s="1"/>
      <c r="LNC4" s="1"/>
      <c r="LND4" s="1"/>
      <c r="LNE4" s="1"/>
      <c r="LNF4" s="1"/>
      <c r="LNG4" s="1"/>
      <c r="LNH4" s="1"/>
      <c r="LNI4" s="1"/>
      <c r="LNJ4" s="1"/>
      <c r="LNK4" s="1"/>
      <c r="LNL4" s="1"/>
      <c r="LNM4" s="1"/>
      <c r="LNN4" s="1"/>
      <c r="LNO4" s="1"/>
      <c r="LNP4" s="1"/>
      <c r="LNQ4" s="1"/>
      <c r="LNR4" s="1"/>
      <c r="LNS4" s="1"/>
      <c r="LNT4" s="1"/>
      <c r="LNU4" s="1"/>
      <c r="LNV4" s="1"/>
      <c r="LNW4" s="1"/>
      <c r="LNX4" s="1"/>
      <c r="LNY4" s="1"/>
      <c r="LNZ4" s="1"/>
      <c r="LOA4" s="1"/>
      <c r="LOB4" s="1"/>
      <c r="LOC4" s="1"/>
      <c r="LOD4" s="1"/>
      <c r="LOE4" s="1"/>
      <c r="LOF4" s="1"/>
      <c r="LOG4" s="1"/>
      <c r="LOH4" s="1"/>
      <c r="LOI4" s="1"/>
      <c r="LOJ4" s="1"/>
      <c r="LOK4" s="1"/>
      <c r="LOL4" s="1"/>
      <c r="LOM4" s="1"/>
      <c r="LON4" s="1"/>
      <c r="LOO4" s="1"/>
      <c r="LOP4" s="1"/>
      <c r="LOQ4" s="1"/>
      <c r="LOR4" s="1"/>
      <c r="LOS4" s="1"/>
      <c r="LOT4" s="1"/>
      <c r="LOU4" s="1"/>
      <c r="LOV4" s="1"/>
      <c r="LOW4" s="1"/>
      <c r="LOX4" s="1"/>
      <c r="LOY4" s="1"/>
      <c r="LOZ4" s="1"/>
      <c r="LPA4" s="1"/>
      <c r="LPB4" s="1"/>
      <c r="LPC4" s="1"/>
      <c r="LPD4" s="1"/>
      <c r="LPE4" s="1"/>
      <c r="LPF4" s="1"/>
      <c r="LPG4" s="1"/>
      <c r="LPH4" s="1"/>
      <c r="LPI4" s="1"/>
      <c r="LPJ4" s="1"/>
      <c r="LPK4" s="1"/>
      <c r="LPL4" s="1"/>
      <c r="LPM4" s="1"/>
      <c r="LPN4" s="1"/>
      <c r="LPO4" s="1"/>
      <c r="LPP4" s="1"/>
      <c r="LPQ4" s="1"/>
      <c r="LPR4" s="1"/>
      <c r="LPS4" s="1"/>
      <c r="LPT4" s="1"/>
      <c r="LPU4" s="1"/>
      <c r="LPV4" s="1"/>
      <c r="LPW4" s="1"/>
      <c r="LPX4" s="1"/>
      <c r="LPY4" s="1"/>
      <c r="LPZ4" s="1"/>
      <c r="LQA4" s="1"/>
      <c r="LQB4" s="1"/>
      <c r="LQC4" s="1"/>
      <c r="LQD4" s="1"/>
      <c r="LQE4" s="1"/>
      <c r="LQF4" s="1"/>
      <c r="LQG4" s="1"/>
      <c r="LQH4" s="1"/>
      <c r="LQI4" s="1"/>
      <c r="LQJ4" s="1"/>
      <c r="LQK4" s="1"/>
      <c r="LQL4" s="1"/>
      <c r="LQM4" s="1"/>
      <c r="LQN4" s="1"/>
      <c r="LQO4" s="1"/>
      <c r="LQP4" s="1"/>
      <c r="LQQ4" s="1"/>
      <c r="LQR4" s="1"/>
      <c r="LQS4" s="1"/>
      <c r="LQT4" s="1"/>
      <c r="LQU4" s="1"/>
      <c r="LQV4" s="1"/>
      <c r="LQW4" s="1"/>
      <c r="LQX4" s="1"/>
      <c r="LQY4" s="1"/>
      <c r="LQZ4" s="1"/>
      <c r="LRA4" s="1"/>
      <c r="LRB4" s="1"/>
      <c r="LRC4" s="1"/>
      <c r="LRD4" s="1"/>
      <c r="LRE4" s="1"/>
      <c r="LRF4" s="1"/>
      <c r="LRG4" s="1"/>
      <c r="LRH4" s="1"/>
      <c r="LRI4" s="1"/>
      <c r="LRJ4" s="1"/>
      <c r="LRK4" s="1"/>
      <c r="LRL4" s="1"/>
      <c r="LRM4" s="1"/>
      <c r="LRN4" s="1"/>
      <c r="LRO4" s="1"/>
      <c r="LRP4" s="1"/>
      <c r="LRQ4" s="1"/>
      <c r="LRR4" s="1"/>
      <c r="LRS4" s="1"/>
      <c r="LRT4" s="1"/>
      <c r="LRU4" s="1"/>
      <c r="LRV4" s="1"/>
      <c r="LRW4" s="1"/>
      <c r="LRX4" s="1"/>
      <c r="LRY4" s="1"/>
      <c r="LRZ4" s="1"/>
      <c r="LSA4" s="1"/>
      <c r="LSB4" s="1"/>
      <c r="LSC4" s="1"/>
      <c r="LSD4" s="1"/>
      <c r="LSE4" s="1"/>
      <c r="LSF4" s="1"/>
      <c r="LSG4" s="1"/>
      <c r="LSH4" s="1"/>
      <c r="LSI4" s="1"/>
      <c r="LSJ4" s="1"/>
      <c r="LSK4" s="1"/>
      <c r="LSL4" s="1"/>
      <c r="LSM4" s="1"/>
      <c r="LSN4" s="1"/>
      <c r="LSO4" s="1"/>
      <c r="LSP4" s="1"/>
      <c r="LSQ4" s="1"/>
      <c r="LSR4" s="1"/>
      <c r="LSS4" s="1"/>
      <c r="LST4" s="1"/>
      <c r="LSU4" s="1"/>
      <c r="LSV4" s="1"/>
      <c r="LSW4" s="1"/>
      <c r="LSX4" s="1"/>
      <c r="LSY4" s="1"/>
      <c r="LSZ4" s="1"/>
      <c r="LTA4" s="1"/>
      <c r="LTB4" s="1"/>
      <c r="LTC4" s="1"/>
      <c r="LTD4" s="1"/>
      <c r="LTE4" s="1"/>
      <c r="LTF4" s="1"/>
      <c r="LTG4" s="1"/>
      <c r="LTH4" s="1"/>
      <c r="LTI4" s="1"/>
      <c r="LTJ4" s="1"/>
      <c r="LTK4" s="1"/>
      <c r="LTL4" s="1"/>
      <c r="LTM4" s="1"/>
      <c r="LTN4" s="1"/>
      <c r="LTO4" s="1"/>
      <c r="LTP4" s="1"/>
      <c r="LTQ4" s="1"/>
      <c r="LTR4" s="1"/>
      <c r="LTS4" s="1"/>
      <c r="LTT4" s="1"/>
      <c r="LTU4" s="1"/>
      <c r="LTV4" s="1"/>
      <c r="LTW4" s="1"/>
      <c r="LTX4" s="1"/>
      <c r="LTY4" s="1"/>
      <c r="LTZ4" s="1"/>
      <c r="LUA4" s="1"/>
      <c r="LUB4" s="1"/>
      <c r="LUC4" s="1"/>
      <c r="LUD4" s="1"/>
      <c r="LUE4" s="1"/>
      <c r="LUF4" s="1"/>
      <c r="LUG4" s="1"/>
      <c r="LUH4" s="1"/>
      <c r="LUI4" s="1"/>
      <c r="LUJ4" s="1"/>
      <c r="LUK4" s="1"/>
      <c r="LUL4" s="1"/>
      <c r="LUM4" s="1"/>
      <c r="LUN4" s="1"/>
      <c r="LUO4" s="1"/>
      <c r="LUP4" s="1"/>
      <c r="LUQ4" s="1"/>
      <c r="LUR4" s="1"/>
      <c r="LUS4" s="1"/>
      <c r="LUT4" s="1"/>
      <c r="LUU4" s="1"/>
      <c r="LUV4" s="1"/>
      <c r="LUW4" s="1"/>
      <c r="LUX4" s="1"/>
      <c r="LUY4" s="1"/>
      <c r="LUZ4" s="1"/>
      <c r="LVA4" s="1"/>
      <c r="LVB4" s="1"/>
      <c r="LVC4" s="1"/>
      <c r="LVD4" s="1"/>
      <c r="LVE4" s="1"/>
      <c r="LVF4" s="1"/>
      <c r="LVG4" s="1"/>
      <c r="LVH4" s="1"/>
      <c r="LVI4" s="1"/>
      <c r="LVJ4" s="1"/>
      <c r="LVK4" s="1"/>
      <c r="LVL4" s="1"/>
      <c r="LVM4" s="1"/>
      <c r="LVN4" s="1"/>
      <c r="LVO4" s="1"/>
      <c r="LVP4" s="1"/>
      <c r="LVQ4" s="1"/>
      <c r="LVR4" s="1"/>
      <c r="LVS4" s="1"/>
      <c r="LVT4" s="1"/>
      <c r="LVU4" s="1"/>
      <c r="LVV4" s="1"/>
      <c r="LVW4" s="1"/>
      <c r="LVX4" s="1"/>
      <c r="LVY4" s="1"/>
      <c r="LVZ4" s="1"/>
      <c r="LWA4" s="1"/>
      <c r="LWB4" s="1"/>
      <c r="LWC4" s="1"/>
      <c r="LWD4" s="1"/>
      <c r="LWE4" s="1"/>
      <c r="LWF4" s="1"/>
      <c r="LWG4" s="1"/>
      <c r="LWH4" s="1"/>
      <c r="LWI4" s="1"/>
      <c r="LWJ4" s="1"/>
      <c r="LWK4" s="1"/>
      <c r="LWL4" s="1"/>
      <c r="LWM4" s="1"/>
      <c r="LWN4" s="1"/>
      <c r="LWO4" s="1"/>
      <c r="LWP4" s="1"/>
      <c r="LWQ4" s="1"/>
      <c r="LWR4" s="1"/>
      <c r="LWS4" s="1"/>
      <c r="LWT4" s="1"/>
      <c r="LWU4" s="1"/>
      <c r="LWV4" s="1"/>
      <c r="LWW4" s="1"/>
      <c r="LWX4" s="1"/>
      <c r="LWY4" s="1"/>
      <c r="LWZ4" s="1"/>
      <c r="LXA4" s="1"/>
      <c r="LXB4" s="1"/>
      <c r="LXC4" s="1"/>
      <c r="LXD4" s="1"/>
      <c r="LXE4" s="1"/>
      <c r="LXF4" s="1"/>
      <c r="LXG4" s="1"/>
      <c r="LXH4" s="1"/>
      <c r="LXI4" s="1"/>
      <c r="LXJ4" s="1"/>
      <c r="LXK4" s="1"/>
      <c r="LXL4" s="1"/>
      <c r="LXM4" s="1"/>
      <c r="LXN4" s="1"/>
      <c r="LXO4" s="1"/>
      <c r="LXP4" s="1"/>
      <c r="LXQ4" s="1"/>
      <c r="LXR4" s="1"/>
      <c r="LXS4" s="1"/>
      <c r="LXT4" s="1"/>
      <c r="LXU4" s="1"/>
      <c r="LXV4" s="1"/>
      <c r="LXW4" s="1"/>
      <c r="LXX4" s="1"/>
      <c r="LXY4" s="1"/>
      <c r="LXZ4" s="1"/>
      <c r="LYA4" s="1"/>
      <c r="LYB4" s="1"/>
      <c r="LYC4" s="1"/>
      <c r="LYD4" s="1"/>
      <c r="LYE4" s="1"/>
      <c r="LYF4" s="1"/>
      <c r="LYG4" s="1"/>
      <c r="LYH4" s="1"/>
      <c r="LYI4" s="1"/>
      <c r="LYJ4" s="1"/>
      <c r="LYK4" s="1"/>
      <c r="LYL4" s="1"/>
      <c r="LYM4" s="1"/>
      <c r="LYN4" s="1"/>
      <c r="LYO4" s="1"/>
      <c r="LYP4" s="1"/>
      <c r="LYQ4" s="1"/>
      <c r="LYR4" s="1"/>
      <c r="LYS4" s="1"/>
      <c r="LYT4" s="1"/>
      <c r="LYU4" s="1"/>
      <c r="LYV4" s="1"/>
      <c r="LYW4" s="1"/>
      <c r="LYX4" s="1"/>
      <c r="LYY4" s="1"/>
      <c r="LYZ4" s="1"/>
      <c r="LZA4" s="1"/>
      <c r="LZB4" s="1"/>
      <c r="LZC4" s="1"/>
      <c r="LZD4" s="1"/>
      <c r="LZE4" s="1"/>
      <c r="LZF4" s="1"/>
      <c r="LZG4" s="1"/>
      <c r="LZH4" s="1"/>
      <c r="LZI4" s="1"/>
      <c r="LZJ4" s="1"/>
      <c r="LZK4" s="1"/>
      <c r="LZL4" s="1"/>
      <c r="LZM4" s="1"/>
      <c r="LZN4" s="1"/>
      <c r="LZO4" s="1"/>
      <c r="LZP4" s="1"/>
      <c r="LZQ4" s="1"/>
      <c r="LZR4" s="1"/>
      <c r="LZS4" s="1"/>
      <c r="LZT4" s="1"/>
      <c r="LZU4" s="1"/>
      <c r="LZV4" s="1"/>
      <c r="LZW4" s="1"/>
      <c r="LZX4" s="1"/>
      <c r="LZY4" s="1"/>
      <c r="LZZ4" s="1"/>
      <c r="MAA4" s="1"/>
      <c r="MAB4" s="1"/>
      <c r="MAC4" s="1"/>
      <c r="MAD4" s="1"/>
      <c r="MAE4" s="1"/>
      <c r="MAF4" s="1"/>
      <c r="MAG4" s="1"/>
      <c r="MAH4" s="1"/>
      <c r="MAI4" s="1"/>
      <c r="MAJ4" s="1"/>
      <c r="MAK4" s="1"/>
      <c r="MAL4" s="1"/>
      <c r="MAM4" s="1"/>
      <c r="MAN4" s="1"/>
      <c r="MAO4" s="1"/>
      <c r="MAP4" s="1"/>
      <c r="MAQ4" s="1"/>
      <c r="MAR4" s="1"/>
      <c r="MAS4" s="1"/>
      <c r="MAT4" s="1"/>
      <c r="MAU4" s="1"/>
      <c r="MAV4" s="1"/>
      <c r="MAW4" s="1"/>
      <c r="MAX4" s="1"/>
      <c r="MAY4" s="1"/>
      <c r="MAZ4" s="1"/>
      <c r="MBA4" s="1"/>
      <c r="MBB4" s="1"/>
      <c r="MBC4" s="1"/>
      <c r="MBD4" s="1"/>
      <c r="MBE4" s="1"/>
      <c r="MBF4" s="1"/>
      <c r="MBG4" s="1"/>
      <c r="MBH4" s="1"/>
      <c r="MBI4" s="1"/>
      <c r="MBJ4" s="1"/>
      <c r="MBK4" s="1"/>
      <c r="MBL4" s="1"/>
      <c r="MBM4" s="1"/>
      <c r="MBN4" s="1"/>
      <c r="MBO4" s="1"/>
      <c r="MBP4" s="1"/>
      <c r="MBQ4" s="1"/>
      <c r="MBR4" s="1"/>
      <c r="MBS4" s="1"/>
      <c r="MBT4" s="1"/>
      <c r="MBU4" s="1"/>
      <c r="MBV4" s="1"/>
      <c r="MBW4" s="1"/>
      <c r="MBX4" s="1"/>
      <c r="MBY4" s="1"/>
      <c r="MBZ4" s="1"/>
      <c r="MCA4" s="1"/>
      <c r="MCB4" s="1"/>
      <c r="MCC4" s="1"/>
      <c r="MCD4" s="1"/>
      <c r="MCE4" s="1"/>
      <c r="MCF4" s="1"/>
      <c r="MCG4" s="1"/>
      <c r="MCH4" s="1"/>
      <c r="MCI4" s="1"/>
      <c r="MCJ4" s="1"/>
      <c r="MCK4" s="1"/>
      <c r="MCL4" s="1"/>
      <c r="MCM4" s="1"/>
      <c r="MCN4" s="1"/>
      <c r="MCO4" s="1"/>
      <c r="MCP4" s="1"/>
      <c r="MCQ4" s="1"/>
      <c r="MCR4" s="1"/>
      <c r="MCS4" s="1"/>
      <c r="MCT4" s="1"/>
      <c r="MCU4" s="1"/>
      <c r="MCV4" s="1"/>
      <c r="MCW4" s="1"/>
      <c r="MCX4" s="1"/>
      <c r="MCY4" s="1"/>
      <c r="MCZ4" s="1"/>
      <c r="MDA4" s="1"/>
      <c r="MDB4" s="1"/>
      <c r="MDC4" s="1"/>
      <c r="MDD4" s="1"/>
      <c r="MDE4" s="1"/>
      <c r="MDF4" s="1"/>
      <c r="MDG4" s="1"/>
      <c r="MDH4" s="1"/>
      <c r="MDI4" s="1"/>
      <c r="MDJ4" s="1"/>
      <c r="MDK4" s="1"/>
      <c r="MDL4" s="1"/>
      <c r="MDM4" s="1"/>
      <c r="MDN4" s="1"/>
      <c r="MDO4" s="1"/>
      <c r="MDP4" s="1"/>
      <c r="MDQ4" s="1"/>
      <c r="MDR4" s="1"/>
      <c r="MDS4" s="1"/>
      <c r="MDT4" s="1"/>
      <c r="MDU4" s="1"/>
      <c r="MDV4" s="1"/>
      <c r="MDW4" s="1"/>
      <c r="MDX4" s="1"/>
      <c r="MDY4" s="1"/>
      <c r="MDZ4" s="1"/>
      <c r="MEA4" s="1"/>
      <c r="MEB4" s="1"/>
      <c r="MEC4" s="1"/>
      <c r="MED4" s="1"/>
      <c r="MEE4" s="1"/>
      <c r="MEF4" s="1"/>
      <c r="MEG4" s="1"/>
      <c r="MEH4" s="1"/>
      <c r="MEI4" s="1"/>
      <c r="MEJ4" s="1"/>
      <c r="MEK4" s="1"/>
      <c r="MEL4" s="1"/>
      <c r="MEM4" s="1"/>
      <c r="MEN4" s="1"/>
      <c r="MEO4" s="1"/>
      <c r="MEP4" s="1"/>
      <c r="MEQ4" s="1"/>
      <c r="MER4" s="1"/>
      <c r="MES4" s="1"/>
      <c r="MET4" s="1"/>
      <c r="MEU4" s="1"/>
      <c r="MEV4" s="1"/>
      <c r="MEW4" s="1"/>
      <c r="MEX4" s="1"/>
      <c r="MEY4" s="1"/>
      <c r="MEZ4" s="1"/>
      <c r="MFA4" s="1"/>
      <c r="MFB4" s="1"/>
      <c r="MFC4" s="1"/>
      <c r="MFD4" s="1"/>
      <c r="MFE4" s="1"/>
      <c r="MFF4" s="1"/>
      <c r="MFG4" s="1"/>
      <c r="MFH4" s="1"/>
      <c r="MFI4" s="1"/>
      <c r="MFJ4" s="1"/>
      <c r="MFK4" s="1"/>
      <c r="MFL4" s="1"/>
      <c r="MFM4" s="1"/>
      <c r="MFN4" s="1"/>
      <c r="MFO4" s="1"/>
      <c r="MFP4" s="1"/>
      <c r="MFQ4" s="1"/>
      <c r="MFR4" s="1"/>
      <c r="MFS4" s="1"/>
      <c r="MFT4" s="1"/>
      <c r="MFU4" s="1"/>
      <c r="MFV4" s="1"/>
      <c r="MFW4" s="1"/>
      <c r="MFX4" s="1"/>
      <c r="MFY4" s="1"/>
      <c r="MFZ4" s="1"/>
      <c r="MGA4" s="1"/>
      <c r="MGB4" s="1"/>
      <c r="MGC4" s="1"/>
      <c r="MGD4" s="1"/>
      <c r="MGE4" s="1"/>
      <c r="MGF4" s="1"/>
      <c r="MGG4" s="1"/>
      <c r="MGH4" s="1"/>
      <c r="MGI4" s="1"/>
      <c r="MGJ4" s="1"/>
      <c r="MGK4" s="1"/>
      <c r="MGL4" s="1"/>
      <c r="MGM4" s="1"/>
      <c r="MGN4" s="1"/>
      <c r="MGO4" s="1"/>
      <c r="MGP4" s="1"/>
      <c r="MGQ4" s="1"/>
      <c r="MGR4" s="1"/>
      <c r="MGS4" s="1"/>
      <c r="MGT4" s="1"/>
      <c r="MGU4" s="1"/>
      <c r="MGV4" s="1"/>
      <c r="MGW4" s="1"/>
      <c r="MGX4" s="1"/>
      <c r="MGY4" s="1"/>
      <c r="MGZ4" s="1"/>
      <c r="MHA4" s="1"/>
      <c r="MHB4" s="1"/>
      <c r="MHC4" s="1"/>
      <c r="MHD4" s="1"/>
      <c r="MHE4" s="1"/>
      <c r="MHF4" s="1"/>
      <c r="MHG4" s="1"/>
      <c r="MHH4" s="1"/>
      <c r="MHI4" s="1"/>
      <c r="MHJ4" s="1"/>
      <c r="MHK4" s="1"/>
      <c r="MHL4" s="1"/>
      <c r="MHM4" s="1"/>
      <c r="MHN4" s="1"/>
      <c r="MHO4" s="1"/>
      <c r="MHP4" s="1"/>
      <c r="MHQ4" s="1"/>
      <c r="MHR4" s="1"/>
      <c r="MHS4" s="1"/>
      <c r="MHT4" s="1"/>
      <c r="MHU4" s="1"/>
      <c r="MHV4" s="1"/>
      <c r="MHW4" s="1"/>
      <c r="MHX4" s="1"/>
      <c r="MHY4" s="1"/>
      <c r="MHZ4" s="1"/>
      <c r="MIA4" s="1"/>
      <c r="MIB4" s="1"/>
      <c r="MIC4" s="1"/>
      <c r="MID4" s="1"/>
      <c r="MIE4" s="1"/>
      <c r="MIF4" s="1"/>
      <c r="MIG4" s="1"/>
      <c r="MIH4" s="1"/>
      <c r="MII4" s="1"/>
      <c r="MIJ4" s="1"/>
      <c r="MIK4" s="1"/>
      <c r="MIL4" s="1"/>
      <c r="MIM4" s="1"/>
      <c r="MIN4" s="1"/>
      <c r="MIO4" s="1"/>
      <c r="MIP4" s="1"/>
      <c r="MIQ4" s="1"/>
      <c r="MIR4" s="1"/>
      <c r="MIS4" s="1"/>
      <c r="MIT4" s="1"/>
      <c r="MIU4" s="1"/>
      <c r="MIV4" s="1"/>
      <c r="MIW4" s="1"/>
      <c r="MIX4" s="1"/>
      <c r="MIY4" s="1"/>
      <c r="MIZ4" s="1"/>
      <c r="MJA4" s="1"/>
      <c r="MJB4" s="1"/>
      <c r="MJC4" s="1"/>
      <c r="MJD4" s="1"/>
      <c r="MJE4" s="1"/>
      <c r="MJF4" s="1"/>
      <c r="MJG4" s="1"/>
      <c r="MJH4" s="1"/>
      <c r="MJI4" s="1"/>
      <c r="MJJ4" s="1"/>
      <c r="MJK4" s="1"/>
      <c r="MJL4" s="1"/>
      <c r="MJM4" s="1"/>
      <c r="MJN4" s="1"/>
      <c r="MJO4" s="1"/>
      <c r="MJP4" s="1"/>
      <c r="MJQ4" s="1"/>
      <c r="MJR4" s="1"/>
      <c r="MJS4" s="1"/>
      <c r="MJT4" s="1"/>
      <c r="MJU4" s="1"/>
      <c r="MJV4" s="1"/>
      <c r="MJW4" s="1"/>
      <c r="MJX4" s="1"/>
      <c r="MJY4" s="1"/>
      <c r="MJZ4" s="1"/>
      <c r="MKA4" s="1"/>
      <c r="MKB4" s="1"/>
      <c r="MKC4" s="1"/>
      <c r="MKD4" s="1"/>
      <c r="MKE4" s="1"/>
      <c r="MKF4" s="1"/>
      <c r="MKG4" s="1"/>
      <c r="MKH4" s="1"/>
      <c r="MKI4" s="1"/>
      <c r="MKJ4" s="1"/>
      <c r="MKK4" s="1"/>
      <c r="MKL4" s="1"/>
      <c r="MKM4" s="1"/>
      <c r="MKN4" s="1"/>
      <c r="MKO4" s="1"/>
      <c r="MKP4" s="1"/>
      <c r="MKQ4" s="1"/>
      <c r="MKR4" s="1"/>
      <c r="MKS4" s="1"/>
      <c r="MKT4" s="1"/>
      <c r="MKU4" s="1"/>
      <c r="MKV4" s="1"/>
      <c r="MKW4" s="1"/>
      <c r="MKX4" s="1"/>
      <c r="MKY4" s="1"/>
      <c r="MKZ4" s="1"/>
      <c r="MLA4" s="1"/>
      <c r="MLB4" s="1"/>
      <c r="MLC4" s="1"/>
      <c r="MLD4" s="1"/>
      <c r="MLE4" s="1"/>
      <c r="MLF4" s="1"/>
      <c r="MLG4" s="1"/>
      <c r="MLH4" s="1"/>
      <c r="MLI4" s="1"/>
      <c r="MLJ4" s="1"/>
      <c r="MLK4" s="1"/>
      <c r="MLL4" s="1"/>
      <c r="MLM4" s="1"/>
      <c r="MLN4" s="1"/>
      <c r="MLO4" s="1"/>
      <c r="MLP4" s="1"/>
      <c r="MLQ4" s="1"/>
      <c r="MLR4" s="1"/>
      <c r="MLS4" s="1"/>
      <c r="MLT4" s="1"/>
      <c r="MLU4" s="1"/>
      <c r="MLV4" s="1"/>
      <c r="MLW4" s="1"/>
      <c r="MLX4" s="1"/>
      <c r="MLY4" s="1"/>
      <c r="MLZ4" s="1"/>
      <c r="MMA4" s="1"/>
      <c r="MMB4" s="1"/>
      <c r="MMC4" s="1"/>
      <c r="MMD4" s="1"/>
      <c r="MME4" s="1"/>
      <c r="MMF4" s="1"/>
      <c r="MMG4" s="1"/>
      <c r="MMH4" s="1"/>
      <c r="MMI4" s="1"/>
      <c r="MMJ4" s="1"/>
      <c r="MMK4" s="1"/>
      <c r="MML4" s="1"/>
      <c r="MMM4" s="1"/>
      <c r="MMN4" s="1"/>
      <c r="MMO4" s="1"/>
      <c r="MMP4" s="1"/>
      <c r="MMQ4" s="1"/>
      <c r="MMR4" s="1"/>
      <c r="MMS4" s="1"/>
      <c r="MMT4" s="1"/>
      <c r="MMU4" s="1"/>
      <c r="MMV4" s="1"/>
      <c r="MMW4" s="1"/>
      <c r="MMX4" s="1"/>
      <c r="MMY4" s="1"/>
      <c r="MMZ4" s="1"/>
      <c r="MNA4" s="1"/>
      <c r="MNB4" s="1"/>
      <c r="MNC4" s="1"/>
      <c r="MND4" s="1"/>
      <c r="MNE4" s="1"/>
      <c r="MNF4" s="1"/>
      <c r="MNG4" s="1"/>
      <c r="MNH4" s="1"/>
      <c r="MNI4" s="1"/>
      <c r="MNJ4" s="1"/>
      <c r="MNK4" s="1"/>
      <c r="MNL4" s="1"/>
      <c r="MNM4" s="1"/>
      <c r="MNN4" s="1"/>
      <c r="MNO4" s="1"/>
      <c r="MNP4" s="1"/>
      <c r="MNQ4" s="1"/>
      <c r="MNR4" s="1"/>
      <c r="MNS4" s="1"/>
      <c r="MNT4" s="1"/>
      <c r="MNU4" s="1"/>
      <c r="MNV4" s="1"/>
      <c r="MNW4" s="1"/>
      <c r="MNX4" s="1"/>
      <c r="MNY4" s="1"/>
      <c r="MNZ4" s="1"/>
      <c r="MOA4" s="1"/>
      <c r="MOB4" s="1"/>
      <c r="MOC4" s="1"/>
      <c r="MOD4" s="1"/>
      <c r="MOE4" s="1"/>
      <c r="MOF4" s="1"/>
      <c r="MOG4" s="1"/>
      <c r="MOH4" s="1"/>
      <c r="MOI4" s="1"/>
      <c r="MOJ4" s="1"/>
      <c r="MOK4" s="1"/>
      <c r="MOL4" s="1"/>
      <c r="MOM4" s="1"/>
      <c r="MON4" s="1"/>
      <c r="MOO4" s="1"/>
      <c r="MOP4" s="1"/>
      <c r="MOQ4" s="1"/>
      <c r="MOR4" s="1"/>
      <c r="MOS4" s="1"/>
      <c r="MOT4" s="1"/>
      <c r="MOU4" s="1"/>
      <c r="MOV4" s="1"/>
      <c r="MOW4" s="1"/>
      <c r="MOX4" s="1"/>
      <c r="MOY4" s="1"/>
      <c r="MOZ4" s="1"/>
      <c r="MPA4" s="1"/>
      <c r="MPB4" s="1"/>
      <c r="MPC4" s="1"/>
      <c r="MPD4" s="1"/>
      <c r="MPE4" s="1"/>
      <c r="MPF4" s="1"/>
      <c r="MPG4" s="1"/>
      <c r="MPH4" s="1"/>
      <c r="MPI4" s="1"/>
      <c r="MPJ4" s="1"/>
      <c r="MPK4" s="1"/>
      <c r="MPL4" s="1"/>
      <c r="MPM4" s="1"/>
      <c r="MPN4" s="1"/>
      <c r="MPO4" s="1"/>
      <c r="MPP4" s="1"/>
      <c r="MPQ4" s="1"/>
      <c r="MPR4" s="1"/>
      <c r="MPS4" s="1"/>
      <c r="MPT4" s="1"/>
      <c r="MPU4" s="1"/>
      <c r="MPV4" s="1"/>
      <c r="MPW4" s="1"/>
      <c r="MPX4" s="1"/>
      <c r="MPY4" s="1"/>
      <c r="MPZ4" s="1"/>
      <c r="MQA4" s="1"/>
      <c r="MQB4" s="1"/>
      <c r="MQC4" s="1"/>
      <c r="MQD4" s="1"/>
      <c r="MQE4" s="1"/>
      <c r="MQF4" s="1"/>
      <c r="MQG4" s="1"/>
      <c r="MQH4" s="1"/>
      <c r="MQI4" s="1"/>
      <c r="MQJ4" s="1"/>
      <c r="MQK4" s="1"/>
      <c r="MQL4" s="1"/>
      <c r="MQM4" s="1"/>
      <c r="MQN4" s="1"/>
      <c r="MQO4" s="1"/>
      <c r="MQP4" s="1"/>
      <c r="MQQ4" s="1"/>
      <c r="MQR4" s="1"/>
      <c r="MQS4" s="1"/>
      <c r="MQT4" s="1"/>
      <c r="MQU4" s="1"/>
      <c r="MQV4" s="1"/>
      <c r="MQW4" s="1"/>
      <c r="MQX4" s="1"/>
      <c r="MQY4" s="1"/>
      <c r="MQZ4" s="1"/>
      <c r="MRA4" s="1"/>
      <c r="MRB4" s="1"/>
      <c r="MRC4" s="1"/>
      <c r="MRD4" s="1"/>
      <c r="MRE4" s="1"/>
      <c r="MRF4" s="1"/>
      <c r="MRG4" s="1"/>
      <c r="MRH4" s="1"/>
      <c r="MRI4" s="1"/>
      <c r="MRJ4" s="1"/>
      <c r="MRK4" s="1"/>
      <c r="MRL4" s="1"/>
      <c r="MRM4" s="1"/>
      <c r="MRN4" s="1"/>
      <c r="MRO4" s="1"/>
      <c r="MRP4" s="1"/>
      <c r="MRQ4" s="1"/>
      <c r="MRR4" s="1"/>
      <c r="MRS4" s="1"/>
      <c r="MRT4" s="1"/>
      <c r="MRU4" s="1"/>
      <c r="MRV4" s="1"/>
      <c r="MRW4" s="1"/>
      <c r="MRX4" s="1"/>
      <c r="MRY4" s="1"/>
      <c r="MRZ4" s="1"/>
      <c r="MSA4" s="1"/>
      <c r="MSB4" s="1"/>
      <c r="MSC4" s="1"/>
      <c r="MSD4" s="1"/>
      <c r="MSE4" s="1"/>
      <c r="MSF4" s="1"/>
      <c r="MSG4" s="1"/>
      <c r="MSH4" s="1"/>
      <c r="MSI4" s="1"/>
      <c r="MSJ4" s="1"/>
      <c r="MSK4" s="1"/>
      <c r="MSL4" s="1"/>
      <c r="MSM4" s="1"/>
      <c r="MSN4" s="1"/>
      <c r="MSO4" s="1"/>
      <c r="MSP4" s="1"/>
      <c r="MSQ4" s="1"/>
      <c r="MSR4" s="1"/>
      <c r="MSS4" s="1"/>
      <c r="MST4" s="1"/>
      <c r="MSU4" s="1"/>
      <c r="MSV4" s="1"/>
      <c r="MSW4" s="1"/>
      <c r="MSX4" s="1"/>
      <c r="MSY4" s="1"/>
      <c r="MSZ4" s="1"/>
      <c r="MTA4" s="1"/>
      <c r="MTB4" s="1"/>
      <c r="MTC4" s="1"/>
      <c r="MTD4" s="1"/>
      <c r="MTE4" s="1"/>
      <c r="MTF4" s="1"/>
      <c r="MTG4" s="1"/>
      <c r="MTH4" s="1"/>
      <c r="MTI4" s="1"/>
      <c r="MTJ4" s="1"/>
      <c r="MTK4" s="1"/>
      <c r="MTL4" s="1"/>
      <c r="MTM4" s="1"/>
      <c r="MTN4" s="1"/>
      <c r="MTO4" s="1"/>
      <c r="MTP4" s="1"/>
      <c r="MTQ4" s="1"/>
      <c r="MTR4" s="1"/>
      <c r="MTS4" s="1"/>
      <c r="MTT4" s="1"/>
      <c r="MTU4" s="1"/>
      <c r="MTV4" s="1"/>
      <c r="MTW4" s="1"/>
      <c r="MTX4" s="1"/>
      <c r="MTY4" s="1"/>
      <c r="MTZ4" s="1"/>
      <c r="MUA4" s="1"/>
      <c r="MUB4" s="1"/>
      <c r="MUC4" s="1"/>
      <c r="MUD4" s="1"/>
      <c r="MUE4" s="1"/>
      <c r="MUF4" s="1"/>
      <c r="MUG4" s="1"/>
      <c r="MUH4" s="1"/>
      <c r="MUI4" s="1"/>
      <c r="MUJ4" s="1"/>
      <c r="MUK4" s="1"/>
      <c r="MUL4" s="1"/>
      <c r="MUM4" s="1"/>
      <c r="MUN4" s="1"/>
      <c r="MUO4" s="1"/>
      <c r="MUP4" s="1"/>
      <c r="MUQ4" s="1"/>
      <c r="MUR4" s="1"/>
      <c r="MUS4" s="1"/>
      <c r="MUT4" s="1"/>
      <c r="MUU4" s="1"/>
      <c r="MUV4" s="1"/>
      <c r="MUW4" s="1"/>
      <c r="MUX4" s="1"/>
      <c r="MUY4" s="1"/>
      <c r="MUZ4" s="1"/>
      <c r="MVA4" s="1"/>
      <c r="MVB4" s="1"/>
      <c r="MVC4" s="1"/>
      <c r="MVD4" s="1"/>
      <c r="MVE4" s="1"/>
      <c r="MVF4" s="1"/>
      <c r="MVG4" s="1"/>
      <c r="MVH4" s="1"/>
      <c r="MVI4" s="1"/>
      <c r="MVJ4" s="1"/>
      <c r="MVK4" s="1"/>
      <c r="MVL4" s="1"/>
      <c r="MVM4" s="1"/>
      <c r="MVN4" s="1"/>
      <c r="MVO4" s="1"/>
      <c r="MVP4" s="1"/>
      <c r="MVQ4" s="1"/>
      <c r="MVR4" s="1"/>
      <c r="MVS4" s="1"/>
      <c r="MVT4" s="1"/>
      <c r="MVU4" s="1"/>
      <c r="MVV4" s="1"/>
      <c r="MVW4" s="1"/>
      <c r="MVX4" s="1"/>
      <c r="MVY4" s="1"/>
      <c r="MVZ4" s="1"/>
      <c r="MWA4" s="1"/>
      <c r="MWB4" s="1"/>
      <c r="MWC4" s="1"/>
      <c r="MWD4" s="1"/>
      <c r="MWE4" s="1"/>
      <c r="MWF4" s="1"/>
      <c r="MWG4" s="1"/>
      <c r="MWH4" s="1"/>
      <c r="MWI4" s="1"/>
      <c r="MWJ4" s="1"/>
      <c r="MWK4" s="1"/>
      <c r="MWL4" s="1"/>
      <c r="MWM4" s="1"/>
      <c r="MWN4" s="1"/>
      <c r="MWO4" s="1"/>
      <c r="MWP4" s="1"/>
      <c r="MWQ4" s="1"/>
      <c r="MWR4" s="1"/>
      <c r="MWS4" s="1"/>
      <c r="MWT4" s="1"/>
      <c r="MWU4" s="1"/>
      <c r="MWV4" s="1"/>
      <c r="MWW4" s="1"/>
      <c r="MWX4" s="1"/>
      <c r="MWY4" s="1"/>
      <c r="MWZ4" s="1"/>
      <c r="MXA4" s="1"/>
      <c r="MXB4" s="1"/>
      <c r="MXC4" s="1"/>
      <c r="MXD4" s="1"/>
      <c r="MXE4" s="1"/>
      <c r="MXF4" s="1"/>
      <c r="MXG4" s="1"/>
      <c r="MXH4" s="1"/>
      <c r="MXI4" s="1"/>
      <c r="MXJ4" s="1"/>
      <c r="MXK4" s="1"/>
      <c r="MXL4" s="1"/>
      <c r="MXM4" s="1"/>
      <c r="MXN4" s="1"/>
      <c r="MXO4" s="1"/>
      <c r="MXP4" s="1"/>
      <c r="MXQ4" s="1"/>
      <c r="MXR4" s="1"/>
      <c r="MXS4" s="1"/>
      <c r="MXT4" s="1"/>
      <c r="MXU4" s="1"/>
      <c r="MXV4" s="1"/>
      <c r="MXW4" s="1"/>
      <c r="MXX4" s="1"/>
      <c r="MXY4" s="1"/>
      <c r="MXZ4" s="1"/>
      <c r="MYA4" s="1"/>
      <c r="MYB4" s="1"/>
      <c r="MYC4" s="1"/>
      <c r="MYD4" s="1"/>
      <c r="MYE4" s="1"/>
      <c r="MYF4" s="1"/>
      <c r="MYG4" s="1"/>
      <c r="MYH4" s="1"/>
      <c r="MYI4" s="1"/>
      <c r="MYJ4" s="1"/>
      <c r="MYK4" s="1"/>
      <c r="MYL4" s="1"/>
      <c r="MYM4" s="1"/>
      <c r="MYN4" s="1"/>
      <c r="MYO4" s="1"/>
      <c r="MYP4" s="1"/>
      <c r="MYQ4" s="1"/>
      <c r="MYR4" s="1"/>
      <c r="MYS4" s="1"/>
      <c r="MYT4" s="1"/>
      <c r="MYU4" s="1"/>
      <c r="MYV4" s="1"/>
      <c r="MYW4" s="1"/>
      <c r="MYX4" s="1"/>
      <c r="MYY4" s="1"/>
      <c r="MYZ4" s="1"/>
      <c r="MZA4" s="1"/>
      <c r="MZB4" s="1"/>
      <c r="MZC4" s="1"/>
      <c r="MZD4" s="1"/>
      <c r="MZE4" s="1"/>
      <c r="MZF4" s="1"/>
      <c r="MZG4" s="1"/>
      <c r="MZH4" s="1"/>
      <c r="MZI4" s="1"/>
      <c r="MZJ4" s="1"/>
      <c r="MZK4" s="1"/>
      <c r="MZL4" s="1"/>
      <c r="MZM4" s="1"/>
      <c r="MZN4" s="1"/>
      <c r="MZO4" s="1"/>
      <c r="MZP4" s="1"/>
      <c r="MZQ4" s="1"/>
      <c r="MZR4" s="1"/>
      <c r="MZS4" s="1"/>
      <c r="MZT4" s="1"/>
      <c r="MZU4" s="1"/>
      <c r="MZV4" s="1"/>
      <c r="MZW4" s="1"/>
      <c r="MZX4" s="1"/>
      <c r="MZY4" s="1"/>
      <c r="MZZ4" s="1"/>
      <c r="NAA4" s="1"/>
      <c r="NAB4" s="1"/>
      <c r="NAC4" s="1"/>
      <c r="NAD4" s="1"/>
      <c r="NAE4" s="1"/>
      <c r="NAF4" s="1"/>
      <c r="NAG4" s="1"/>
      <c r="NAH4" s="1"/>
      <c r="NAI4" s="1"/>
      <c r="NAJ4" s="1"/>
      <c r="NAK4" s="1"/>
      <c r="NAL4" s="1"/>
      <c r="NAM4" s="1"/>
      <c r="NAN4" s="1"/>
      <c r="NAO4" s="1"/>
      <c r="NAP4" s="1"/>
      <c r="NAQ4" s="1"/>
      <c r="NAR4" s="1"/>
      <c r="NAS4" s="1"/>
      <c r="NAT4" s="1"/>
      <c r="NAU4" s="1"/>
      <c r="NAV4" s="1"/>
      <c r="NAW4" s="1"/>
      <c r="NAX4" s="1"/>
      <c r="NAY4" s="1"/>
      <c r="NAZ4" s="1"/>
      <c r="NBA4" s="1"/>
      <c r="NBB4" s="1"/>
      <c r="NBC4" s="1"/>
      <c r="NBD4" s="1"/>
      <c r="NBE4" s="1"/>
      <c r="NBF4" s="1"/>
      <c r="NBG4" s="1"/>
      <c r="NBH4" s="1"/>
      <c r="NBI4" s="1"/>
      <c r="NBJ4" s="1"/>
      <c r="NBK4" s="1"/>
      <c r="NBL4" s="1"/>
      <c r="NBM4" s="1"/>
      <c r="NBN4" s="1"/>
      <c r="NBO4" s="1"/>
      <c r="NBP4" s="1"/>
      <c r="NBQ4" s="1"/>
      <c r="NBR4" s="1"/>
      <c r="NBS4" s="1"/>
      <c r="NBT4" s="1"/>
      <c r="NBU4" s="1"/>
      <c r="NBV4" s="1"/>
      <c r="NBW4" s="1"/>
      <c r="NBX4" s="1"/>
      <c r="NBY4" s="1"/>
      <c r="NBZ4" s="1"/>
      <c r="NCA4" s="1"/>
      <c r="NCB4" s="1"/>
      <c r="NCC4" s="1"/>
      <c r="NCD4" s="1"/>
      <c r="NCE4" s="1"/>
      <c r="NCF4" s="1"/>
      <c r="NCG4" s="1"/>
      <c r="NCH4" s="1"/>
      <c r="NCI4" s="1"/>
      <c r="NCJ4" s="1"/>
      <c r="NCK4" s="1"/>
      <c r="NCL4" s="1"/>
      <c r="NCM4" s="1"/>
      <c r="NCN4" s="1"/>
      <c r="NCO4" s="1"/>
      <c r="NCP4" s="1"/>
      <c r="NCQ4" s="1"/>
      <c r="NCR4" s="1"/>
      <c r="NCS4" s="1"/>
      <c r="NCT4" s="1"/>
      <c r="NCU4" s="1"/>
      <c r="NCV4" s="1"/>
      <c r="NCW4" s="1"/>
      <c r="NCX4" s="1"/>
      <c r="NCY4" s="1"/>
      <c r="NCZ4" s="1"/>
      <c r="NDA4" s="1"/>
      <c r="NDB4" s="1"/>
      <c r="NDC4" s="1"/>
      <c r="NDD4" s="1"/>
      <c r="NDE4" s="1"/>
      <c r="NDF4" s="1"/>
      <c r="NDG4" s="1"/>
      <c r="NDH4" s="1"/>
      <c r="NDI4" s="1"/>
      <c r="NDJ4" s="1"/>
      <c r="NDK4" s="1"/>
      <c r="NDL4" s="1"/>
      <c r="NDM4" s="1"/>
      <c r="NDN4" s="1"/>
      <c r="NDO4" s="1"/>
      <c r="NDP4" s="1"/>
      <c r="NDQ4" s="1"/>
      <c r="NDR4" s="1"/>
      <c r="NDS4" s="1"/>
      <c r="NDT4" s="1"/>
      <c r="NDU4" s="1"/>
      <c r="NDV4" s="1"/>
      <c r="NDW4" s="1"/>
      <c r="NDX4" s="1"/>
      <c r="NDY4" s="1"/>
      <c r="NDZ4" s="1"/>
      <c r="NEA4" s="1"/>
      <c r="NEB4" s="1"/>
      <c r="NEC4" s="1"/>
      <c r="NED4" s="1"/>
      <c r="NEE4" s="1"/>
      <c r="NEF4" s="1"/>
      <c r="NEG4" s="1"/>
      <c r="NEH4" s="1"/>
      <c r="NEI4" s="1"/>
      <c r="NEJ4" s="1"/>
      <c r="NEK4" s="1"/>
      <c r="NEL4" s="1"/>
      <c r="NEM4" s="1"/>
      <c r="NEN4" s="1"/>
      <c r="NEO4" s="1"/>
      <c r="NEP4" s="1"/>
      <c r="NEQ4" s="1"/>
      <c r="NER4" s="1"/>
      <c r="NES4" s="1"/>
      <c r="NET4" s="1"/>
      <c r="NEU4" s="1"/>
      <c r="NEV4" s="1"/>
      <c r="NEW4" s="1"/>
      <c r="NEX4" s="1"/>
      <c r="NEY4" s="1"/>
      <c r="NEZ4" s="1"/>
      <c r="NFA4" s="1"/>
      <c r="NFB4" s="1"/>
      <c r="NFC4" s="1"/>
      <c r="NFD4" s="1"/>
      <c r="NFE4" s="1"/>
      <c r="NFF4" s="1"/>
      <c r="NFG4" s="1"/>
      <c r="NFH4" s="1"/>
      <c r="NFI4" s="1"/>
      <c r="NFJ4" s="1"/>
      <c r="NFK4" s="1"/>
      <c r="NFL4" s="1"/>
      <c r="NFM4" s="1"/>
      <c r="NFN4" s="1"/>
      <c r="NFO4" s="1"/>
      <c r="NFP4" s="1"/>
      <c r="NFQ4" s="1"/>
      <c r="NFR4" s="1"/>
      <c r="NFS4" s="1"/>
      <c r="NFT4" s="1"/>
      <c r="NFU4" s="1"/>
      <c r="NFV4" s="1"/>
      <c r="NFW4" s="1"/>
      <c r="NFX4" s="1"/>
      <c r="NFY4" s="1"/>
      <c r="NFZ4" s="1"/>
      <c r="NGA4" s="1"/>
      <c r="NGB4" s="1"/>
      <c r="NGC4" s="1"/>
      <c r="NGD4" s="1"/>
      <c r="NGE4" s="1"/>
      <c r="NGF4" s="1"/>
      <c r="NGG4" s="1"/>
      <c r="NGH4" s="1"/>
      <c r="NGI4" s="1"/>
      <c r="NGJ4" s="1"/>
      <c r="NGK4" s="1"/>
      <c r="NGL4" s="1"/>
      <c r="NGM4" s="1"/>
      <c r="NGN4" s="1"/>
      <c r="NGO4" s="1"/>
      <c r="NGP4" s="1"/>
      <c r="NGQ4" s="1"/>
      <c r="NGR4" s="1"/>
      <c r="NGS4" s="1"/>
      <c r="NGT4" s="1"/>
      <c r="NGU4" s="1"/>
      <c r="NGV4" s="1"/>
      <c r="NGW4" s="1"/>
      <c r="NGX4" s="1"/>
      <c r="NGY4" s="1"/>
      <c r="NGZ4" s="1"/>
      <c r="NHA4" s="1"/>
      <c r="NHB4" s="1"/>
      <c r="NHC4" s="1"/>
      <c r="NHD4" s="1"/>
      <c r="NHE4" s="1"/>
      <c r="NHF4" s="1"/>
      <c r="NHG4" s="1"/>
      <c r="NHH4" s="1"/>
      <c r="NHI4" s="1"/>
      <c r="NHJ4" s="1"/>
      <c r="NHK4" s="1"/>
      <c r="NHL4" s="1"/>
      <c r="NHM4" s="1"/>
      <c r="NHN4" s="1"/>
      <c r="NHO4" s="1"/>
      <c r="NHP4" s="1"/>
      <c r="NHQ4" s="1"/>
      <c r="NHR4" s="1"/>
      <c r="NHS4" s="1"/>
      <c r="NHT4" s="1"/>
      <c r="NHU4" s="1"/>
      <c r="NHV4" s="1"/>
      <c r="NHW4" s="1"/>
      <c r="NHX4" s="1"/>
      <c r="NHY4" s="1"/>
      <c r="NHZ4" s="1"/>
      <c r="NIA4" s="1"/>
      <c r="NIB4" s="1"/>
      <c r="NIC4" s="1"/>
      <c r="NID4" s="1"/>
      <c r="NIE4" s="1"/>
      <c r="NIF4" s="1"/>
      <c r="NIG4" s="1"/>
      <c r="NIH4" s="1"/>
      <c r="NII4" s="1"/>
      <c r="NIJ4" s="1"/>
      <c r="NIK4" s="1"/>
      <c r="NIL4" s="1"/>
      <c r="NIM4" s="1"/>
      <c r="NIN4" s="1"/>
      <c r="NIO4" s="1"/>
      <c r="NIP4" s="1"/>
      <c r="NIQ4" s="1"/>
      <c r="NIR4" s="1"/>
      <c r="NIS4" s="1"/>
      <c r="NIT4" s="1"/>
      <c r="NIU4" s="1"/>
      <c r="NIV4" s="1"/>
      <c r="NIW4" s="1"/>
      <c r="NIX4" s="1"/>
      <c r="NIY4" s="1"/>
      <c r="NIZ4" s="1"/>
      <c r="NJA4" s="1"/>
      <c r="NJB4" s="1"/>
      <c r="NJC4" s="1"/>
      <c r="NJD4" s="1"/>
      <c r="NJE4" s="1"/>
      <c r="NJF4" s="1"/>
      <c r="NJG4" s="1"/>
      <c r="NJH4" s="1"/>
      <c r="NJI4" s="1"/>
      <c r="NJJ4" s="1"/>
      <c r="NJK4" s="1"/>
      <c r="NJL4" s="1"/>
      <c r="NJM4" s="1"/>
      <c r="NJN4" s="1"/>
      <c r="NJO4" s="1"/>
      <c r="NJP4" s="1"/>
      <c r="NJQ4" s="1"/>
      <c r="NJR4" s="1"/>
      <c r="NJS4" s="1"/>
      <c r="NJT4" s="1"/>
      <c r="NJU4" s="1"/>
      <c r="NJV4" s="1"/>
      <c r="NJW4" s="1"/>
      <c r="NJX4" s="1"/>
      <c r="NJY4" s="1"/>
      <c r="NJZ4" s="1"/>
      <c r="NKA4" s="1"/>
      <c r="NKB4" s="1"/>
      <c r="NKC4" s="1"/>
      <c r="NKD4" s="1"/>
      <c r="NKE4" s="1"/>
      <c r="NKF4" s="1"/>
      <c r="NKG4" s="1"/>
      <c r="NKH4" s="1"/>
      <c r="NKI4" s="1"/>
      <c r="NKJ4" s="1"/>
      <c r="NKK4" s="1"/>
      <c r="NKL4" s="1"/>
      <c r="NKM4" s="1"/>
      <c r="NKN4" s="1"/>
      <c r="NKO4" s="1"/>
      <c r="NKP4" s="1"/>
      <c r="NKQ4" s="1"/>
      <c r="NKR4" s="1"/>
      <c r="NKS4" s="1"/>
      <c r="NKT4" s="1"/>
      <c r="NKU4" s="1"/>
      <c r="NKV4" s="1"/>
      <c r="NKW4" s="1"/>
      <c r="NKX4" s="1"/>
      <c r="NKY4" s="1"/>
      <c r="NKZ4" s="1"/>
      <c r="NLA4" s="1"/>
      <c r="NLB4" s="1"/>
      <c r="NLC4" s="1"/>
      <c r="NLD4" s="1"/>
      <c r="NLE4" s="1"/>
      <c r="NLF4" s="1"/>
      <c r="NLG4" s="1"/>
      <c r="NLH4" s="1"/>
      <c r="NLI4" s="1"/>
      <c r="NLJ4" s="1"/>
      <c r="NLK4" s="1"/>
      <c r="NLL4" s="1"/>
      <c r="NLM4" s="1"/>
      <c r="NLN4" s="1"/>
      <c r="NLO4" s="1"/>
      <c r="NLP4" s="1"/>
      <c r="NLQ4" s="1"/>
      <c r="NLR4" s="1"/>
      <c r="NLS4" s="1"/>
      <c r="NLT4" s="1"/>
      <c r="NLU4" s="1"/>
      <c r="NLV4" s="1"/>
      <c r="NLW4" s="1"/>
      <c r="NLX4" s="1"/>
      <c r="NLY4" s="1"/>
      <c r="NLZ4" s="1"/>
      <c r="NMA4" s="1"/>
      <c r="NMB4" s="1"/>
      <c r="NMC4" s="1"/>
      <c r="NMD4" s="1"/>
      <c r="NME4" s="1"/>
      <c r="NMF4" s="1"/>
      <c r="NMG4" s="1"/>
      <c r="NMH4" s="1"/>
      <c r="NMI4" s="1"/>
      <c r="NMJ4" s="1"/>
      <c r="NMK4" s="1"/>
      <c r="NML4" s="1"/>
      <c r="NMM4" s="1"/>
      <c r="NMN4" s="1"/>
      <c r="NMO4" s="1"/>
      <c r="NMP4" s="1"/>
      <c r="NMQ4" s="1"/>
      <c r="NMR4" s="1"/>
      <c r="NMS4" s="1"/>
      <c r="NMT4" s="1"/>
      <c r="NMU4" s="1"/>
      <c r="NMV4" s="1"/>
      <c r="NMW4" s="1"/>
      <c r="NMX4" s="1"/>
      <c r="NMY4" s="1"/>
      <c r="NMZ4" s="1"/>
      <c r="NNA4" s="1"/>
      <c r="NNB4" s="1"/>
      <c r="NNC4" s="1"/>
      <c r="NND4" s="1"/>
      <c r="NNE4" s="1"/>
      <c r="NNF4" s="1"/>
      <c r="NNG4" s="1"/>
      <c r="NNH4" s="1"/>
      <c r="NNI4" s="1"/>
      <c r="NNJ4" s="1"/>
      <c r="NNK4" s="1"/>
      <c r="NNL4" s="1"/>
      <c r="NNM4" s="1"/>
      <c r="NNN4" s="1"/>
      <c r="NNO4" s="1"/>
      <c r="NNP4" s="1"/>
      <c r="NNQ4" s="1"/>
      <c r="NNR4" s="1"/>
      <c r="NNS4" s="1"/>
      <c r="NNT4" s="1"/>
      <c r="NNU4" s="1"/>
      <c r="NNV4" s="1"/>
      <c r="NNW4" s="1"/>
      <c r="NNX4" s="1"/>
      <c r="NNY4" s="1"/>
      <c r="NNZ4" s="1"/>
      <c r="NOA4" s="1"/>
      <c r="NOB4" s="1"/>
      <c r="NOC4" s="1"/>
      <c r="NOD4" s="1"/>
      <c r="NOE4" s="1"/>
      <c r="NOF4" s="1"/>
      <c r="NOG4" s="1"/>
      <c r="NOH4" s="1"/>
      <c r="NOI4" s="1"/>
      <c r="NOJ4" s="1"/>
      <c r="NOK4" s="1"/>
      <c r="NOL4" s="1"/>
      <c r="NOM4" s="1"/>
      <c r="NON4" s="1"/>
      <c r="NOO4" s="1"/>
      <c r="NOP4" s="1"/>
      <c r="NOQ4" s="1"/>
      <c r="NOR4" s="1"/>
      <c r="NOS4" s="1"/>
      <c r="NOT4" s="1"/>
      <c r="NOU4" s="1"/>
      <c r="NOV4" s="1"/>
      <c r="NOW4" s="1"/>
      <c r="NOX4" s="1"/>
      <c r="NOY4" s="1"/>
      <c r="NOZ4" s="1"/>
      <c r="NPA4" s="1"/>
      <c r="NPB4" s="1"/>
      <c r="NPC4" s="1"/>
      <c r="NPD4" s="1"/>
      <c r="NPE4" s="1"/>
      <c r="NPF4" s="1"/>
      <c r="NPG4" s="1"/>
      <c r="NPH4" s="1"/>
      <c r="NPI4" s="1"/>
      <c r="NPJ4" s="1"/>
      <c r="NPK4" s="1"/>
      <c r="NPL4" s="1"/>
      <c r="NPM4" s="1"/>
      <c r="NPN4" s="1"/>
      <c r="NPO4" s="1"/>
      <c r="NPP4" s="1"/>
      <c r="NPQ4" s="1"/>
      <c r="NPR4" s="1"/>
      <c r="NPS4" s="1"/>
      <c r="NPT4" s="1"/>
      <c r="NPU4" s="1"/>
      <c r="NPV4" s="1"/>
      <c r="NPW4" s="1"/>
      <c r="NPX4" s="1"/>
      <c r="NPY4" s="1"/>
      <c r="NPZ4" s="1"/>
      <c r="NQA4" s="1"/>
      <c r="NQB4" s="1"/>
      <c r="NQC4" s="1"/>
      <c r="NQD4" s="1"/>
      <c r="NQE4" s="1"/>
      <c r="NQF4" s="1"/>
      <c r="NQG4" s="1"/>
      <c r="NQH4" s="1"/>
      <c r="NQI4" s="1"/>
      <c r="NQJ4" s="1"/>
      <c r="NQK4" s="1"/>
      <c r="NQL4" s="1"/>
      <c r="NQM4" s="1"/>
      <c r="NQN4" s="1"/>
      <c r="NQO4" s="1"/>
      <c r="NQP4" s="1"/>
      <c r="NQQ4" s="1"/>
      <c r="NQR4" s="1"/>
      <c r="NQS4" s="1"/>
      <c r="NQT4" s="1"/>
      <c r="NQU4" s="1"/>
      <c r="NQV4" s="1"/>
      <c r="NQW4" s="1"/>
      <c r="NQX4" s="1"/>
      <c r="NQY4" s="1"/>
      <c r="NQZ4" s="1"/>
      <c r="NRA4" s="1"/>
      <c r="NRB4" s="1"/>
      <c r="NRC4" s="1"/>
      <c r="NRD4" s="1"/>
      <c r="NRE4" s="1"/>
      <c r="NRF4" s="1"/>
      <c r="NRG4" s="1"/>
      <c r="NRH4" s="1"/>
      <c r="NRI4" s="1"/>
      <c r="NRJ4" s="1"/>
      <c r="NRK4" s="1"/>
      <c r="NRL4" s="1"/>
      <c r="NRM4" s="1"/>
      <c r="NRN4" s="1"/>
      <c r="NRO4" s="1"/>
      <c r="NRP4" s="1"/>
      <c r="NRQ4" s="1"/>
      <c r="NRR4" s="1"/>
      <c r="NRS4" s="1"/>
      <c r="NRT4" s="1"/>
      <c r="NRU4" s="1"/>
      <c r="NRV4" s="1"/>
      <c r="NRW4" s="1"/>
      <c r="NRX4" s="1"/>
      <c r="NRY4" s="1"/>
      <c r="NRZ4" s="1"/>
      <c r="NSA4" s="1"/>
      <c r="NSB4" s="1"/>
      <c r="NSC4" s="1"/>
      <c r="NSD4" s="1"/>
      <c r="NSE4" s="1"/>
      <c r="NSF4" s="1"/>
      <c r="NSG4" s="1"/>
      <c r="NSH4" s="1"/>
      <c r="NSI4" s="1"/>
      <c r="NSJ4" s="1"/>
      <c r="NSK4" s="1"/>
      <c r="NSL4" s="1"/>
      <c r="NSM4" s="1"/>
      <c r="NSN4" s="1"/>
      <c r="NSO4" s="1"/>
      <c r="NSP4" s="1"/>
      <c r="NSQ4" s="1"/>
      <c r="NSR4" s="1"/>
      <c r="NSS4" s="1"/>
      <c r="NST4" s="1"/>
      <c r="NSU4" s="1"/>
      <c r="NSV4" s="1"/>
      <c r="NSW4" s="1"/>
      <c r="NSX4" s="1"/>
      <c r="NSY4" s="1"/>
      <c r="NSZ4" s="1"/>
      <c r="NTA4" s="1"/>
      <c r="NTB4" s="1"/>
      <c r="NTC4" s="1"/>
      <c r="NTD4" s="1"/>
      <c r="NTE4" s="1"/>
      <c r="NTF4" s="1"/>
      <c r="NTG4" s="1"/>
      <c r="NTH4" s="1"/>
      <c r="NTI4" s="1"/>
      <c r="NTJ4" s="1"/>
      <c r="NTK4" s="1"/>
      <c r="NTL4" s="1"/>
      <c r="NTM4" s="1"/>
      <c r="NTN4" s="1"/>
      <c r="NTO4" s="1"/>
      <c r="NTP4" s="1"/>
      <c r="NTQ4" s="1"/>
      <c r="NTR4" s="1"/>
      <c r="NTS4" s="1"/>
      <c r="NTT4" s="1"/>
      <c r="NTU4" s="1"/>
      <c r="NTV4" s="1"/>
      <c r="NTW4" s="1"/>
      <c r="NTX4" s="1"/>
      <c r="NTY4" s="1"/>
      <c r="NTZ4" s="1"/>
      <c r="NUA4" s="1"/>
      <c r="NUB4" s="1"/>
      <c r="NUC4" s="1"/>
      <c r="NUD4" s="1"/>
      <c r="NUE4" s="1"/>
      <c r="NUF4" s="1"/>
      <c r="NUG4" s="1"/>
      <c r="NUH4" s="1"/>
      <c r="NUI4" s="1"/>
      <c r="NUJ4" s="1"/>
      <c r="NUK4" s="1"/>
      <c r="NUL4" s="1"/>
      <c r="NUM4" s="1"/>
      <c r="NUN4" s="1"/>
      <c r="NUO4" s="1"/>
      <c r="NUP4" s="1"/>
      <c r="NUQ4" s="1"/>
      <c r="NUR4" s="1"/>
      <c r="NUS4" s="1"/>
      <c r="NUT4" s="1"/>
      <c r="NUU4" s="1"/>
      <c r="NUV4" s="1"/>
      <c r="NUW4" s="1"/>
      <c r="NUX4" s="1"/>
      <c r="NUY4" s="1"/>
      <c r="NUZ4" s="1"/>
      <c r="NVA4" s="1"/>
      <c r="NVB4" s="1"/>
      <c r="NVC4" s="1"/>
      <c r="NVD4" s="1"/>
      <c r="NVE4" s="1"/>
      <c r="NVF4" s="1"/>
      <c r="NVG4" s="1"/>
      <c r="NVH4" s="1"/>
      <c r="NVI4" s="1"/>
      <c r="NVJ4" s="1"/>
      <c r="NVK4" s="1"/>
      <c r="NVL4" s="1"/>
      <c r="NVM4" s="1"/>
      <c r="NVN4" s="1"/>
      <c r="NVO4" s="1"/>
      <c r="NVP4" s="1"/>
      <c r="NVQ4" s="1"/>
      <c r="NVR4" s="1"/>
      <c r="NVS4" s="1"/>
      <c r="NVT4" s="1"/>
      <c r="NVU4" s="1"/>
      <c r="NVV4" s="1"/>
      <c r="NVW4" s="1"/>
      <c r="NVX4" s="1"/>
      <c r="NVY4" s="1"/>
      <c r="NVZ4" s="1"/>
      <c r="NWA4" s="1"/>
      <c r="NWB4" s="1"/>
      <c r="NWC4" s="1"/>
      <c r="NWD4" s="1"/>
      <c r="NWE4" s="1"/>
      <c r="NWF4" s="1"/>
      <c r="NWG4" s="1"/>
      <c r="NWH4" s="1"/>
      <c r="NWI4" s="1"/>
      <c r="NWJ4" s="1"/>
      <c r="NWK4" s="1"/>
      <c r="NWL4" s="1"/>
      <c r="NWM4" s="1"/>
      <c r="NWN4" s="1"/>
      <c r="NWO4" s="1"/>
      <c r="NWP4" s="1"/>
      <c r="NWQ4" s="1"/>
      <c r="NWR4" s="1"/>
      <c r="NWS4" s="1"/>
      <c r="NWT4" s="1"/>
      <c r="NWU4" s="1"/>
      <c r="NWV4" s="1"/>
      <c r="NWW4" s="1"/>
      <c r="NWX4" s="1"/>
      <c r="NWY4" s="1"/>
      <c r="NWZ4" s="1"/>
      <c r="NXA4" s="1"/>
      <c r="NXB4" s="1"/>
      <c r="NXC4" s="1"/>
      <c r="NXD4" s="1"/>
      <c r="NXE4" s="1"/>
      <c r="NXF4" s="1"/>
      <c r="NXG4" s="1"/>
      <c r="NXH4" s="1"/>
      <c r="NXI4" s="1"/>
      <c r="NXJ4" s="1"/>
      <c r="NXK4" s="1"/>
      <c r="NXL4" s="1"/>
      <c r="NXM4" s="1"/>
      <c r="NXN4" s="1"/>
      <c r="NXO4" s="1"/>
      <c r="NXP4" s="1"/>
      <c r="NXQ4" s="1"/>
      <c r="NXR4" s="1"/>
      <c r="NXS4" s="1"/>
      <c r="NXT4" s="1"/>
      <c r="NXU4" s="1"/>
      <c r="NXV4" s="1"/>
      <c r="NXW4" s="1"/>
      <c r="NXX4" s="1"/>
      <c r="NXY4" s="1"/>
      <c r="NXZ4" s="1"/>
      <c r="NYA4" s="1"/>
      <c r="NYB4" s="1"/>
      <c r="NYC4" s="1"/>
      <c r="NYD4" s="1"/>
      <c r="NYE4" s="1"/>
      <c r="NYF4" s="1"/>
      <c r="NYG4" s="1"/>
      <c r="NYH4" s="1"/>
      <c r="NYI4" s="1"/>
      <c r="NYJ4" s="1"/>
      <c r="NYK4" s="1"/>
      <c r="NYL4" s="1"/>
      <c r="NYM4" s="1"/>
      <c r="NYN4" s="1"/>
      <c r="NYO4" s="1"/>
      <c r="NYP4" s="1"/>
      <c r="NYQ4" s="1"/>
      <c r="NYR4" s="1"/>
      <c r="NYS4" s="1"/>
      <c r="NYT4" s="1"/>
      <c r="NYU4" s="1"/>
      <c r="NYV4" s="1"/>
      <c r="NYW4" s="1"/>
      <c r="NYX4" s="1"/>
      <c r="NYY4" s="1"/>
      <c r="NYZ4" s="1"/>
      <c r="NZA4" s="1"/>
      <c r="NZB4" s="1"/>
      <c r="NZC4" s="1"/>
      <c r="NZD4" s="1"/>
      <c r="NZE4" s="1"/>
      <c r="NZF4" s="1"/>
      <c r="NZG4" s="1"/>
      <c r="NZH4" s="1"/>
      <c r="NZI4" s="1"/>
      <c r="NZJ4" s="1"/>
      <c r="NZK4" s="1"/>
      <c r="NZL4" s="1"/>
      <c r="NZM4" s="1"/>
      <c r="NZN4" s="1"/>
      <c r="NZO4" s="1"/>
      <c r="NZP4" s="1"/>
      <c r="NZQ4" s="1"/>
      <c r="NZR4" s="1"/>
      <c r="NZS4" s="1"/>
      <c r="NZT4" s="1"/>
      <c r="NZU4" s="1"/>
      <c r="NZV4" s="1"/>
      <c r="NZW4" s="1"/>
      <c r="NZX4" s="1"/>
      <c r="NZY4" s="1"/>
      <c r="NZZ4" s="1"/>
      <c r="OAA4" s="1"/>
      <c r="OAB4" s="1"/>
      <c r="OAC4" s="1"/>
      <c r="OAD4" s="1"/>
      <c r="OAE4" s="1"/>
      <c r="OAF4" s="1"/>
      <c r="OAG4" s="1"/>
      <c r="OAH4" s="1"/>
      <c r="OAI4" s="1"/>
      <c r="OAJ4" s="1"/>
      <c r="OAK4" s="1"/>
      <c r="OAL4" s="1"/>
      <c r="OAM4" s="1"/>
      <c r="OAN4" s="1"/>
      <c r="OAO4" s="1"/>
      <c r="OAP4" s="1"/>
      <c r="OAQ4" s="1"/>
      <c r="OAR4" s="1"/>
      <c r="OAS4" s="1"/>
      <c r="OAT4" s="1"/>
      <c r="OAU4" s="1"/>
      <c r="OAV4" s="1"/>
      <c r="OAW4" s="1"/>
      <c r="OAX4" s="1"/>
      <c r="OAY4" s="1"/>
      <c r="OAZ4" s="1"/>
      <c r="OBA4" s="1"/>
      <c r="OBB4" s="1"/>
      <c r="OBC4" s="1"/>
      <c r="OBD4" s="1"/>
      <c r="OBE4" s="1"/>
      <c r="OBF4" s="1"/>
      <c r="OBG4" s="1"/>
      <c r="OBH4" s="1"/>
      <c r="OBI4" s="1"/>
      <c r="OBJ4" s="1"/>
      <c r="OBK4" s="1"/>
      <c r="OBL4" s="1"/>
      <c r="OBM4" s="1"/>
      <c r="OBN4" s="1"/>
      <c r="OBO4" s="1"/>
      <c r="OBP4" s="1"/>
      <c r="OBQ4" s="1"/>
      <c r="OBR4" s="1"/>
      <c r="OBS4" s="1"/>
      <c r="OBT4" s="1"/>
      <c r="OBU4" s="1"/>
      <c r="OBV4" s="1"/>
      <c r="OBW4" s="1"/>
      <c r="OBX4" s="1"/>
      <c r="OBY4" s="1"/>
      <c r="OBZ4" s="1"/>
      <c r="OCA4" s="1"/>
      <c r="OCB4" s="1"/>
      <c r="OCC4" s="1"/>
      <c r="OCD4" s="1"/>
      <c r="OCE4" s="1"/>
      <c r="OCF4" s="1"/>
      <c r="OCG4" s="1"/>
      <c r="OCH4" s="1"/>
      <c r="OCI4" s="1"/>
      <c r="OCJ4" s="1"/>
      <c r="OCK4" s="1"/>
      <c r="OCL4" s="1"/>
      <c r="OCM4" s="1"/>
      <c r="OCN4" s="1"/>
      <c r="OCO4" s="1"/>
      <c r="OCP4" s="1"/>
      <c r="OCQ4" s="1"/>
      <c r="OCR4" s="1"/>
      <c r="OCS4" s="1"/>
      <c r="OCT4" s="1"/>
      <c r="OCU4" s="1"/>
      <c r="OCV4" s="1"/>
      <c r="OCW4" s="1"/>
      <c r="OCX4" s="1"/>
      <c r="OCY4" s="1"/>
      <c r="OCZ4" s="1"/>
      <c r="ODA4" s="1"/>
      <c r="ODB4" s="1"/>
      <c r="ODC4" s="1"/>
      <c r="ODD4" s="1"/>
      <c r="ODE4" s="1"/>
      <c r="ODF4" s="1"/>
      <c r="ODG4" s="1"/>
      <c r="ODH4" s="1"/>
      <c r="ODI4" s="1"/>
      <c r="ODJ4" s="1"/>
      <c r="ODK4" s="1"/>
      <c r="ODL4" s="1"/>
      <c r="ODM4" s="1"/>
      <c r="ODN4" s="1"/>
      <c r="ODO4" s="1"/>
      <c r="ODP4" s="1"/>
      <c r="ODQ4" s="1"/>
      <c r="ODR4" s="1"/>
      <c r="ODS4" s="1"/>
      <c r="ODT4" s="1"/>
      <c r="ODU4" s="1"/>
      <c r="ODV4" s="1"/>
      <c r="ODW4" s="1"/>
      <c r="ODX4" s="1"/>
      <c r="ODY4" s="1"/>
      <c r="ODZ4" s="1"/>
      <c r="OEA4" s="1"/>
      <c r="OEB4" s="1"/>
      <c r="OEC4" s="1"/>
      <c r="OED4" s="1"/>
      <c r="OEE4" s="1"/>
      <c r="OEF4" s="1"/>
      <c r="OEG4" s="1"/>
      <c r="OEH4" s="1"/>
      <c r="OEI4" s="1"/>
      <c r="OEJ4" s="1"/>
      <c r="OEK4" s="1"/>
      <c r="OEL4" s="1"/>
      <c r="OEM4" s="1"/>
      <c r="OEN4" s="1"/>
      <c r="OEO4" s="1"/>
      <c r="OEP4" s="1"/>
      <c r="OEQ4" s="1"/>
      <c r="OER4" s="1"/>
      <c r="OES4" s="1"/>
      <c r="OET4" s="1"/>
      <c r="OEU4" s="1"/>
      <c r="OEV4" s="1"/>
      <c r="OEW4" s="1"/>
      <c r="OEX4" s="1"/>
      <c r="OEY4" s="1"/>
      <c r="OEZ4" s="1"/>
      <c r="OFA4" s="1"/>
      <c r="OFB4" s="1"/>
      <c r="OFC4" s="1"/>
      <c r="OFD4" s="1"/>
      <c r="OFE4" s="1"/>
      <c r="OFF4" s="1"/>
      <c r="OFG4" s="1"/>
      <c r="OFH4" s="1"/>
      <c r="OFI4" s="1"/>
      <c r="OFJ4" s="1"/>
      <c r="OFK4" s="1"/>
      <c r="OFL4" s="1"/>
      <c r="OFM4" s="1"/>
      <c r="OFN4" s="1"/>
      <c r="OFO4" s="1"/>
      <c r="OFP4" s="1"/>
      <c r="OFQ4" s="1"/>
      <c r="OFR4" s="1"/>
      <c r="OFS4" s="1"/>
      <c r="OFT4" s="1"/>
      <c r="OFU4" s="1"/>
      <c r="OFV4" s="1"/>
      <c r="OFW4" s="1"/>
      <c r="OFX4" s="1"/>
      <c r="OFY4" s="1"/>
      <c r="OFZ4" s="1"/>
      <c r="OGA4" s="1"/>
      <c r="OGB4" s="1"/>
      <c r="OGC4" s="1"/>
      <c r="OGD4" s="1"/>
      <c r="OGE4" s="1"/>
      <c r="OGF4" s="1"/>
      <c r="OGG4" s="1"/>
      <c r="OGH4" s="1"/>
      <c r="OGI4" s="1"/>
      <c r="OGJ4" s="1"/>
      <c r="OGK4" s="1"/>
      <c r="OGL4" s="1"/>
      <c r="OGM4" s="1"/>
      <c r="OGN4" s="1"/>
      <c r="OGO4" s="1"/>
      <c r="OGP4" s="1"/>
      <c r="OGQ4" s="1"/>
      <c r="OGR4" s="1"/>
      <c r="OGS4" s="1"/>
      <c r="OGT4" s="1"/>
      <c r="OGU4" s="1"/>
      <c r="OGV4" s="1"/>
      <c r="OGW4" s="1"/>
      <c r="OGX4" s="1"/>
      <c r="OGY4" s="1"/>
      <c r="OGZ4" s="1"/>
      <c r="OHA4" s="1"/>
      <c r="OHB4" s="1"/>
      <c r="OHC4" s="1"/>
      <c r="OHD4" s="1"/>
      <c r="OHE4" s="1"/>
      <c r="OHF4" s="1"/>
      <c r="OHG4" s="1"/>
      <c r="OHH4" s="1"/>
      <c r="OHI4" s="1"/>
      <c r="OHJ4" s="1"/>
      <c r="OHK4" s="1"/>
      <c r="OHL4" s="1"/>
      <c r="OHM4" s="1"/>
      <c r="OHN4" s="1"/>
      <c r="OHO4" s="1"/>
      <c r="OHP4" s="1"/>
      <c r="OHQ4" s="1"/>
      <c r="OHR4" s="1"/>
      <c r="OHS4" s="1"/>
      <c r="OHT4" s="1"/>
      <c r="OHU4" s="1"/>
      <c r="OHV4" s="1"/>
      <c r="OHW4" s="1"/>
      <c r="OHX4" s="1"/>
      <c r="OHY4" s="1"/>
      <c r="OHZ4" s="1"/>
      <c r="OIA4" s="1"/>
      <c r="OIB4" s="1"/>
      <c r="OIC4" s="1"/>
      <c r="OID4" s="1"/>
      <c r="OIE4" s="1"/>
      <c r="OIF4" s="1"/>
      <c r="OIG4" s="1"/>
      <c r="OIH4" s="1"/>
      <c r="OII4" s="1"/>
      <c r="OIJ4" s="1"/>
      <c r="OIK4" s="1"/>
      <c r="OIL4" s="1"/>
      <c r="OIM4" s="1"/>
      <c r="OIN4" s="1"/>
      <c r="OIO4" s="1"/>
      <c r="OIP4" s="1"/>
      <c r="OIQ4" s="1"/>
      <c r="OIR4" s="1"/>
      <c r="OIS4" s="1"/>
      <c r="OIT4" s="1"/>
      <c r="OIU4" s="1"/>
      <c r="OIV4" s="1"/>
      <c r="OIW4" s="1"/>
      <c r="OIX4" s="1"/>
      <c r="OIY4" s="1"/>
      <c r="OIZ4" s="1"/>
      <c r="OJA4" s="1"/>
      <c r="OJB4" s="1"/>
      <c r="OJC4" s="1"/>
      <c r="OJD4" s="1"/>
      <c r="OJE4" s="1"/>
      <c r="OJF4" s="1"/>
      <c r="OJG4" s="1"/>
      <c r="OJH4" s="1"/>
      <c r="OJI4" s="1"/>
      <c r="OJJ4" s="1"/>
      <c r="OJK4" s="1"/>
      <c r="OJL4" s="1"/>
      <c r="OJM4" s="1"/>
      <c r="OJN4" s="1"/>
      <c r="OJO4" s="1"/>
      <c r="OJP4" s="1"/>
      <c r="OJQ4" s="1"/>
      <c r="OJR4" s="1"/>
      <c r="OJS4" s="1"/>
      <c r="OJT4" s="1"/>
      <c r="OJU4" s="1"/>
      <c r="OJV4" s="1"/>
      <c r="OJW4" s="1"/>
      <c r="OJX4" s="1"/>
      <c r="OJY4" s="1"/>
      <c r="OJZ4" s="1"/>
      <c r="OKA4" s="1"/>
      <c r="OKB4" s="1"/>
      <c r="OKC4" s="1"/>
      <c r="OKD4" s="1"/>
      <c r="OKE4" s="1"/>
      <c r="OKF4" s="1"/>
      <c r="OKG4" s="1"/>
      <c r="OKH4" s="1"/>
      <c r="OKI4" s="1"/>
      <c r="OKJ4" s="1"/>
      <c r="OKK4" s="1"/>
      <c r="OKL4" s="1"/>
      <c r="OKM4" s="1"/>
      <c r="OKN4" s="1"/>
      <c r="OKO4" s="1"/>
      <c r="OKP4" s="1"/>
      <c r="OKQ4" s="1"/>
      <c r="OKR4" s="1"/>
      <c r="OKS4" s="1"/>
      <c r="OKT4" s="1"/>
      <c r="OKU4" s="1"/>
      <c r="OKV4" s="1"/>
      <c r="OKW4" s="1"/>
      <c r="OKX4" s="1"/>
      <c r="OKY4" s="1"/>
      <c r="OKZ4" s="1"/>
      <c r="OLA4" s="1"/>
      <c r="OLB4" s="1"/>
      <c r="OLC4" s="1"/>
      <c r="OLD4" s="1"/>
      <c r="OLE4" s="1"/>
      <c r="OLF4" s="1"/>
      <c r="OLG4" s="1"/>
      <c r="OLH4" s="1"/>
      <c r="OLI4" s="1"/>
      <c r="OLJ4" s="1"/>
      <c r="OLK4" s="1"/>
      <c r="OLL4" s="1"/>
      <c r="OLM4" s="1"/>
      <c r="OLN4" s="1"/>
      <c r="OLO4" s="1"/>
      <c r="OLP4" s="1"/>
      <c r="OLQ4" s="1"/>
      <c r="OLR4" s="1"/>
      <c r="OLS4" s="1"/>
      <c r="OLT4" s="1"/>
      <c r="OLU4" s="1"/>
      <c r="OLV4" s="1"/>
      <c r="OLW4" s="1"/>
      <c r="OLX4" s="1"/>
      <c r="OLY4" s="1"/>
      <c r="OLZ4" s="1"/>
      <c r="OMA4" s="1"/>
      <c r="OMB4" s="1"/>
      <c r="OMC4" s="1"/>
      <c r="OMD4" s="1"/>
      <c r="OME4" s="1"/>
      <c r="OMF4" s="1"/>
      <c r="OMG4" s="1"/>
      <c r="OMH4" s="1"/>
      <c r="OMI4" s="1"/>
      <c r="OMJ4" s="1"/>
      <c r="OMK4" s="1"/>
      <c r="OML4" s="1"/>
      <c r="OMM4" s="1"/>
      <c r="OMN4" s="1"/>
      <c r="OMO4" s="1"/>
      <c r="OMP4" s="1"/>
      <c r="OMQ4" s="1"/>
      <c r="OMR4" s="1"/>
      <c r="OMS4" s="1"/>
      <c r="OMT4" s="1"/>
      <c r="OMU4" s="1"/>
      <c r="OMV4" s="1"/>
      <c r="OMW4" s="1"/>
      <c r="OMX4" s="1"/>
      <c r="OMY4" s="1"/>
      <c r="OMZ4" s="1"/>
      <c r="ONA4" s="1"/>
      <c r="ONB4" s="1"/>
      <c r="ONC4" s="1"/>
      <c r="OND4" s="1"/>
      <c r="ONE4" s="1"/>
      <c r="ONF4" s="1"/>
      <c r="ONG4" s="1"/>
      <c r="ONH4" s="1"/>
      <c r="ONI4" s="1"/>
      <c r="ONJ4" s="1"/>
      <c r="ONK4" s="1"/>
      <c r="ONL4" s="1"/>
      <c r="ONM4" s="1"/>
      <c r="ONN4" s="1"/>
      <c r="ONO4" s="1"/>
      <c r="ONP4" s="1"/>
      <c r="ONQ4" s="1"/>
      <c r="ONR4" s="1"/>
      <c r="ONS4" s="1"/>
      <c r="ONT4" s="1"/>
      <c r="ONU4" s="1"/>
      <c r="ONV4" s="1"/>
      <c r="ONW4" s="1"/>
      <c r="ONX4" s="1"/>
      <c r="ONY4" s="1"/>
      <c r="ONZ4" s="1"/>
      <c r="OOA4" s="1"/>
      <c r="OOB4" s="1"/>
      <c r="OOC4" s="1"/>
      <c r="OOD4" s="1"/>
      <c r="OOE4" s="1"/>
      <c r="OOF4" s="1"/>
      <c r="OOG4" s="1"/>
      <c r="OOH4" s="1"/>
      <c r="OOI4" s="1"/>
      <c r="OOJ4" s="1"/>
      <c r="OOK4" s="1"/>
      <c r="OOL4" s="1"/>
      <c r="OOM4" s="1"/>
      <c r="OON4" s="1"/>
      <c r="OOO4" s="1"/>
      <c r="OOP4" s="1"/>
      <c r="OOQ4" s="1"/>
      <c r="OOR4" s="1"/>
      <c r="OOS4" s="1"/>
      <c r="OOT4" s="1"/>
      <c r="OOU4" s="1"/>
      <c r="OOV4" s="1"/>
      <c r="OOW4" s="1"/>
      <c r="OOX4" s="1"/>
      <c r="OOY4" s="1"/>
      <c r="OOZ4" s="1"/>
      <c r="OPA4" s="1"/>
      <c r="OPB4" s="1"/>
      <c r="OPC4" s="1"/>
      <c r="OPD4" s="1"/>
      <c r="OPE4" s="1"/>
      <c r="OPF4" s="1"/>
      <c r="OPG4" s="1"/>
      <c r="OPH4" s="1"/>
      <c r="OPI4" s="1"/>
      <c r="OPJ4" s="1"/>
      <c r="OPK4" s="1"/>
      <c r="OPL4" s="1"/>
      <c r="OPM4" s="1"/>
      <c r="OPN4" s="1"/>
      <c r="OPO4" s="1"/>
      <c r="OPP4" s="1"/>
      <c r="OPQ4" s="1"/>
      <c r="OPR4" s="1"/>
      <c r="OPS4" s="1"/>
      <c r="OPT4" s="1"/>
      <c r="OPU4" s="1"/>
      <c r="OPV4" s="1"/>
      <c r="OPW4" s="1"/>
      <c r="OPX4" s="1"/>
      <c r="OPY4" s="1"/>
      <c r="OPZ4" s="1"/>
      <c r="OQA4" s="1"/>
      <c r="OQB4" s="1"/>
      <c r="OQC4" s="1"/>
      <c r="OQD4" s="1"/>
      <c r="OQE4" s="1"/>
      <c r="OQF4" s="1"/>
      <c r="OQG4" s="1"/>
      <c r="OQH4" s="1"/>
      <c r="OQI4" s="1"/>
      <c r="OQJ4" s="1"/>
      <c r="OQK4" s="1"/>
      <c r="OQL4" s="1"/>
      <c r="OQM4" s="1"/>
      <c r="OQN4" s="1"/>
      <c r="OQO4" s="1"/>
      <c r="OQP4" s="1"/>
      <c r="OQQ4" s="1"/>
      <c r="OQR4" s="1"/>
      <c r="OQS4" s="1"/>
      <c r="OQT4" s="1"/>
      <c r="OQU4" s="1"/>
      <c r="OQV4" s="1"/>
      <c r="OQW4" s="1"/>
      <c r="OQX4" s="1"/>
      <c r="OQY4" s="1"/>
      <c r="OQZ4" s="1"/>
      <c r="ORA4" s="1"/>
      <c r="ORB4" s="1"/>
      <c r="ORC4" s="1"/>
      <c r="ORD4" s="1"/>
      <c r="ORE4" s="1"/>
      <c r="ORF4" s="1"/>
      <c r="ORG4" s="1"/>
      <c r="ORH4" s="1"/>
      <c r="ORI4" s="1"/>
      <c r="ORJ4" s="1"/>
      <c r="ORK4" s="1"/>
      <c r="ORL4" s="1"/>
      <c r="ORM4" s="1"/>
      <c r="ORN4" s="1"/>
      <c r="ORO4" s="1"/>
      <c r="ORP4" s="1"/>
      <c r="ORQ4" s="1"/>
      <c r="ORR4" s="1"/>
      <c r="ORS4" s="1"/>
      <c r="ORT4" s="1"/>
      <c r="ORU4" s="1"/>
      <c r="ORV4" s="1"/>
      <c r="ORW4" s="1"/>
      <c r="ORX4" s="1"/>
      <c r="ORY4" s="1"/>
      <c r="ORZ4" s="1"/>
      <c r="OSA4" s="1"/>
      <c r="OSB4" s="1"/>
      <c r="OSC4" s="1"/>
      <c r="OSD4" s="1"/>
      <c r="OSE4" s="1"/>
      <c r="OSF4" s="1"/>
      <c r="OSG4" s="1"/>
      <c r="OSH4" s="1"/>
      <c r="OSI4" s="1"/>
      <c r="OSJ4" s="1"/>
      <c r="OSK4" s="1"/>
      <c r="OSL4" s="1"/>
      <c r="OSM4" s="1"/>
      <c r="OSN4" s="1"/>
      <c r="OSO4" s="1"/>
      <c r="OSP4" s="1"/>
      <c r="OSQ4" s="1"/>
      <c r="OSR4" s="1"/>
      <c r="OSS4" s="1"/>
      <c r="OST4" s="1"/>
      <c r="OSU4" s="1"/>
      <c r="OSV4" s="1"/>
      <c r="OSW4" s="1"/>
      <c r="OSX4" s="1"/>
      <c r="OSY4" s="1"/>
      <c r="OSZ4" s="1"/>
      <c r="OTA4" s="1"/>
      <c r="OTB4" s="1"/>
      <c r="OTC4" s="1"/>
      <c r="OTD4" s="1"/>
      <c r="OTE4" s="1"/>
      <c r="OTF4" s="1"/>
      <c r="OTG4" s="1"/>
      <c r="OTH4" s="1"/>
      <c r="OTI4" s="1"/>
      <c r="OTJ4" s="1"/>
      <c r="OTK4" s="1"/>
      <c r="OTL4" s="1"/>
      <c r="OTM4" s="1"/>
      <c r="OTN4" s="1"/>
      <c r="OTO4" s="1"/>
      <c r="OTP4" s="1"/>
      <c r="OTQ4" s="1"/>
      <c r="OTR4" s="1"/>
      <c r="OTS4" s="1"/>
      <c r="OTT4" s="1"/>
      <c r="OTU4" s="1"/>
      <c r="OTV4" s="1"/>
      <c r="OTW4" s="1"/>
      <c r="OTX4" s="1"/>
      <c r="OTY4" s="1"/>
      <c r="OTZ4" s="1"/>
      <c r="OUA4" s="1"/>
      <c r="OUB4" s="1"/>
      <c r="OUC4" s="1"/>
      <c r="OUD4" s="1"/>
      <c r="OUE4" s="1"/>
      <c r="OUF4" s="1"/>
      <c r="OUG4" s="1"/>
      <c r="OUH4" s="1"/>
      <c r="OUI4" s="1"/>
      <c r="OUJ4" s="1"/>
      <c r="OUK4" s="1"/>
      <c r="OUL4" s="1"/>
      <c r="OUM4" s="1"/>
      <c r="OUN4" s="1"/>
      <c r="OUO4" s="1"/>
      <c r="OUP4" s="1"/>
      <c r="OUQ4" s="1"/>
      <c r="OUR4" s="1"/>
      <c r="OUS4" s="1"/>
      <c r="OUT4" s="1"/>
      <c r="OUU4" s="1"/>
      <c r="OUV4" s="1"/>
      <c r="OUW4" s="1"/>
      <c r="OUX4" s="1"/>
      <c r="OUY4" s="1"/>
      <c r="OUZ4" s="1"/>
      <c r="OVA4" s="1"/>
      <c r="OVB4" s="1"/>
      <c r="OVC4" s="1"/>
      <c r="OVD4" s="1"/>
      <c r="OVE4" s="1"/>
      <c r="OVF4" s="1"/>
      <c r="OVG4" s="1"/>
      <c r="OVH4" s="1"/>
      <c r="OVI4" s="1"/>
      <c r="OVJ4" s="1"/>
      <c r="OVK4" s="1"/>
      <c r="OVL4" s="1"/>
      <c r="OVM4" s="1"/>
      <c r="OVN4" s="1"/>
      <c r="OVO4" s="1"/>
      <c r="OVP4" s="1"/>
      <c r="OVQ4" s="1"/>
      <c r="OVR4" s="1"/>
      <c r="OVS4" s="1"/>
      <c r="OVT4" s="1"/>
      <c r="OVU4" s="1"/>
      <c r="OVV4" s="1"/>
      <c r="OVW4" s="1"/>
      <c r="OVX4" s="1"/>
      <c r="OVY4" s="1"/>
      <c r="OVZ4" s="1"/>
      <c r="OWA4" s="1"/>
      <c r="OWB4" s="1"/>
      <c r="OWC4" s="1"/>
      <c r="OWD4" s="1"/>
      <c r="OWE4" s="1"/>
      <c r="OWF4" s="1"/>
      <c r="OWG4" s="1"/>
      <c r="OWH4" s="1"/>
      <c r="OWI4" s="1"/>
      <c r="OWJ4" s="1"/>
      <c r="OWK4" s="1"/>
      <c r="OWL4" s="1"/>
      <c r="OWM4" s="1"/>
      <c r="OWN4" s="1"/>
      <c r="OWO4" s="1"/>
      <c r="OWP4" s="1"/>
      <c r="OWQ4" s="1"/>
      <c r="OWR4" s="1"/>
      <c r="OWS4" s="1"/>
      <c r="OWT4" s="1"/>
      <c r="OWU4" s="1"/>
      <c r="OWV4" s="1"/>
      <c r="OWW4" s="1"/>
      <c r="OWX4" s="1"/>
      <c r="OWY4" s="1"/>
      <c r="OWZ4" s="1"/>
      <c r="OXA4" s="1"/>
      <c r="OXB4" s="1"/>
      <c r="OXC4" s="1"/>
      <c r="OXD4" s="1"/>
      <c r="OXE4" s="1"/>
      <c r="OXF4" s="1"/>
      <c r="OXG4" s="1"/>
      <c r="OXH4" s="1"/>
      <c r="OXI4" s="1"/>
      <c r="OXJ4" s="1"/>
      <c r="OXK4" s="1"/>
      <c r="OXL4" s="1"/>
      <c r="OXM4" s="1"/>
      <c r="OXN4" s="1"/>
      <c r="OXO4" s="1"/>
      <c r="OXP4" s="1"/>
      <c r="OXQ4" s="1"/>
      <c r="OXR4" s="1"/>
      <c r="OXS4" s="1"/>
      <c r="OXT4" s="1"/>
      <c r="OXU4" s="1"/>
      <c r="OXV4" s="1"/>
      <c r="OXW4" s="1"/>
      <c r="OXX4" s="1"/>
      <c r="OXY4" s="1"/>
      <c r="OXZ4" s="1"/>
      <c r="OYA4" s="1"/>
      <c r="OYB4" s="1"/>
      <c r="OYC4" s="1"/>
      <c r="OYD4" s="1"/>
      <c r="OYE4" s="1"/>
      <c r="OYF4" s="1"/>
      <c r="OYG4" s="1"/>
      <c r="OYH4" s="1"/>
      <c r="OYI4" s="1"/>
      <c r="OYJ4" s="1"/>
      <c r="OYK4" s="1"/>
      <c r="OYL4" s="1"/>
      <c r="OYM4" s="1"/>
      <c r="OYN4" s="1"/>
      <c r="OYO4" s="1"/>
      <c r="OYP4" s="1"/>
      <c r="OYQ4" s="1"/>
      <c r="OYR4" s="1"/>
      <c r="OYS4" s="1"/>
      <c r="OYT4" s="1"/>
      <c r="OYU4" s="1"/>
      <c r="OYV4" s="1"/>
      <c r="OYW4" s="1"/>
      <c r="OYX4" s="1"/>
      <c r="OYY4" s="1"/>
      <c r="OYZ4" s="1"/>
      <c r="OZA4" s="1"/>
      <c r="OZB4" s="1"/>
      <c r="OZC4" s="1"/>
      <c r="OZD4" s="1"/>
      <c r="OZE4" s="1"/>
      <c r="OZF4" s="1"/>
      <c r="OZG4" s="1"/>
      <c r="OZH4" s="1"/>
      <c r="OZI4" s="1"/>
      <c r="OZJ4" s="1"/>
      <c r="OZK4" s="1"/>
      <c r="OZL4" s="1"/>
      <c r="OZM4" s="1"/>
      <c r="OZN4" s="1"/>
      <c r="OZO4" s="1"/>
      <c r="OZP4" s="1"/>
      <c r="OZQ4" s="1"/>
      <c r="OZR4" s="1"/>
      <c r="OZS4" s="1"/>
      <c r="OZT4" s="1"/>
      <c r="OZU4" s="1"/>
      <c r="OZV4" s="1"/>
      <c r="OZW4" s="1"/>
      <c r="OZX4" s="1"/>
      <c r="OZY4" s="1"/>
      <c r="OZZ4" s="1"/>
      <c r="PAA4" s="1"/>
      <c r="PAB4" s="1"/>
      <c r="PAC4" s="1"/>
      <c r="PAD4" s="1"/>
      <c r="PAE4" s="1"/>
      <c r="PAF4" s="1"/>
      <c r="PAG4" s="1"/>
      <c r="PAH4" s="1"/>
      <c r="PAI4" s="1"/>
      <c r="PAJ4" s="1"/>
      <c r="PAK4" s="1"/>
      <c r="PAL4" s="1"/>
      <c r="PAM4" s="1"/>
      <c r="PAN4" s="1"/>
      <c r="PAO4" s="1"/>
      <c r="PAP4" s="1"/>
      <c r="PAQ4" s="1"/>
      <c r="PAR4" s="1"/>
      <c r="PAS4" s="1"/>
      <c r="PAT4" s="1"/>
      <c r="PAU4" s="1"/>
      <c r="PAV4" s="1"/>
      <c r="PAW4" s="1"/>
      <c r="PAX4" s="1"/>
      <c r="PAY4" s="1"/>
      <c r="PAZ4" s="1"/>
      <c r="PBA4" s="1"/>
      <c r="PBB4" s="1"/>
      <c r="PBC4" s="1"/>
      <c r="PBD4" s="1"/>
      <c r="PBE4" s="1"/>
      <c r="PBF4" s="1"/>
      <c r="PBG4" s="1"/>
      <c r="PBH4" s="1"/>
      <c r="PBI4" s="1"/>
      <c r="PBJ4" s="1"/>
      <c r="PBK4" s="1"/>
      <c r="PBL4" s="1"/>
      <c r="PBM4" s="1"/>
      <c r="PBN4" s="1"/>
      <c r="PBO4" s="1"/>
      <c r="PBP4" s="1"/>
      <c r="PBQ4" s="1"/>
      <c r="PBR4" s="1"/>
      <c r="PBS4" s="1"/>
      <c r="PBT4" s="1"/>
      <c r="PBU4" s="1"/>
      <c r="PBV4" s="1"/>
      <c r="PBW4" s="1"/>
      <c r="PBX4" s="1"/>
      <c r="PBY4" s="1"/>
      <c r="PBZ4" s="1"/>
      <c r="PCA4" s="1"/>
      <c r="PCB4" s="1"/>
      <c r="PCC4" s="1"/>
      <c r="PCD4" s="1"/>
      <c r="PCE4" s="1"/>
      <c r="PCF4" s="1"/>
      <c r="PCG4" s="1"/>
      <c r="PCH4" s="1"/>
      <c r="PCI4" s="1"/>
      <c r="PCJ4" s="1"/>
      <c r="PCK4" s="1"/>
      <c r="PCL4" s="1"/>
      <c r="PCM4" s="1"/>
      <c r="PCN4" s="1"/>
      <c r="PCO4" s="1"/>
      <c r="PCP4" s="1"/>
      <c r="PCQ4" s="1"/>
      <c r="PCR4" s="1"/>
      <c r="PCS4" s="1"/>
      <c r="PCT4" s="1"/>
      <c r="PCU4" s="1"/>
      <c r="PCV4" s="1"/>
      <c r="PCW4" s="1"/>
      <c r="PCX4" s="1"/>
      <c r="PCY4" s="1"/>
      <c r="PCZ4" s="1"/>
      <c r="PDA4" s="1"/>
      <c r="PDB4" s="1"/>
      <c r="PDC4" s="1"/>
      <c r="PDD4" s="1"/>
      <c r="PDE4" s="1"/>
      <c r="PDF4" s="1"/>
      <c r="PDG4" s="1"/>
      <c r="PDH4" s="1"/>
      <c r="PDI4" s="1"/>
      <c r="PDJ4" s="1"/>
      <c r="PDK4" s="1"/>
      <c r="PDL4" s="1"/>
      <c r="PDM4" s="1"/>
      <c r="PDN4" s="1"/>
      <c r="PDO4" s="1"/>
      <c r="PDP4" s="1"/>
      <c r="PDQ4" s="1"/>
      <c r="PDR4" s="1"/>
      <c r="PDS4" s="1"/>
      <c r="PDT4" s="1"/>
      <c r="PDU4" s="1"/>
      <c r="PDV4" s="1"/>
      <c r="PDW4" s="1"/>
      <c r="PDX4" s="1"/>
      <c r="PDY4" s="1"/>
      <c r="PDZ4" s="1"/>
      <c r="PEA4" s="1"/>
      <c r="PEB4" s="1"/>
      <c r="PEC4" s="1"/>
      <c r="PED4" s="1"/>
      <c r="PEE4" s="1"/>
      <c r="PEF4" s="1"/>
      <c r="PEG4" s="1"/>
      <c r="PEH4" s="1"/>
      <c r="PEI4" s="1"/>
      <c r="PEJ4" s="1"/>
      <c r="PEK4" s="1"/>
      <c r="PEL4" s="1"/>
      <c r="PEM4" s="1"/>
      <c r="PEN4" s="1"/>
      <c r="PEO4" s="1"/>
      <c r="PEP4" s="1"/>
      <c r="PEQ4" s="1"/>
      <c r="PER4" s="1"/>
      <c r="PES4" s="1"/>
      <c r="PET4" s="1"/>
      <c r="PEU4" s="1"/>
      <c r="PEV4" s="1"/>
      <c r="PEW4" s="1"/>
      <c r="PEX4" s="1"/>
      <c r="PEY4" s="1"/>
      <c r="PEZ4" s="1"/>
      <c r="PFA4" s="1"/>
      <c r="PFB4" s="1"/>
      <c r="PFC4" s="1"/>
      <c r="PFD4" s="1"/>
      <c r="PFE4" s="1"/>
      <c r="PFF4" s="1"/>
      <c r="PFG4" s="1"/>
      <c r="PFH4" s="1"/>
      <c r="PFI4" s="1"/>
      <c r="PFJ4" s="1"/>
      <c r="PFK4" s="1"/>
      <c r="PFL4" s="1"/>
      <c r="PFM4" s="1"/>
      <c r="PFN4" s="1"/>
      <c r="PFO4" s="1"/>
      <c r="PFP4" s="1"/>
      <c r="PFQ4" s="1"/>
      <c r="PFR4" s="1"/>
      <c r="PFS4" s="1"/>
      <c r="PFT4" s="1"/>
      <c r="PFU4" s="1"/>
      <c r="PFV4" s="1"/>
      <c r="PFW4" s="1"/>
      <c r="PFX4" s="1"/>
      <c r="PFY4" s="1"/>
      <c r="PFZ4" s="1"/>
      <c r="PGA4" s="1"/>
      <c r="PGB4" s="1"/>
      <c r="PGC4" s="1"/>
      <c r="PGD4" s="1"/>
      <c r="PGE4" s="1"/>
      <c r="PGF4" s="1"/>
      <c r="PGG4" s="1"/>
      <c r="PGH4" s="1"/>
      <c r="PGI4" s="1"/>
      <c r="PGJ4" s="1"/>
      <c r="PGK4" s="1"/>
      <c r="PGL4" s="1"/>
      <c r="PGM4" s="1"/>
      <c r="PGN4" s="1"/>
      <c r="PGO4" s="1"/>
      <c r="PGP4" s="1"/>
      <c r="PGQ4" s="1"/>
      <c r="PGR4" s="1"/>
      <c r="PGS4" s="1"/>
      <c r="PGT4" s="1"/>
      <c r="PGU4" s="1"/>
      <c r="PGV4" s="1"/>
      <c r="PGW4" s="1"/>
      <c r="PGX4" s="1"/>
      <c r="PGY4" s="1"/>
      <c r="PGZ4" s="1"/>
      <c r="PHA4" s="1"/>
      <c r="PHB4" s="1"/>
      <c r="PHC4" s="1"/>
      <c r="PHD4" s="1"/>
      <c r="PHE4" s="1"/>
      <c r="PHF4" s="1"/>
      <c r="PHG4" s="1"/>
      <c r="PHH4" s="1"/>
      <c r="PHI4" s="1"/>
      <c r="PHJ4" s="1"/>
      <c r="PHK4" s="1"/>
      <c r="PHL4" s="1"/>
      <c r="PHM4" s="1"/>
      <c r="PHN4" s="1"/>
      <c r="PHO4" s="1"/>
      <c r="PHP4" s="1"/>
      <c r="PHQ4" s="1"/>
      <c r="PHR4" s="1"/>
      <c r="PHS4" s="1"/>
      <c r="PHT4" s="1"/>
      <c r="PHU4" s="1"/>
      <c r="PHV4" s="1"/>
      <c r="PHW4" s="1"/>
      <c r="PHX4" s="1"/>
      <c r="PHY4" s="1"/>
      <c r="PHZ4" s="1"/>
      <c r="PIA4" s="1"/>
      <c r="PIB4" s="1"/>
      <c r="PIC4" s="1"/>
      <c r="PID4" s="1"/>
      <c r="PIE4" s="1"/>
      <c r="PIF4" s="1"/>
      <c r="PIG4" s="1"/>
      <c r="PIH4" s="1"/>
      <c r="PII4" s="1"/>
      <c r="PIJ4" s="1"/>
      <c r="PIK4" s="1"/>
      <c r="PIL4" s="1"/>
      <c r="PIM4" s="1"/>
      <c r="PIN4" s="1"/>
      <c r="PIO4" s="1"/>
      <c r="PIP4" s="1"/>
      <c r="PIQ4" s="1"/>
      <c r="PIR4" s="1"/>
      <c r="PIS4" s="1"/>
      <c r="PIT4" s="1"/>
      <c r="PIU4" s="1"/>
      <c r="PIV4" s="1"/>
      <c r="PIW4" s="1"/>
      <c r="PIX4" s="1"/>
      <c r="PIY4" s="1"/>
      <c r="PIZ4" s="1"/>
      <c r="PJA4" s="1"/>
      <c r="PJB4" s="1"/>
      <c r="PJC4" s="1"/>
      <c r="PJD4" s="1"/>
      <c r="PJE4" s="1"/>
      <c r="PJF4" s="1"/>
      <c r="PJG4" s="1"/>
      <c r="PJH4" s="1"/>
      <c r="PJI4" s="1"/>
      <c r="PJJ4" s="1"/>
      <c r="PJK4" s="1"/>
      <c r="PJL4" s="1"/>
      <c r="PJM4" s="1"/>
      <c r="PJN4" s="1"/>
      <c r="PJO4" s="1"/>
      <c r="PJP4" s="1"/>
      <c r="PJQ4" s="1"/>
      <c r="PJR4" s="1"/>
      <c r="PJS4" s="1"/>
      <c r="PJT4" s="1"/>
      <c r="PJU4" s="1"/>
      <c r="PJV4" s="1"/>
      <c r="PJW4" s="1"/>
      <c r="PJX4" s="1"/>
      <c r="PJY4" s="1"/>
      <c r="PJZ4" s="1"/>
      <c r="PKA4" s="1"/>
      <c r="PKB4" s="1"/>
      <c r="PKC4" s="1"/>
      <c r="PKD4" s="1"/>
      <c r="PKE4" s="1"/>
      <c r="PKF4" s="1"/>
      <c r="PKG4" s="1"/>
      <c r="PKH4" s="1"/>
      <c r="PKI4" s="1"/>
      <c r="PKJ4" s="1"/>
      <c r="PKK4" s="1"/>
      <c r="PKL4" s="1"/>
      <c r="PKM4" s="1"/>
      <c r="PKN4" s="1"/>
      <c r="PKO4" s="1"/>
      <c r="PKP4" s="1"/>
      <c r="PKQ4" s="1"/>
      <c r="PKR4" s="1"/>
      <c r="PKS4" s="1"/>
      <c r="PKT4" s="1"/>
      <c r="PKU4" s="1"/>
      <c r="PKV4" s="1"/>
      <c r="PKW4" s="1"/>
      <c r="PKX4" s="1"/>
      <c r="PKY4" s="1"/>
      <c r="PKZ4" s="1"/>
      <c r="PLA4" s="1"/>
      <c r="PLB4" s="1"/>
      <c r="PLC4" s="1"/>
      <c r="PLD4" s="1"/>
      <c r="PLE4" s="1"/>
      <c r="PLF4" s="1"/>
      <c r="PLG4" s="1"/>
      <c r="PLH4" s="1"/>
      <c r="PLI4" s="1"/>
      <c r="PLJ4" s="1"/>
      <c r="PLK4" s="1"/>
      <c r="PLL4" s="1"/>
      <c r="PLM4" s="1"/>
      <c r="PLN4" s="1"/>
      <c r="PLO4" s="1"/>
      <c r="PLP4" s="1"/>
      <c r="PLQ4" s="1"/>
      <c r="PLR4" s="1"/>
      <c r="PLS4" s="1"/>
      <c r="PLT4" s="1"/>
      <c r="PLU4" s="1"/>
      <c r="PLV4" s="1"/>
      <c r="PLW4" s="1"/>
      <c r="PLX4" s="1"/>
      <c r="PLY4" s="1"/>
      <c r="PLZ4" s="1"/>
      <c r="PMA4" s="1"/>
      <c r="PMB4" s="1"/>
      <c r="PMC4" s="1"/>
      <c r="PMD4" s="1"/>
      <c r="PME4" s="1"/>
      <c r="PMF4" s="1"/>
      <c r="PMG4" s="1"/>
      <c r="PMH4" s="1"/>
      <c r="PMI4" s="1"/>
      <c r="PMJ4" s="1"/>
      <c r="PMK4" s="1"/>
      <c r="PML4" s="1"/>
      <c r="PMM4" s="1"/>
      <c r="PMN4" s="1"/>
      <c r="PMO4" s="1"/>
      <c r="PMP4" s="1"/>
      <c r="PMQ4" s="1"/>
      <c r="PMR4" s="1"/>
      <c r="PMS4" s="1"/>
      <c r="PMT4" s="1"/>
      <c r="PMU4" s="1"/>
      <c r="PMV4" s="1"/>
      <c r="PMW4" s="1"/>
      <c r="PMX4" s="1"/>
      <c r="PMY4" s="1"/>
      <c r="PMZ4" s="1"/>
      <c r="PNA4" s="1"/>
      <c r="PNB4" s="1"/>
      <c r="PNC4" s="1"/>
      <c r="PND4" s="1"/>
      <c r="PNE4" s="1"/>
      <c r="PNF4" s="1"/>
      <c r="PNG4" s="1"/>
      <c r="PNH4" s="1"/>
      <c r="PNI4" s="1"/>
      <c r="PNJ4" s="1"/>
      <c r="PNK4" s="1"/>
      <c r="PNL4" s="1"/>
      <c r="PNM4" s="1"/>
      <c r="PNN4" s="1"/>
      <c r="PNO4" s="1"/>
      <c r="PNP4" s="1"/>
      <c r="PNQ4" s="1"/>
      <c r="PNR4" s="1"/>
      <c r="PNS4" s="1"/>
      <c r="PNT4" s="1"/>
      <c r="PNU4" s="1"/>
      <c r="PNV4" s="1"/>
      <c r="PNW4" s="1"/>
      <c r="PNX4" s="1"/>
      <c r="PNY4" s="1"/>
      <c r="PNZ4" s="1"/>
      <c r="POA4" s="1"/>
      <c r="POB4" s="1"/>
      <c r="POC4" s="1"/>
      <c r="POD4" s="1"/>
      <c r="POE4" s="1"/>
      <c r="POF4" s="1"/>
      <c r="POG4" s="1"/>
      <c r="POH4" s="1"/>
      <c r="POI4" s="1"/>
      <c r="POJ4" s="1"/>
      <c r="POK4" s="1"/>
      <c r="POL4" s="1"/>
      <c r="POM4" s="1"/>
      <c r="PON4" s="1"/>
      <c r="POO4" s="1"/>
      <c r="POP4" s="1"/>
      <c r="POQ4" s="1"/>
      <c r="POR4" s="1"/>
      <c r="POS4" s="1"/>
      <c r="POT4" s="1"/>
      <c r="POU4" s="1"/>
      <c r="POV4" s="1"/>
      <c r="POW4" s="1"/>
      <c r="POX4" s="1"/>
      <c r="POY4" s="1"/>
      <c r="POZ4" s="1"/>
      <c r="PPA4" s="1"/>
      <c r="PPB4" s="1"/>
      <c r="PPC4" s="1"/>
      <c r="PPD4" s="1"/>
      <c r="PPE4" s="1"/>
      <c r="PPF4" s="1"/>
      <c r="PPG4" s="1"/>
      <c r="PPH4" s="1"/>
      <c r="PPI4" s="1"/>
      <c r="PPJ4" s="1"/>
      <c r="PPK4" s="1"/>
      <c r="PPL4" s="1"/>
      <c r="PPM4" s="1"/>
      <c r="PPN4" s="1"/>
      <c r="PPO4" s="1"/>
      <c r="PPP4" s="1"/>
      <c r="PPQ4" s="1"/>
      <c r="PPR4" s="1"/>
      <c r="PPS4" s="1"/>
      <c r="PPT4" s="1"/>
      <c r="PPU4" s="1"/>
      <c r="PPV4" s="1"/>
      <c r="PPW4" s="1"/>
      <c r="PPX4" s="1"/>
      <c r="PPY4" s="1"/>
      <c r="PPZ4" s="1"/>
      <c r="PQA4" s="1"/>
      <c r="PQB4" s="1"/>
      <c r="PQC4" s="1"/>
      <c r="PQD4" s="1"/>
      <c r="PQE4" s="1"/>
      <c r="PQF4" s="1"/>
      <c r="PQG4" s="1"/>
      <c r="PQH4" s="1"/>
      <c r="PQI4" s="1"/>
      <c r="PQJ4" s="1"/>
      <c r="PQK4" s="1"/>
      <c r="PQL4" s="1"/>
      <c r="PQM4" s="1"/>
      <c r="PQN4" s="1"/>
      <c r="PQO4" s="1"/>
      <c r="PQP4" s="1"/>
      <c r="PQQ4" s="1"/>
      <c r="PQR4" s="1"/>
      <c r="PQS4" s="1"/>
      <c r="PQT4" s="1"/>
      <c r="PQU4" s="1"/>
      <c r="PQV4" s="1"/>
      <c r="PQW4" s="1"/>
      <c r="PQX4" s="1"/>
      <c r="PQY4" s="1"/>
      <c r="PQZ4" s="1"/>
      <c r="PRA4" s="1"/>
      <c r="PRB4" s="1"/>
      <c r="PRC4" s="1"/>
      <c r="PRD4" s="1"/>
      <c r="PRE4" s="1"/>
      <c r="PRF4" s="1"/>
      <c r="PRG4" s="1"/>
      <c r="PRH4" s="1"/>
      <c r="PRI4" s="1"/>
      <c r="PRJ4" s="1"/>
      <c r="PRK4" s="1"/>
      <c r="PRL4" s="1"/>
      <c r="PRM4" s="1"/>
      <c r="PRN4" s="1"/>
      <c r="PRO4" s="1"/>
      <c r="PRP4" s="1"/>
      <c r="PRQ4" s="1"/>
      <c r="PRR4" s="1"/>
      <c r="PRS4" s="1"/>
      <c r="PRT4" s="1"/>
      <c r="PRU4" s="1"/>
      <c r="PRV4" s="1"/>
      <c r="PRW4" s="1"/>
      <c r="PRX4" s="1"/>
      <c r="PRY4" s="1"/>
      <c r="PRZ4" s="1"/>
      <c r="PSA4" s="1"/>
      <c r="PSB4" s="1"/>
      <c r="PSC4" s="1"/>
      <c r="PSD4" s="1"/>
      <c r="PSE4" s="1"/>
      <c r="PSF4" s="1"/>
      <c r="PSG4" s="1"/>
      <c r="PSH4" s="1"/>
      <c r="PSI4" s="1"/>
      <c r="PSJ4" s="1"/>
      <c r="PSK4" s="1"/>
      <c r="PSL4" s="1"/>
      <c r="PSM4" s="1"/>
      <c r="PSN4" s="1"/>
      <c r="PSO4" s="1"/>
      <c r="PSP4" s="1"/>
      <c r="PSQ4" s="1"/>
      <c r="PSR4" s="1"/>
      <c r="PSS4" s="1"/>
      <c r="PST4" s="1"/>
      <c r="PSU4" s="1"/>
      <c r="PSV4" s="1"/>
      <c r="PSW4" s="1"/>
      <c r="PSX4" s="1"/>
      <c r="PSY4" s="1"/>
      <c r="PSZ4" s="1"/>
      <c r="PTA4" s="1"/>
      <c r="PTB4" s="1"/>
      <c r="PTC4" s="1"/>
      <c r="PTD4" s="1"/>
      <c r="PTE4" s="1"/>
      <c r="PTF4" s="1"/>
      <c r="PTG4" s="1"/>
      <c r="PTH4" s="1"/>
      <c r="PTI4" s="1"/>
      <c r="PTJ4" s="1"/>
      <c r="PTK4" s="1"/>
      <c r="PTL4" s="1"/>
      <c r="PTM4" s="1"/>
      <c r="PTN4" s="1"/>
      <c r="PTO4" s="1"/>
      <c r="PTP4" s="1"/>
      <c r="PTQ4" s="1"/>
      <c r="PTR4" s="1"/>
      <c r="PTS4" s="1"/>
      <c r="PTT4" s="1"/>
      <c r="PTU4" s="1"/>
      <c r="PTV4" s="1"/>
      <c r="PTW4" s="1"/>
      <c r="PTX4" s="1"/>
      <c r="PTY4" s="1"/>
      <c r="PTZ4" s="1"/>
      <c r="PUA4" s="1"/>
      <c r="PUB4" s="1"/>
      <c r="PUC4" s="1"/>
      <c r="PUD4" s="1"/>
      <c r="PUE4" s="1"/>
      <c r="PUF4" s="1"/>
      <c r="PUG4" s="1"/>
      <c r="PUH4" s="1"/>
      <c r="PUI4" s="1"/>
      <c r="PUJ4" s="1"/>
      <c r="PUK4" s="1"/>
      <c r="PUL4" s="1"/>
      <c r="PUM4" s="1"/>
      <c r="PUN4" s="1"/>
      <c r="PUO4" s="1"/>
      <c r="PUP4" s="1"/>
      <c r="PUQ4" s="1"/>
      <c r="PUR4" s="1"/>
      <c r="PUS4" s="1"/>
      <c r="PUT4" s="1"/>
      <c r="PUU4" s="1"/>
      <c r="PUV4" s="1"/>
      <c r="PUW4" s="1"/>
      <c r="PUX4" s="1"/>
      <c r="PUY4" s="1"/>
      <c r="PUZ4" s="1"/>
      <c r="PVA4" s="1"/>
      <c r="PVB4" s="1"/>
      <c r="PVC4" s="1"/>
      <c r="PVD4" s="1"/>
      <c r="PVE4" s="1"/>
      <c r="PVF4" s="1"/>
      <c r="PVG4" s="1"/>
      <c r="PVH4" s="1"/>
      <c r="PVI4" s="1"/>
      <c r="PVJ4" s="1"/>
      <c r="PVK4" s="1"/>
      <c r="PVL4" s="1"/>
      <c r="PVM4" s="1"/>
      <c r="PVN4" s="1"/>
      <c r="PVO4" s="1"/>
      <c r="PVP4" s="1"/>
      <c r="PVQ4" s="1"/>
      <c r="PVR4" s="1"/>
      <c r="PVS4" s="1"/>
      <c r="PVT4" s="1"/>
      <c r="PVU4" s="1"/>
      <c r="PVV4" s="1"/>
      <c r="PVW4" s="1"/>
      <c r="PVX4" s="1"/>
      <c r="PVY4" s="1"/>
      <c r="PVZ4" s="1"/>
      <c r="PWA4" s="1"/>
      <c r="PWB4" s="1"/>
      <c r="PWC4" s="1"/>
      <c r="PWD4" s="1"/>
      <c r="PWE4" s="1"/>
      <c r="PWF4" s="1"/>
      <c r="PWG4" s="1"/>
      <c r="PWH4" s="1"/>
      <c r="PWI4" s="1"/>
      <c r="PWJ4" s="1"/>
      <c r="PWK4" s="1"/>
      <c r="PWL4" s="1"/>
      <c r="PWM4" s="1"/>
      <c r="PWN4" s="1"/>
      <c r="PWO4" s="1"/>
      <c r="PWP4" s="1"/>
      <c r="PWQ4" s="1"/>
      <c r="PWR4" s="1"/>
      <c r="PWS4" s="1"/>
      <c r="PWT4" s="1"/>
      <c r="PWU4" s="1"/>
      <c r="PWV4" s="1"/>
      <c r="PWW4" s="1"/>
      <c r="PWX4" s="1"/>
      <c r="PWY4" s="1"/>
      <c r="PWZ4" s="1"/>
      <c r="PXA4" s="1"/>
      <c r="PXB4" s="1"/>
      <c r="PXC4" s="1"/>
      <c r="PXD4" s="1"/>
      <c r="PXE4" s="1"/>
      <c r="PXF4" s="1"/>
      <c r="PXG4" s="1"/>
      <c r="PXH4" s="1"/>
      <c r="PXI4" s="1"/>
      <c r="PXJ4" s="1"/>
      <c r="PXK4" s="1"/>
      <c r="PXL4" s="1"/>
      <c r="PXM4" s="1"/>
      <c r="PXN4" s="1"/>
      <c r="PXO4" s="1"/>
      <c r="PXP4" s="1"/>
      <c r="PXQ4" s="1"/>
      <c r="PXR4" s="1"/>
      <c r="PXS4" s="1"/>
      <c r="PXT4" s="1"/>
      <c r="PXU4" s="1"/>
      <c r="PXV4" s="1"/>
      <c r="PXW4" s="1"/>
      <c r="PXX4" s="1"/>
      <c r="PXY4" s="1"/>
      <c r="PXZ4" s="1"/>
      <c r="PYA4" s="1"/>
      <c r="PYB4" s="1"/>
      <c r="PYC4" s="1"/>
      <c r="PYD4" s="1"/>
      <c r="PYE4" s="1"/>
      <c r="PYF4" s="1"/>
      <c r="PYG4" s="1"/>
      <c r="PYH4" s="1"/>
      <c r="PYI4" s="1"/>
      <c r="PYJ4" s="1"/>
      <c r="PYK4" s="1"/>
      <c r="PYL4" s="1"/>
      <c r="PYM4" s="1"/>
      <c r="PYN4" s="1"/>
      <c r="PYO4" s="1"/>
      <c r="PYP4" s="1"/>
      <c r="PYQ4" s="1"/>
      <c r="PYR4" s="1"/>
      <c r="PYS4" s="1"/>
      <c r="PYT4" s="1"/>
      <c r="PYU4" s="1"/>
      <c r="PYV4" s="1"/>
      <c r="PYW4" s="1"/>
      <c r="PYX4" s="1"/>
      <c r="PYY4" s="1"/>
      <c r="PYZ4" s="1"/>
      <c r="PZA4" s="1"/>
      <c r="PZB4" s="1"/>
      <c r="PZC4" s="1"/>
      <c r="PZD4" s="1"/>
      <c r="PZE4" s="1"/>
      <c r="PZF4" s="1"/>
      <c r="PZG4" s="1"/>
      <c r="PZH4" s="1"/>
      <c r="PZI4" s="1"/>
      <c r="PZJ4" s="1"/>
      <c r="PZK4" s="1"/>
      <c r="PZL4" s="1"/>
      <c r="PZM4" s="1"/>
      <c r="PZN4" s="1"/>
      <c r="PZO4" s="1"/>
      <c r="PZP4" s="1"/>
      <c r="PZQ4" s="1"/>
      <c r="PZR4" s="1"/>
      <c r="PZS4" s="1"/>
      <c r="PZT4" s="1"/>
      <c r="PZU4" s="1"/>
      <c r="PZV4" s="1"/>
      <c r="PZW4" s="1"/>
      <c r="PZX4" s="1"/>
      <c r="PZY4" s="1"/>
      <c r="PZZ4" s="1"/>
      <c r="QAA4" s="1"/>
      <c r="QAB4" s="1"/>
      <c r="QAC4" s="1"/>
      <c r="QAD4" s="1"/>
      <c r="QAE4" s="1"/>
      <c r="QAF4" s="1"/>
      <c r="QAG4" s="1"/>
      <c r="QAH4" s="1"/>
      <c r="QAI4" s="1"/>
      <c r="QAJ4" s="1"/>
      <c r="QAK4" s="1"/>
      <c r="QAL4" s="1"/>
      <c r="QAM4" s="1"/>
      <c r="QAN4" s="1"/>
      <c r="QAO4" s="1"/>
      <c r="QAP4" s="1"/>
      <c r="QAQ4" s="1"/>
      <c r="QAR4" s="1"/>
      <c r="QAS4" s="1"/>
      <c r="QAT4" s="1"/>
      <c r="QAU4" s="1"/>
      <c r="QAV4" s="1"/>
      <c r="QAW4" s="1"/>
      <c r="QAX4" s="1"/>
      <c r="QAY4" s="1"/>
      <c r="QAZ4" s="1"/>
      <c r="QBA4" s="1"/>
      <c r="QBB4" s="1"/>
      <c r="QBC4" s="1"/>
      <c r="QBD4" s="1"/>
      <c r="QBE4" s="1"/>
      <c r="QBF4" s="1"/>
      <c r="QBG4" s="1"/>
      <c r="QBH4" s="1"/>
      <c r="QBI4" s="1"/>
      <c r="QBJ4" s="1"/>
      <c r="QBK4" s="1"/>
      <c r="QBL4" s="1"/>
      <c r="QBM4" s="1"/>
      <c r="QBN4" s="1"/>
      <c r="QBO4" s="1"/>
      <c r="QBP4" s="1"/>
      <c r="QBQ4" s="1"/>
      <c r="QBR4" s="1"/>
      <c r="QBS4" s="1"/>
      <c r="QBT4" s="1"/>
      <c r="QBU4" s="1"/>
      <c r="QBV4" s="1"/>
      <c r="QBW4" s="1"/>
      <c r="QBX4" s="1"/>
      <c r="QBY4" s="1"/>
      <c r="QBZ4" s="1"/>
      <c r="QCA4" s="1"/>
      <c r="QCB4" s="1"/>
      <c r="QCC4" s="1"/>
      <c r="QCD4" s="1"/>
      <c r="QCE4" s="1"/>
      <c r="QCF4" s="1"/>
      <c r="QCG4" s="1"/>
      <c r="QCH4" s="1"/>
      <c r="QCI4" s="1"/>
      <c r="QCJ4" s="1"/>
      <c r="QCK4" s="1"/>
      <c r="QCL4" s="1"/>
      <c r="QCM4" s="1"/>
      <c r="QCN4" s="1"/>
      <c r="QCO4" s="1"/>
      <c r="QCP4" s="1"/>
      <c r="QCQ4" s="1"/>
      <c r="QCR4" s="1"/>
      <c r="QCS4" s="1"/>
      <c r="QCT4" s="1"/>
      <c r="QCU4" s="1"/>
      <c r="QCV4" s="1"/>
      <c r="QCW4" s="1"/>
      <c r="QCX4" s="1"/>
      <c r="QCY4" s="1"/>
      <c r="QCZ4" s="1"/>
      <c r="QDA4" s="1"/>
      <c r="QDB4" s="1"/>
      <c r="QDC4" s="1"/>
      <c r="QDD4" s="1"/>
      <c r="QDE4" s="1"/>
      <c r="QDF4" s="1"/>
      <c r="QDG4" s="1"/>
      <c r="QDH4" s="1"/>
      <c r="QDI4" s="1"/>
      <c r="QDJ4" s="1"/>
      <c r="QDK4" s="1"/>
      <c r="QDL4" s="1"/>
      <c r="QDM4" s="1"/>
      <c r="QDN4" s="1"/>
      <c r="QDO4" s="1"/>
      <c r="QDP4" s="1"/>
      <c r="QDQ4" s="1"/>
      <c r="QDR4" s="1"/>
      <c r="QDS4" s="1"/>
      <c r="QDT4" s="1"/>
      <c r="QDU4" s="1"/>
      <c r="QDV4" s="1"/>
      <c r="QDW4" s="1"/>
      <c r="QDX4" s="1"/>
      <c r="QDY4" s="1"/>
      <c r="QDZ4" s="1"/>
      <c r="QEA4" s="1"/>
      <c r="QEB4" s="1"/>
      <c r="QEC4" s="1"/>
      <c r="QED4" s="1"/>
      <c r="QEE4" s="1"/>
      <c r="QEF4" s="1"/>
      <c r="QEG4" s="1"/>
      <c r="QEH4" s="1"/>
      <c r="QEI4" s="1"/>
      <c r="QEJ4" s="1"/>
      <c r="QEK4" s="1"/>
      <c r="QEL4" s="1"/>
      <c r="QEM4" s="1"/>
      <c r="QEN4" s="1"/>
      <c r="QEO4" s="1"/>
      <c r="QEP4" s="1"/>
      <c r="QEQ4" s="1"/>
      <c r="QER4" s="1"/>
      <c r="QES4" s="1"/>
      <c r="QET4" s="1"/>
      <c r="QEU4" s="1"/>
      <c r="QEV4" s="1"/>
      <c r="QEW4" s="1"/>
      <c r="QEX4" s="1"/>
      <c r="QEY4" s="1"/>
      <c r="QEZ4" s="1"/>
      <c r="QFA4" s="1"/>
      <c r="QFB4" s="1"/>
      <c r="QFC4" s="1"/>
      <c r="QFD4" s="1"/>
      <c r="QFE4" s="1"/>
      <c r="QFF4" s="1"/>
      <c r="QFG4" s="1"/>
      <c r="QFH4" s="1"/>
      <c r="QFI4" s="1"/>
      <c r="QFJ4" s="1"/>
      <c r="QFK4" s="1"/>
      <c r="QFL4" s="1"/>
      <c r="QFM4" s="1"/>
      <c r="QFN4" s="1"/>
      <c r="QFO4" s="1"/>
      <c r="QFP4" s="1"/>
      <c r="QFQ4" s="1"/>
      <c r="QFR4" s="1"/>
      <c r="QFS4" s="1"/>
      <c r="QFT4" s="1"/>
      <c r="QFU4" s="1"/>
      <c r="QFV4" s="1"/>
      <c r="QFW4" s="1"/>
      <c r="QFX4" s="1"/>
      <c r="QFY4" s="1"/>
      <c r="QFZ4" s="1"/>
      <c r="QGA4" s="1"/>
      <c r="QGB4" s="1"/>
      <c r="QGC4" s="1"/>
      <c r="QGD4" s="1"/>
      <c r="QGE4" s="1"/>
      <c r="QGF4" s="1"/>
      <c r="QGG4" s="1"/>
      <c r="QGH4" s="1"/>
      <c r="QGI4" s="1"/>
      <c r="QGJ4" s="1"/>
      <c r="QGK4" s="1"/>
      <c r="QGL4" s="1"/>
      <c r="QGM4" s="1"/>
      <c r="QGN4" s="1"/>
      <c r="QGO4" s="1"/>
      <c r="QGP4" s="1"/>
      <c r="QGQ4" s="1"/>
      <c r="QGR4" s="1"/>
      <c r="QGS4" s="1"/>
      <c r="QGT4" s="1"/>
      <c r="QGU4" s="1"/>
      <c r="QGV4" s="1"/>
      <c r="QGW4" s="1"/>
      <c r="QGX4" s="1"/>
      <c r="QGY4" s="1"/>
      <c r="QGZ4" s="1"/>
      <c r="QHA4" s="1"/>
      <c r="QHB4" s="1"/>
      <c r="QHC4" s="1"/>
      <c r="QHD4" s="1"/>
      <c r="QHE4" s="1"/>
      <c r="QHF4" s="1"/>
      <c r="QHG4" s="1"/>
      <c r="QHH4" s="1"/>
      <c r="QHI4" s="1"/>
      <c r="QHJ4" s="1"/>
      <c r="QHK4" s="1"/>
      <c r="QHL4" s="1"/>
      <c r="QHM4" s="1"/>
      <c r="QHN4" s="1"/>
      <c r="QHO4" s="1"/>
      <c r="QHP4" s="1"/>
      <c r="QHQ4" s="1"/>
      <c r="QHR4" s="1"/>
      <c r="QHS4" s="1"/>
      <c r="QHT4" s="1"/>
      <c r="QHU4" s="1"/>
      <c r="QHV4" s="1"/>
      <c r="QHW4" s="1"/>
      <c r="QHX4" s="1"/>
      <c r="QHY4" s="1"/>
      <c r="QHZ4" s="1"/>
      <c r="QIA4" s="1"/>
      <c r="QIB4" s="1"/>
      <c r="QIC4" s="1"/>
      <c r="QID4" s="1"/>
      <c r="QIE4" s="1"/>
      <c r="QIF4" s="1"/>
      <c r="QIG4" s="1"/>
      <c r="QIH4" s="1"/>
      <c r="QII4" s="1"/>
      <c r="QIJ4" s="1"/>
      <c r="QIK4" s="1"/>
      <c r="QIL4" s="1"/>
      <c r="QIM4" s="1"/>
      <c r="QIN4" s="1"/>
      <c r="QIO4" s="1"/>
      <c r="QIP4" s="1"/>
      <c r="QIQ4" s="1"/>
      <c r="QIR4" s="1"/>
      <c r="QIS4" s="1"/>
      <c r="QIT4" s="1"/>
      <c r="QIU4" s="1"/>
      <c r="QIV4" s="1"/>
      <c r="QIW4" s="1"/>
      <c r="QIX4" s="1"/>
      <c r="QIY4" s="1"/>
      <c r="QIZ4" s="1"/>
      <c r="QJA4" s="1"/>
      <c r="QJB4" s="1"/>
      <c r="QJC4" s="1"/>
      <c r="QJD4" s="1"/>
      <c r="QJE4" s="1"/>
      <c r="QJF4" s="1"/>
      <c r="QJG4" s="1"/>
      <c r="QJH4" s="1"/>
      <c r="QJI4" s="1"/>
      <c r="QJJ4" s="1"/>
      <c r="QJK4" s="1"/>
      <c r="QJL4" s="1"/>
      <c r="QJM4" s="1"/>
      <c r="QJN4" s="1"/>
      <c r="QJO4" s="1"/>
      <c r="QJP4" s="1"/>
      <c r="QJQ4" s="1"/>
      <c r="QJR4" s="1"/>
      <c r="QJS4" s="1"/>
      <c r="QJT4" s="1"/>
      <c r="QJU4" s="1"/>
      <c r="QJV4" s="1"/>
      <c r="QJW4" s="1"/>
      <c r="QJX4" s="1"/>
      <c r="QJY4" s="1"/>
      <c r="QJZ4" s="1"/>
      <c r="QKA4" s="1"/>
      <c r="QKB4" s="1"/>
      <c r="QKC4" s="1"/>
      <c r="QKD4" s="1"/>
      <c r="QKE4" s="1"/>
      <c r="QKF4" s="1"/>
      <c r="QKG4" s="1"/>
      <c r="QKH4" s="1"/>
      <c r="QKI4" s="1"/>
      <c r="QKJ4" s="1"/>
      <c r="QKK4" s="1"/>
      <c r="QKL4" s="1"/>
      <c r="QKM4" s="1"/>
      <c r="QKN4" s="1"/>
      <c r="QKO4" s="1"/>
      <c r="QKP4" s="1"/>
      <c r="QKQ4" s="1"/>
      <c r="QKR4" s="1"/>
      <c r="QKS4" s="1"/>
      <c r="QKT4" s="1"/>
      <c r="QKU4" s="1"/>
      <c r="QKV4" s="1"/>
      <c r="QKW4" s="1"/>
      <c r="QKX4" s="1"/>
      <c r="QKY4" s="1"/>
      <c r="QKZ4" s="1"/>
      <c r="QLA4" s="1"/>
      <c r="QLB4" s="1"/>
      <c r="QLC4" s="1"/>
      <c r="QLD4" s="1"/>
      <c r="QLE4" s="1"/>
      <c r="QLF4" s="1"/>
      <c r="QLG4" s="1"/>
      <c r="QLH4" s="1"/>
      <c r="QLI4" s="1"/>
      <c r="QLJ4" s="1"/>
      <c r="QLK4" s="1"/>
      <c r="QLL4" s="1"/>
      <c r="QLM4" s="1"/>
      <c r="QLN4" s="1"/>
      <c r="QLO4" s="1"/>
      <c r="QLP4" s="1"/>
      <c r="QLQ4" s="1"/>
      <c r="QLR4" s="1"/>
      <c r="QLS4" s="1"/>
      <c r="QLT4" s="1"/>
      <c r="QLU4" s="1"/>
      <c r="QLV4" s="1"/>
      <c r="QLW4" s="1"/>
      <c r="QLX4" s="1"/>
      <c r="QLY4" s="1"/>
      <c r="QLZ4" s="1"/>
      <c r="QMA4" s="1"/>
      <c r="QMB4" s="1"/>
      <c r="QMC4" s="1"/>
      <c r="QMD4" s="1"/>
      <c r="QME4" s="1"/>
      <c r="QMF4" s="1"/>
      <c r="QMG4" s="1"/>
      <c r="QMH4" s="1"/>
      <c r="QMI4" s="1"/>
      <c r="QMJ4" s="1"/>
      <c r="QMK4" s="1"/>
      <c r="QML4" s="1"/>
      <c r="QMM4" s="1"/>
      <c r="QMN4" s="1"/>
      <c r="QMO4" s="1"/>
      <c r="QMP4" s="1"/>
      <c r="QMQ4" s="1"/>
      <c r="QMR4" s="1"/>
      <c r="QMS4" s="1"/>
      <c r="QMT4" s="1"/>
      <c r="QMU4" s="1"/>
      <c r="QMV4" s="1"/>
      <c r="QMW4" s="1"/>
      <c r="QMX4" s="1"/>
      <c r="QMY4" s="1"/>
      <c r="QMZ4" s="1"/>
      <c r="QNA4" s="1"/>
      <c r="QNB4" s="1"/>
      <c r="QNC4" s="1"/>
      <c r="QND4" s="1"/>
      <c r="QNE4" s="1"/>
      <c r="QNF4" s="1"/>
      <c r="QNG4" s="1"/>
      <c r="QNH4" s="1"/>
      <c r="QNI4" s="1"/>
      <c r="QNJ4" s="1"/>
      <c r="QNK4" s="1"/>
      <c r="QNL4" s="1"/>
      <c r="QNM4" s="1"/>
      <c r="QNN4" s="1"/>
      <c r="QNO4" s="1"/>
      <c r="QNP4" s="1"/>
      <c r="QNQ4" s="1"/>
      <c r="QNR4" s="1"/>
      <c r="QNS4" s="1"/>
      <c r="QNT4" s="1"/>
      <c r="QNU4" s="1"/>
      <c r="QNV4" s="1"/>
      <c r="QNW4" s="1"/>
      <c r="QNX4" s="1"/>
      <c r="QNY4" s="1"/>
      <c r="QNZ4" s="1"/>
      <c r="QOA4" s="1"/>
      <c r="QOB4" s="1"/>
      <c r="QOC4" s="1"/>
      <c r="QOD4" s="1"/>
      <c r="QOE4" s="1"/>
      <c r="QOF4" s="1"/>
      <c r="QOG4" s="1"/>
      <c r="QOH4" s="1"/>
      <c r="QOI4" s="1"/>
      <c r="QOJ4" s="1"/>
      <c r="QOK4" s="1"/>
      <c r="QOL4" s="1"/>
      <c r="QOM4" s="1"/>
      <c r="QON4" s="1"/>
      <c r="QOO4" s="1"/>
      <c r="QOP4" s="1"/>
      <c r="QOQ4" s="1"/>
      <c r="QOR4" s="1"/>
      <c r="QOS4" s="1"/>
      <c r="QOT4" s="1"/>
      <c r="QOU4" s="1"/>
      <c r="QOV4" s="1"/>
      <c r="QOW4" s="1"/>
      <c r="QOX4" s="1"/>
      <c r="QOY4" s="1"/>
      <c r="QOZ4" s="1"/>
      <c r="QPA4" s="1"/>
      <c r="QPB4" s="1"/>
      <c r="QPC4" s="1"/>
      <c r="QPD4" s="1"/>
      <c r="QPE4" s="1"/>
      <c r="QPF4" s="1"/>
      <c r="QPG4" s="1"/>
      <c r="QPH4" s="1"/>
      <c r="QPI4" s="1"/>
      <c r="QPJ4" s="1"/>
      <c r="QPK4" s="1"/>
      <c r="QPL4" s="1"/>
      <c r="QPM4" s="1"/>
      <c r="QPN4" s="1"/>
      <c r="QPO4" s="1"/>
      <c r="QPP4" s="1"/>
      <c r="QPQ4" s="1"/>
      <c r="QPR4" s="1"/>
      <c r="QPS4" s="1"/>
      <c r="QPT4" s="1"/>
      <c r="QPU4" s="1"/>
      <c r="QPV4" s="1"/>
      <c r="QPW4" s="1"/>
      <c r="QPX4" s="1"/>
      <c r="QPY4" s="1"/>
      <c r="QPZ4" s="1"/>
      <c r="QQA4" s="1"/>
      <c r="QQB4" s="1"/>
      <c r="QQC4" s="1"/>
      <c r="QQD4" s="1"/>
      <c r="QQE4" s="1"/>
      <c r="QQF4" s="1"/>
      <c r="QQG4" s="1"/>
      <c r="QQH4" s="1"/>
      <c r="QQI4" s="1"/>
      <c r="QQJ4" s="1"/>
      <c r="QQK4" s="1"/>
      <c r="QQL4" s="1"/>
      <c r="QQM4" s="1"/>
      <c r="QQN4" s="1"/>
      <c r="QQO4" s="1"/>
      <c r="QQP4" s="1"/>
      <c r="QQQ4" s="1"/>
      <c r="QQR4" s="1"/>
      <c r="QQS4" s="1"/>
      <c r="QQT4" s="1"/>
      <c r="QQU4" s="1"/>
      <c r="QQV4" s="1"/>
      <c r="QQW4" s="1"/>
      <c r="QQX4" s="1"/>
      <c r="QQY4" s="1"/>
      <c r="QQZ4" s="1"/>
      <c r="QRA4" s="1"/>
      <c r="QRB4" s="1"/>
      <c r="QRC4" s="1"/>
      <c r="QRD4" s="1"/>
      <c r="QRE4" s="1"/>
      <c r="QRF4" s="1"/>
      <c r="QRG4" s="1"/>
      <c r="QRH4" s="1"/>
      <c r="QRI4" s="1"/>
      <c r="QRJ4" s="1"/>
      <c r="QRK4" s="1"/>
      <c r="QRL4" s="1"/>
      <c r="QRM4" s="1"/>
      <c r="QRN4" s="1"/>
      <c r="QRO4" s="1"/>
      <c r="QRP4" s="1"/>
      <c r="QRQ4" s="1"/>
      <c r="QRR4" s="1"/>
      <c r="QRS4" s="1"/>
      <c r="QRT4" s="1"/>
      <c r="QRU4" s="1"/>
      <c r="QRV4" s="1"/>
      <c r="QRW4" s="1"/>
      <c r="QRX4" s="1"/>
      <c r="QRY4" s="1"/>
      <c r="QRZ4" s="1"/>
      <c r="QSA4" s="1"/>
      <c r="QSB4" s="1"/>
      <c r="QSC4" s="1"/>
      <c r="QSD4" s="1"/>
      <c r="QSE4" s="1"/>
      <c r="QSF4" s="1"/>
      <c r="QSG4" s="1"/>
      <c r="QSH4" s="1"/>
      <c r="QSI4" s="1"/>
      <c r="QSJ4" s="1"/>
      <c r="QSK4" s="1"/>
      <c r="QSL4" s="1"/>
      <c r="QSM4" s="1"/>
      <c r="QSN4" s="1"/>
      <c r="QSO4" s="1"/>
      <c r="QSP4" s="1"/>
      <c r="QSQ4" s="1"/>
      <c r="QSR4" s="1"/>
      <c r="QSS4" s="1"/>
      <c r="QST4" s="1"/>
      <c r="QSU4" s="1"/>
      <c r="QSV4" s="1"/>
      <c r="QSW4" s="1"/>
      <c r="QSX4" s="1"/>
      <c r="QSY4" s="1"/>
      <c r="QSZ4" s="1"/>
      <c r="QTA4" s="1"/>
      <c r="QTB4" s="1"/>
      <c r="QTC4" s="1"/>
      <c r="QTD4" s="1"/>
      <c r="QTE4" s="1"/>
      <c r="QTF4" s="1"/>
      <c r="QTG4" s="1"/>
      <c r="QTH4" s="1"/>
      <c r="QTI4" s="1"/>
      <c r="QTJ4" s="1"/>
      <c r="QTK4" s="1"/>
      <c r="QTL4" s="1"/>
      <c r="QTM4" s="1"/>
      <c r="QTN4" s="1"/>
      <c r="QTO4" s="1"/>
      <c r="QTP4" s="1"/>
      <c r="QTQ4" s="1"/>
      <c r="QTR4" s="1"/>
      <c r="QTS4" s="1"/>
      <c r="QTT4" s="1"/>
      <c r="QTU4" s="1"/>
      <c r="QTV4" s="1"/>
      <c r="QTW4" s="1"/>
      <c r="QTX4" s="1"/>
      <c r="QTY4" s="1"/>
      <c r="QTZ4" s="1"/>
      <c r="QUA4" s="1"/>
      <c r="QUB4" s="1"/>
      <c r="QUC4" s="1"/>
      <c r="QUD4" s="1"/>
      <c r="QUE4" s="1"/>
      <c r="QUF4" s="1"/>
      <c r="QUG4" s="1"/>
      <c r="QUH4" s="1"/>
      <c r="QUI4" s="1"/>
      <c r="QUJ4" s="1"/>
      <c r="QUK4" s="1"/>
      <c r="QUL4" s="1"/>
      <c r="QUM4" s="1"/>
      <c r="QUN4" s="1"/>
      <c r="QUO4" s="1"/>
      <c r="QUP4" s="1"/>
      <c r="QUQ4" s="1"/>
      <c r="QUR4" s="1"/>
      <c r="QUS4" s="1"/>
      <c r="QUT4" s="1"/>
      <c r="QUU4" s="1"/>
      <c r="QUV4" s="1"/>
      <c r="QUW4" s="1"/>
      <c r="QUX4" s="1"/>
      <c r="QUY4" s="1"/>
      <c r="QUZ4" s="1"/>
      <c r="QVA4" s="1"/>
      <c r="QVB4" s="1"/>
      <c r="QVC4" s="1"/>
      <c r="QVD4" s="1"/>
      <c r="QVE4" s="1"/>
      <c r="QVF4" s="1"/>
      <c r="QVG4" s="1"/>
      <c r="QVH4" s="1"/>
      <c r="QVI4" s="1"/>
      <c r="QVJ4" s="1"/>
      <c r="QVK4" s="1"/>
      <c r="QVL4" s="1"/>
      <c r="QVM4" s="1"/>
      <c r="QVN4" s="1"/>
      <c r="QVO4" s="1"/>
      <c r="QVP4" s="1"/>
      <c r="QVQ4" s="1"/>
      <c r="QVR4" s="1"/>
      <c r="QVS4" s="1"/>
      <c r="QVT4" s="1"/>
      <c r="QVU4" s="1"/>
      <c r="QVV4" s="1"/>
      <c r="QVW4" s="1"/>
      <c r="QVX4" s="1"/>
      <c r="QVY4" s="1"/>
      <c r="QVZ4" s="1"/>
      <c r="QWA4" s="1"/>
      <c r="QWB4" s="1"/>
      <c r="QWC4" s="1"/>
      <c r="QWD4" s="1"/>
      <c r="QWE4" s="1"/>
      <c r="QWF4" s="1"/>
      <c r="QWG4" s="1"/>
      <c r="QWH4" s="1"/>
      <c r="QWI4" s="1"/>
      <c r="QWJ4" s="1"/>
      <c r="QWK4" s="1"/>
      <c r="QWL4" s="1"/>
      <c r="QWM4" s="1"/>
      <c r="QWN4" s="1"/>
      <c r="QWO4" s="1"/>
      <c r="QWP4" s="1"/>
      <c r="QWQ4" s="1"/>
      <c r="QWR4" s="1"/>
      <c r="QWS4" s="1"/>
      <c r="QWT4" s="1"/>
      <c r="QWU4" s="1"/>
      <c r="QWV4" s="1"/>
      <c r="QWW4" s="1"/>
      <c r="QWX4" s="1"/>
      <c r="QWY4" s="1"/>
      <c r="QWZ4" s="1"/>
      <c r="QXA4" s="1"/>
      <c r="QXB4" s="1"/>
      <c r="QXC4" s="1"/>
      <c r="QXD4" s="1"/>
      <c r="QXE4" s="1"/>
      <c r="QXF4" s="1"/>
      <c r="QXG4" s="1"/>
      <c r="QXH4" s="1"/>
      <c r="QXI4" s="1"/>
      <c r="QXJ4" s="1"/>
      <c r="QXK4" s="1"/>
      <c r="QXL4" s="1"/>
      <c r="QXM4" s="1"/>
      <c r="QXN4" s="1"/>
      <c r="QXO4" s="1"/>
      <c r="QXP4" s="1"/>
      <c r="QXQ4" s="1"/>
      <c r="QXR4" s="1"/>
      <c r="QXS4" s="1"/>
      <c r="QXT4" s="1"/>
      <c r="QXU4" s="1"/>
      <c r="QXV4" s="1"/>
      <c r="QXW4" s="1"/>
      <c r="QXX4" s="1"/>
      <c r="QXY4" s="1"/>
      <c r="QXZ4" s="1"/>
      <c r="QYA4" s="1"/>
      <c r="QYB4" s="1"/>
      <c r="QYC4" s="1"/>
      <c r="QYD4" s="1"/>
      <c r="QYE4" s="1"/>
      <c r="QYF4" s="1"/>
      <c r="QYG4" s="1"/>
      <c r="QYH4" s="1"/>
      <c r="QYI4" s="1"/>
      <c r="QYJ4" s="1"/>
      <c r="QYK4" s="1"/>
      <c r="QYL4" s="1"/>
      <c r="QYM4" s="1"/>
      <c r="QYN4" s="1"/>
      <c r="QYO4" s="1"/>
      <c r="QYP4" s="1"/>
      <c r="QYQ4" s="1"/>
      <c r="QYR4" s="1"/>
      <c r="QYS4" s="1"/>
      <c r="QYT4" s="1"/>
      <c r="QYU4" s="1"/>
      <c r="QYV4" s="1"/>
      <c r="QYW4" s="1"/>
      <c r="QYX4" s="1"/>
      <c r="QYY4" s="1"/>
      <c r="QYZ4" s="1"/>
      <c r="QZA4" s="1"/>
      <c r="QZB4" s="1"/>
      <c r="QZC4" s="1"/>
      <c r="QZD4" s="1"/>
      <c r="QZE4" s="1"/>
      <c r="QZF4" s="1"/>
      <c r="QZG4" s="1"/>
      <c r="QZH4" s="1"/>
      <c r="QZI4" s="1"/>
      <c r="QZJ4" s="1"/>
      <c r="QZK4" s="1"/>
      <c r="QZL4" s="1"/>
      <c r="QZM4" s="1"/>
      <c r="QZN4" s="1"/>
      <c r="QZO4" s="1"/>
      <c r="QZP4" s="1"/>
      <c r="QZQ4" s="1"/>
      <c r="QZR4" s="1"/>
      <c r="QZS4" s="1"/>
      <c r="QZT4" s="1"/>
      <c r="QZU4" s="1"/>
      <c r="QZV4" s="1"/>
      <c r="QZW4" s="1"/>
      <c r="QZX4" s="1"/>
      <c r="QZY4" s="1"/>
      <c r="QZZ4" s="1"/>
      <c r="RAA4" s="1"/>
      <c r="RAB4" s="1"/>
      <c r="RAC4" s="1"/>
      <c r="RAD4" s="1"/>
      <c r="RAE4" s="1"/>
      <c r="RAF4" s="1"/>
      <c r="RAG4" s="1"/>
      <c r="RAH4" s="1"/>
      <c r="RAI4" s="1"/>
      <c r="RAJ4" s="1"/>
      <c r="RAK4" s="1"/>
      <c r="RAL4" s="1"/>
      <c r="RAM4" s="1"/>
      <c r="RAN4" s="1"/>
      <c r="RAO4" s="1"/>
      <c r="RAP4" s="1"/>
      <c r="RAQ4" s="1"/>
      <c r="RAR4" s="1"/>
      <c r="RAS4" s="1"/>
      <c r="RAT4" s="1"/>
      <c r="RAU4" s="1"/>
      <c r="RAV4" s="1"/>
      <c r="RAW4" s="1"/>
      <c r="RAX4" s="1"/>
      <c r="RAY4" s="1"/>
      <c r="RAZ4" s="1"/>
      <c r="RBA4" s="1"/>
      <c r="RBB4" s="1"/>
      <c r="RBC4" s="1"/>
      <c r="RBD4" s="1"/>
      <c r="RBE4" s="1"/>
      <c r="RBF4" s="1"/>
      <c r="RBG4" s="1"/>
      <c r="RBH4" s="1"/>
      <c r="RBI4" s="1"/>
      <c r="RBJ4" s="1"/>
      <c r="RBK4" s="1"/>
      <c r="RBL4" s="1"/>
      <c r="RBM4" s="1"/>
      <c r="RBN4" s="1"/>
      <c r="RBO4" s="1"/>
      <c r="RBP4" s="1"/>
      <c r="RBQ4" s="1"/>
      <c r="RBR4" s="1"/>
      <c r="RBS4" s="1"/>
      <c r="RBT4" s="1"/>
      <c r="RBU4" s="1"/>
      <c r="RBV4" s="1"/>
      <c r="RBW4" s="1"/>
      <c r="RBX4" s="1"/>
      <c r="RBY4" s="1"/>
      <c r="RBZ4" s="1"/>
      <c r="RCA4" s="1"/>
      <c r="RCB4" s="1"/>
      <c r="RCC4" s="1"/>
      <c r="RCD4" s="1"/>
      <c r="RCE4" s="1"/>
      <c r="RCF4" s="1"/>
      <c r="RCG4" s="1"/>
      <c r="RCH4" s="1"/>
      <c r="RCI4" s="1"/>
      <c r="RCJ4" s="1"/>
      <c r="RCK4" s="1"/>
      <c r="RCL4" s="1"/>
      <c r="RCM4" s="1"/>
      <c r="RCN4" s="1"/>
      <c r="RCO4" s="1"/>
      <c r="RCP4" s="1"/>
      <c r="RCQ4" s="1"/>
      <c r="RCR4" s="1"/>
      <c r="RCS4" s="1"/>
      <c r="RCT4" s="1"/>
      <c r="RCU4" s="1"/>
      <c r="RCV4" s="1"/>
      <c r="RCW4" s="1"/>
      <c r="RCX4" s="1"/>
      <c r="RCY4" s="1"/>
      <c r="RCZ4" s="1"/>
      <c r="RDA4" s="1"/>
      <c r="RDB4" s="1"/>
      <c r="RDC4" s="1"/>
      <c r="RDD4" s="1"/>
      <c r="RDE4" s="1"/>
      <c r="RDF4" s="1"/>
      <c r="RDG4" s="1"/>
      <c r="RDH4" s="1"/>
      <c r="RDI4" s="1"/>
      <c r="RDJ4" s="1"/>
      <c r="RDK4" s="1"/>
      <c r="RDL4" s="1"/>
      <c r="RDM4" s="1"/>
      <c r="RDN4" s="1"/>
      <c r="RDO4" s="1"/>
      <c r="RDP4" s="1"/>
      <c r="RDQ4" s="1"/>
      <c r="RDR4" s="1"/>
      <c r="RDS4" s="1"/>
      <c r="RDT4" s="1"/>
      <c r="RDU4" s="1"/>
      <c r="RDV4" s="1"/>
      <c r="RDW4" s="1"/>
      <c r="RDX4" s="1"/>
      <c r="RDY4" s="1"/>
      <c r="RDZ4" s="1"/>
      <c r="REA4" s="1"/>
      <c r="REB4" s="1"/>
      <c r="REC4" s="1"/>
      <c r="RED4" s="1"/>
      <c r="REE4" s="1"/>
      <c r="REF4" s="1"/>
      <c r="REG4" s="1"/>
      <c r="REH4" s="1"/>
      <c r="REI4" s="1"/>
      <c r="REJ4" s="1"/>
      <c r="REK4" s="1"/>
      <c r="REL4" s="1"/>
      <c r="REM4" s="1"/>
      <c r="REN4" s="1"/>
      <c r="REO4" s="1"/>
      <c r="REP4" s="1"/>
      <c r="REQ4" s="1"/>
      <c r="RER4" s="1"/>
      <c r="RES4" s="1"/>
      <c r="RET4" s="1"/>
      <c r="REU4" s="1"/>
      <c r="REV4" s="1"/>
      <c r="REW4" s="1"/>
      <c r="REX4" s="1"/>
      <c r="REY4" s="1"/>
      <c r="REZ4" s="1"/>
      <c r="RFA4" s="1"/>
      <c r="RFB4" s="1"/>
      <c r="RFC4" s="1"/>
      <c r="RFD4" s="1"/>
      <c r="RFE4" s="1"/>
      <c r="RFF4" s="1"/>
      <c r="RFG4" s="1"/>
      <c r="RFH4" s="1"/>
      <c r="RFI4" s="1"/>
      <c r="RFJ4" s="1"/>
      <c r="RFK4" s="1"/>
      <c r="RFL4" s="1"/>
      <c r="RFM4" s="1"/>
      <c r="RFN4" s="1"/>
      <c r="RFO4" s="1"/>
      <c r="RFP4" s="1"/>
      <c r="RFQ4" s="1"/>
      <c r="RFR4" s="1"/>
      <c r="RFS4" s="1"/>
      <c r="RFT4" s="1"/>
      <c r="RFU4" s="1"/>
      <c r="RFV4" s="1"/>
      <c r="RFW4" s="1"/>
      <c r="RFX4" s="1"/>
      <c r="RFY4" s="1"/>
      <c r="RFZ4" s="1"/>
      <c r="RGA4" s="1"/>
      <c r="RGB4" s="1"/>
      <c r="RGC4" s="1"/>
      <c r="RGD4" s="1"/>
      <c r="RGE4" s="1"/>
      <c r="RGF4" s="1"/>
      <c r="RGG4" s="1"/>
      <c r="RGH4" s="1"/>
      <c r="RGI4" s="1"/>
      <c r="RGJ4" s="1"/>
      <c r="RGK4" s="1"/>
      <c r="RGL4" s="1"/>
      <c r="RGM4" s="1"/>
      <c r="RGN4" s="1"/>
      <c r="RGO4" s="1"/>
      <c r="RGP4" s="1"/>
      <c r="RGQ4" s="1"/>
      <c r="RGR4" s="1"/>
      <c r="RGS4" s="1"/>
      <c r="RGT4" s="1"/>
      <c r="RGU4" s="1"/>
      <c r="RGV4" s="1"/>
      <c r="RGW4" s="1"/>
      <c r="RGX4" s="1"/>
      <c r="RGY4" s="1"/>
      <c r="RGZ4" s="1"/>
      <c r="RHA4" s="1"/>
      <c r="RHB4" s="1"/>
      <c r="RHC4" s="1"/>
      <c r="RHD4" s="1"/>
      <c r="RHE4" s="1"/>
      <c r="RHF4" s="1"/>
      <c r="RHG4" s="1"/>
      <c r="RHH4" s="1"/>
      <c r="RHI4" s="1"/>
      <c r="RHJ4" s="1"/>
      <c r="RHK4" s="1"/>
      <c r="RHL4" s="1"/>
      <c r="RHM4" s="1"/>
      <c r="RHN4" s="1"/>
      <c r="RHO4" s="1"/>
      <c r="RHP4" s="1"/>
      <c r="RHQ4" s="1"/>
      <c r="RHR4" s="1"/>
      <c r="RHS4" s="1"/>
      <c r="RHT4" s="1"/>
      <c r="RHU4" s="1"/>
      <c r="RHV4" s="1"/>
      <c r="RHW4" s="1"/>
      <c r="RHX4" s="1"/>
      <c r="RHY4" s="1"/>
      <c r="RHZ4" s="1"/>
      <c r="RIA4" s="1"/>
      <c r="RIB4" s="1"/>
      <c r="RIC4" s="1"/>
      <c r="RID4" s="1"/>
      <c r="RIE4" s="1"/>
      <c r="RIF4" s="1"/>
      <c r="RIG4" s="1"/>
      <c r="RIH4" s="1"/>
      <c r="RII4" s="1"/>
      <c r="RIJ4" s="1"/>
      <c r="RIK4" s="1"/>
      <c r="RIL4" s="1"/>
      <c r="RIM4" s="1"/>
      <c r="RIN4" s="1"/>
      <c r="RIO4" s="1"/>
      <c r="RIP4" s="1"/>
      <c r="RIQ4" s="1"/>
      <c r="RIR4" s="1"/>
      <c r="RIS4" s="1"/>
      <c r="RIT4" s="1"/>
      <c r="RIU4" s="1"/>
      <c r="RIV4" s="1"/>
      <c r="RIW4" s="1"/>
      <c r="RIX4" s="1"/>
      <c r="RIY4" s="1"/>
      <c r="RIZ4" s="1"/>
      <c r="RJA4" s="1"/>
      <c r="RJB4" s="1"/>
      <c r="RJC4" s="1"/>
      <c r="RJD4" s="1"/>
      <c r="RJE4" s="1"/>
      <c r="RJF4" s="1"/>
      <c r="RJG4" s="1"/>
      <c r="RJH4" s="1"/>
      <c r="RJI4" s="1"/>
      <c r="RJJ4" s="1"/>
      <c r="RJK4" s="1"/>
      <c r="RJL4" s="1"/>
      <c r="RJM4" s="1"/>
      <c r="RJN4" s="1"/>
      <c r="RJO4" s="1"/>
      <c r="RJP4" s="1"/>
      <c r="RJQ4" s="1"/>
      <c r="RJR4" s="1"/>
      <c r="RJS4" s="1"/>
      <c r="RJT4" s="1"/>
      <c r="RJU4" s="1"/>
      <c r="RJV4" s="1"/>
      <c r="RJW4" s="1"/>
      <c r="RJX4" s="1"/>
      <c r="RJY4" s="1"/>
      <c r="RJZ4" s="1"/>
      <c r="RKA4" s="1"/>
      <c r="RKB4" s="1"/>
      <c r="RKC4" s="1"/>
      <c r="RKD4" s="1"/>
      <c r="RKE4" s="1"/>
      <c r="RKF4" s="1"/>
      <c r="RKG4" s="1"/>
      <c r="RKH4" s="1"/>
      <c r="RKI4" s="1"/>
      <c r="RKJ4" s="1"/>
      <c r="RKK4" s="1"/>
      <c r="RKL4" s="1"/>
      <c r="RKM4" s="1"/>
      <c r="RKN4" s="1"/>
      <c r="RKO4" s="1"/>
      <c r="RKP4" s="1"/>
      <c r="RKQ4" s="1"/>
      <c r="RKR4" s="1"/>
      <c r="RKS4" s="1"/>
      <c r="RKT4" s="1"/>
      <c r="RKU4" s="1"/>
      <c r="RKV4" s="1"/>
      <c r="RKW4" s="1"/>
      <c r="RKX4" s="1"/>
      <c r="RKY4" s="1"/>
      <c r="RKZ4" s="1"/>
      <c r="RLA4" s="1"/>
      <c r="RLB4" s="1"/>
      <c r="RLC4" s="1"/>
      <c r="RLD4" s="1"/>
      <c r="RLE4" s="1"/>
      <c r="RLF4" s="1"/>
      <c r="RLG4" s="1"/>
      <c r="RLH4" s="1"/>
      <c r="RLI4" s="1"/>
      <c r="RLJ4" s="1"/>
      <c r="RLK4" s="1"/>
      <c r="RLL4" s="1"/>
      <c r="RLM4" s="1"/>
      <c r="RLN4" s="1"/>
      <c r="RLO4" s="1"/>
      <c r="RLP4" s="1"/>
      <c r="RLQ4" s="1"/>
      <c r="RLR4" s="1"/>
      <c r="RLS4" s="1"/>
      <c r="RLT4" s="1"/>
      <c r="RLU4" s="1"/>
      <c r="RLV4" s="1"/>
      <c r="RLW4" s="1"/>
      <c r="RLX4" s="1"/>
      <c r="RLY4" s="1"/>
      <c r="RLZ4" s="1"/>
      <c r="RMA4" s="1"/>
      <c r="RMB4" s="1"/>
      <c r="RMC4" s="1"/>
      <c r="RMD4" s="1"/>
      <c r="RME4" s="1"/>
      <c r="RMF4" s="1"/>
      <c r="RMG4" s="1"/>
      <c r="RMH4" s="1"/>
      <c r="RMI4" s="1"/>
      <c r="RMJ4" s="1"/>
      <c r="RMK4" s="1"/>
      <c r="RML4" s="1"/>
      <c r="RMM4" s="1"/>
      <c r="RMN4" s="1"/>
      <c r="RMO4" s="1"/>
      <c r="RMP4" s="1"/>
      <c r="RMQ4" s="1"/>
      <c r="RMR4" s="1"/>
      <c r="RMS4" s="1"/>
      <c r="RMT4" s="1"/>
      <c r="RMU4" s="1"/>
      <c r="RMV4" s="1"/>
      <c r="RMW4" s="1"/>
      <c r="RMX4" s="1"/>
      <c r="RMY4" s="1"/>
      <c r="RMZ4" s="1"/>
      <c r="RNA4" s="1"/>
      <c r="RNB4" s="1"/>
      <c r="RNC4" s="1"/>
      <c r="RND4" s="1"/>
      <c r="RNE4" s="1"/>
      <c r="RNF4" s="1"/>
      <c r="RNG4" s="1"/>
      <c r="RNH4" s="1"/>
      <c r="RNI4" s="1"/>
      <c r="RNJ4" s="1"/>
      <c r="RNK4" s="1"/>
      <c r="RNL4" s="1"/>
      <c r="RNM4" s="1"/>
      <c r="RNN4" s="1"/>
      <c r="RNO4" s="1"/>
      <c r="RNP4" s="1"/>
      <c r="RNQ4" s="1"/>
      <c r="RNR4" s="1"/>
      <c r="RNS4" s="1"/>
      <c r="RNT4" s="1"/>
      <c r="RNU4" s="1"/>
      <c r="RNV4" s="1"/>
      <c r="RNW4" s="1"/>
      <c r="RNX4" s="1"/>
      <c r="RNY4" s="1"/>
      <c r="RNZ4" s="1"/>
      <c r="ROA4" s="1"/>
      <c r="ROB4" s="1"/>
      <c r="ROC4" s="1"/>
      <c r="ROD4" s="1"/>
      <c r="ROE4" s="1"/>
      <c r="ROF4" s="1"/>
      <c r="ROG4" s="1"/>
      <c r="ROH4" s="1"/>
      <c r="ROI4" s="1"/>
      <c r="ROJ4" s="1"/>
      <c r="ROK4" s="1"/>
      <c r="ROL4" s="1"/>
      <c r="ROM4" s="1"/>
      <c r="RON4" s="1"/>
      <c r="ROO4" s="1"/>
      <c r="ROP4" s="1"/>
      <c r="ROQ4" s="1"/>
      <c r="ROR4" s="1"/>
      <c r="ROS4" s="1"/>
      <c r="ROT4" s="1"/>
      <c r="ROU4" s="1"/>
      <c r="ROV4" s="1"/>
      <c r="ROW4" s="1"/>
      <c r="ROX4" s="1"/>
      <c r="ROY4" s="1"/>
      <c r="ROZ4" s="1"/>
      <c r="RPA4" s="1"/>
      <c r="RPB4" s="1"/>
      <c r="RPC4" s="1"/>
      <c r="RPD4" s="1"/>
      <c r="RPE4" s="1"/>
      <c r="RPF4" s="1"/>
      <c r="RPG4" s="1"/>
      <c r="RPH4" s="1"/>
      <c r="RPI4" s="1"/>
      <c r="RPJ4" s="1"/>
      <c r="RPK4" s="1"/>
      <c r="RPL4" s="1"/>
      <c r="RPM4" s="1"/>
      <c r="RPN4" s="1"/>
      <c r="RPO4" s="1"/>
      <c r="RPP4" s="1"/>
      <c r="RPQ4" s="1"/>
      <c r="RPR4" s="1"/>
      <c r="RPS4" s="1"/>
      <c r="RPT4" s="1"/>
      <c r="RPU4" s="1"/>
      <c r="RPV4" s="1"/>
      <c r="RPW4" s="1"/>
      <c r="RPX4" s="1"/>
      <c r="RPY4" s="1"/>
      <c r="RPZ4" s="1"/>
      <c r="RQA4" s="1"/>
      <c r="RQB4" s="1"/>
      <c r="RQC4" s="1"/>
      <c r="RQD4" s="1"/>
      <c r="RQE4" s="1"/>
      <c r="RQF4" s="1"/>
      <c r="RQG4" s="1"/>
      <c r="RQH4" s="1"/>
      <c r="RQI4" s="1"/>
      <c r="RQJ4" s="1"/>
      <c r="RQK4" s="1"/>
      <c r="RQL4" s="1"/>
      <c r="RQM4" s="1"/>
      <c r="RQN4" s="1"/>
      <c r="RQO4" s="1"/>
      <c r="RQP4" s="1"/>
      <c r="RQQ4" s="1"/>
      <c r="RQR4" s="1"/>
      <c r="RQS4" s="1"/>
      <c r="RQT4" s="1"/>
      <c r="RQU4" s="1"/>
      <c r="RQV4" s="1"/>
      <c r="RQW4" s="1"/>
      <c r="RQX4" s="1"/>
      <c r="RQY4" s="1"/>
      <c r="RQZ4" s="1"/>
      <c r="RRA4" s="1"/>
      <c r="RRB4" s="1"/>
      <c r="RRC4" s="1"/>
      <c r="RRD4" s="1"/>
      <c r="RRE4" s="1"/>
      <c r="RRF4" s="1"/>
      <c r="RRG4" s="1"/>
      <c r="RRH4" s="1"/>
      <c r="RRI4" s="1"/>
      <c r="RRJ4" s="1"/>
      <c r="RRK4" s="1"/>
      <c r="RRL4" s="1"/>
      <c r="RRM4" s="1"/>
      <c r="RRN4" s="1"/>
      <c r="RRO4" s="1"/>
      <c r="RRP4" s="1"/>
      <c r="RRQ4" s="1"/>
      <c r="RRR4" s="1"/>
      <c r="RRS4" s="1"/>
      <c r="RRT4" s="1"/>
      <c r="RRU4" s="1"/>
      <c r="RRV4" s="1"/>
      <c r="RRW4" s="1"/>
      <c r="RRX4" s="1"/>
      <c r="RRY4" s="1"/>
      <c r="RRZ4" s="1"/>
      <c r="RSA4" s="1"/>
      <c r="RSB4" s="1"/>
      <c r="RSC4" s="1"/>
      <c r="RSD4" s="1"/>
      <c r="RSE4" s="1"/>
      <c r="RSF4" s="1"/>
      <c r="RSG4" s="1"/>
      <c r="RSH4" s="1"/>
      <c r="RSI4" s="1"/>
      <c r="RSJ4" s="1"/>
      <c r="RSK4" s="1"/>
      <c r="RSL4" s="1"/>
      <c r="RSM4" s="1"/>
      <c r="RSN4" s="1"/>
      <c r="RSO4" s="1"/>
      <c r="RSP4" s="1"/>
      <c r="RSQ4" s="1"/>
      <c r="RSR4" s="1"/>
      <c r="RSS4" s="1"/>
      <c r="RST4" s="1"/>
      <c r="RSU4" s="1"/>
      <c r="RSV4" s="1"/>
      <c r="RSW4" s="1"/>
      <c r="RSX4" s="1"/>
      <c r="RSY4" s="1"/>
      <c r="RSZ4" s="1"/>
      <c r="RTA4" s="1"/>
      <c r="RTB4" s="1"/>
      <c r="RTC4" s="1"/>
      <c r="RTD4" s="1"/>
      <c r="RTE4" s="1"/>
      <c r="RTF4" s="1"/>
      <c r="RTG4" s="1"/>
      <c r="RTH4" s="1"/>
      <c r="RTI4" s="1"/>
      <c r="RTJ4" s="1"/>
      <c r="RTK4" s="1"/>
      <c r="RTL4" s="1"/>
      <c r="RTM4" s="1"/>
      <c r="RTN4" s="1"/>
      <c r="RTO4" s="1"/>
      <c r="RTP4" s="1"/>
      <c r="RTQ4" s="1"/>
      <c r="RTR4" s="1"/>
      <c r="RTS4" s="1"/>
      <c r="RTT4" s="1"/>
      <c r="RTU4" s="1"/>
      <c r="RTV4" s="1"/>
      <c r="RTW4" s="1"/>
      <c r="RTX4" s="1"/>
      <c r="RTY4" s="1"/>
      <c r="RTZ4" s="1"/>
      <c r="RUA4" s="1"/>
      <c r="RUB4" s="1"/>
      <c r="RUC4" s="1"/>
      <c r="RUD4" s="1"/>
      <c r="RUE4" s="1"/>
      <c r="RUF4" s="1"/>
      <c r="RUG4" s="1"/>
      <c r="RUH4" s="1"/>
      <c r="RUI4" s="1"/>
      <c r="RUJ4" s="1"/>
      <c r="RUK4" s="1"/>
      <c r="RUL4" s="1"/>
      <c r="RUM4" s="1"/>
      <c r="RUN4" s="1"/>
      <c r="RUO4" s="1"/>
      <c r="RUP4" s="1"/>
      <c r="RUQ4" s="1"/>
      <c r="RUR4" s="1"/>
      <c r="RUS4" s="1"/>
      <c r="RUT4" s="1"/>
      <c r="RUU4" s="1"/>
      <c r="RUV4" s="1"/>
      <c r="RUW4" s="1"/>
      <c r="RUX4" s="1"/>
      <c r="RUY4" s="1"/>
      <c r="RUZ4" s="1"/>
      <c r="RVA4" s="1"/>
      <c r="RVB4" s="1"/>
      <c r="RVC4" s="1"/>
      <c r="RVD4" s="1"/>
      <c r="RVE4" s="1"/>
      <c r="RVF4" s="1"/>
      <c r="RVG4" s="1"/>
      <c r="RVH4" s="1"/>
      <c r="RVI4" s="1"/>
      <c r="RVJ4" s="1"/>
      <c r="RVK4" s="1"/>
      <c r="RVL4" s="1"/>
      <c r="RVM4" s="1"/>
      <c r="RVN4" s="1"/>
      <c r="RVO4" s="1"/>
      <c r="RVP4" s="1"/>
      <c r="RVQ4" s="1"/>
      <c r="RVR4" s="1"/>
      <c r="RVS4" s="1"/>
      <c r="RVT4" s="1"/>
      <c r="RVU4" s="1"/>
      <c r="RVV4" s="1"/>
      <c r="RVW4" s="1"/>
      <c r="RVX4" s="1"/>
      <c r="RVY4" s="1"/>
      <c r="RVZ4" s="1"/>
      <c r="RWA4" s="1"/>
      <c r="RWB4" s="1"/>
      <c r="RWC4" s="1"/>
      <c r="RWD4" s="1"/>
      <c r="RWE4" s="1"/>
      <c r="RWF4" s="1"/>
      <c r="RWG4" s="1"/>
      <c r="RWH4" s="1"/>
      <c r="RWI4" s="1"/>
      <c r="RWJ4" s="1"/>
      <c r="RWK4" s="1"/>
      <c r="RWL4" s="1"/>
      <c r="RWM4" s="1"/>
      <c r="RWN4" s="1"/>
      <c r="RWO4" s="1"/>
      <c r="RWP4" s="1"/>
      <c r="RWQ4" s="1"/>
      <c r="RWR4" s="1"/>
      <c r="RWS4" s="1"/>
      <c r="RWT4" s="1"/>
      <c r="RWU4" s="1"/>
      <c r="RWV4" s="1"/>
      <c r="RWW4" s="1"/>
      <c r="RWX4" s="1"/>
      <c r="RWY4" s="1"/>
      <c r="RWZ4" s="1"/>
      <c r="RXA4" s="1"/>
      <c r="RXB4" s="1"/>
      <c r="RXC4" s="1"/>
      <c r="RXD4" s="1"/>
      <c r="RXE4" s="1"/>
      <c r="RXF4" s="1"/>
      <c r="RXG4" s="1"/>
      <c r="RXH4" s="1"/>
      <c r="RXI4" s="1"/>
      <c r="RXJ4" s="1"/>
      <c r="RXK4" s="1"/>
      <c r="RXL4" s="1"/>
      <c r="RXM4" s="1"/>
      <c r="RXN4" s="1"/>
      <c r="RXO4" s="1"/>
      <c r="RXP4" s="1"/>
      <c r="RXQ4" s="1"/>
      <c r="RXR4" s="1"/>
      <c r="RXS4" s="1"/>
      <c r="RXT4" s="1"/>
      <c r="RXU4" s="1"/>
      <c r="RXV4" s="1"/>
      <c r="RXW4" s="1"/>
      <c r="RXX4" s="1"/>
      <c r="RXY4" s="1"/>
      <c r="RXZ4" s="1"/>
      <c r="RYA4" s="1"/>
      <c r="RYB4" s="1"/>
      <c r="RYC4" s="1"/>
      <c r="RYD4" s="1"/>
      <c r="RYE4" s="1"/>
      <c r="RYF4" s="1"/>
      <c r="RYG4" s="1"/>
      <c r="RYH4" s="1"/>
      <c r="RYI4" s="1"/>
      <c r="RYJ4" s="1"/>
      <c r="RYK4" s="1"/>
      <c r="RYL4" s="1"/>
      <c r="RYM4" s="1"/>
      <c r="RYN4" s="1"/>
      <c r="RYO4" s="1"/>
      <c r="RYP4" s="1"/>
      <c r="RYQ4" s="1"/>
      <c r="RYR4" s="1"/>
      <c r="RYS4" s="1"/>
      <c r="RYT4" s="1"/>
      <c r="RYU4" s="1"/>
      <c r="RYV4" s="1"/>
      <c r="RYW4" s="1"/>
      <c r="RYX4" s="1"/>
      <c r="RYY4" s="1"/>
      <c r="RYZ4" s="1"/>
      <c r="RZA4" s="1"/>
      <c r="RZB4" s="1"/>
      <c r="RZC4" s="1"/>
      <c r="RZD4" s="1"/>
      <c r="RZE4" s="1"/>
      <c r="RZF4" s="1"/>
      <c r="RZG4" s="1"/>
      <c r="RZH4" s="1"/>
      <c r="RZI4" s="1"/>
      <c r="RZJ4" s="1"/>
      <c r="RZK4" s="1"/>
      <c r="RZL4" s="1"/>
      <c r="RZM4" s="1"/>
      <c r="RZN4" s="1"/>
      <c r="RZO4" s="1"/>
      <c r="RZP4" s="1"/>
      <c r="RZQ4" s="1"/>
      <c r="RZR4" s="1"/>
      <c r="RZS4" s="1"/>
      <c r="RZT4" s="1"/>
      <c r="RZU4" s="1"/>
      <c r="RZV4" s="1"/>
      <c r="RZW4" s="1"/>
      <c r="RZX4" s="1"/>
      <c r="RZY4" s="1"/>
      <c r="RZZ4" s="1"/>
      <c r="SAA4" s="1"/>
      <c r="SAB4" s="1"/>
      <c r="SAC4" s="1"/>
      <c r="SAD4" s="1"/>
      <c r="SAE4" s="1"/>
      <c r="SAF4" s="1"/>
      <c r="SAG4" s="1"/>
      <c r="SAH4" s="1"/>
      <c r="SAI4" s="1"/>
      <c r="SAJ4" s="1"/>
      <c r="SAK4" s="1"/>
      <c r="SAL4" s="1"/>
      <c r="SAM4" s="1"/>
      <c r="SAN4" s="1"/>
      <c r="SAO4" s="1"/>
      <c r="SAP4" s="1"/>
      <c r="SAQ4" s="1"/>
      <c r="SAR4" s="1"/>
      <c r="SAS4" s="1"/>
      <c r="SAT4" s="1"/>
      <c r="SAU4" s="1"/>
      <c r="SAV4" s="1"/>
      <c r="SAW4" s="1"/>
      <c r="SAX4" s="1"/>
      <c r="SAY4" s="1"/>
      <c r="SAZ4" s="1"/>
      <c r="SBA4" s="1"/>
      <c r="SBB4" s="1"/>
      <c r="SBC4" s="1"/>
      <c r="SBD4" s="1"/>
      <c r="SBE4" s="1"/>
      <c r="SBF4" s="1"/>
      <c r="SBG4" s="1"/>
      <c r="SBH4" s="1"/>
      <c r="SBI4" s="1"/>
      <c r="SBJ4" s="1"/>
      <c r="SBK4" s="1"/>
      <c r="SBL4" s="1"/>
      <c r="SBM4" s="1"/>
      <c r="SBN4" s="1"/>
      <c r="SBO4" s="1"/>
      <c r="SBP4" s="1"/>
      <c r="SBQ4" s="1"/>
      <c r="SBR4" s="1"/>
      <c r="SBS4" s="1"/>
      <c r="SBT4" s="1"/>
      <c r="SBU4" s="1"/>
      <c r="SBV4" s="1"/>
      <c r="SBW4" s="1"/>
      <c r="SBX4" s="1"/>
      <c r="SBY4" s="1"/>
      <c r="SBZ4" s="1"/>
      <c r="SCA4" s="1"/>
      <c r="SCB4" s="1"/>
      <c r="SCC4" s="1"/>
      <c r="SCD4" s="1"/>
      <c r="SCE4" s="1"/>
      <c r="SCF4" s="1"/>
      <c r="SCG4" s="1"/>
      <c r="SCH4" s="1"/>
      <c r="SCI4" s="1"/>
      <c r="SCJ4" s="1"/>
      <c r="SCK4" s="1"/>
      <c r="SCL4" s="1"/>
      <c r="SCM4" s="1"/>
      <c r="SCN4" s="1"/>
      <c r="SCO4" s="1"/>
      <c r="SCP4" s="1"/>
      <c r="SCQ4" s="1"/>
      <c r="SCR4" s="1"/>
      <c r="SCS4" s="1"/>
      <c r="SCT4" s="1"/>
      <c r="SCU4" s="1"/>
      <c r="SCV4" s="1"/>
      <c r="SCW4" s="1"/>
      <c r="SCX4" s="1"/>
      <c r="SCY4" s="1"/>
      <c r="SCZ4" s="1"/>
      <c r="SDA4" s="1"/>
      <c r="SDB4" s="1"/>
      <c r="SDC4" s="1"/>
      <c r="SDD4" s="1"/>
      <c r="SDE4" s="1"/>
      <c r="SDF4" s="1"/>
      <c r="SDG4" s="1"/>
      <c r="SDH4" s="1"/>
      <c r="SDI4" s="1"/>
      <c r="SDJ4" s="1"/>
      <c r="SDK4" s="1"/>
      <c r="SDL4" s="1"/>
      <c r="SDM4" s="1"/>
      <c r="SDN4" s="1"/>
      <c r="SDO4" s="1"/>
      <c r="SDP4" s="1"/>
      <c r="SDQ4" s="1"/>
      <c r="SDR4" s="1"/>
      <c r="SDS4" s="1"/>
      <c r="SDT4" s="1"/>
      <c r="SDU4" s="1"/>
      <c r="SDV4" s="1"/>
      <c r="SDW4" s="1"/>
      <c r="SDX4" s="1"/>
      <c r="SDY4" s="1"/>
      <c r="SDZ4" s="1"/>
      <c r="SEA4" s="1"/>
      <c r="SEB4" s="1"/>
      <c r="SEC4" s="1"/>
      <c r="SED4" s="1"/>
      <c r="SEE4" s="1"/>
      <c r="SEF4" s="1"/>
      <c r="SEG4" s="1"/>
      <c r="SEH4" s="1"/>
      <c r="SEI4" s="1"/>
      <c r="SEJ4" s="1"/>
      <c r="SEK4" s="1"/>
      <c r="SEL4" s="1"/>
      <c r="SEM4" s="1"/>
      <c r="SEN4" s="1"/>
      <c r="SEO4" s="1"/>
      <c r="SEP4" s="1"/>
      <c r="SEQ4" s="1"/>
      <c r="SER4" s="1"/>
      <c r="SES4" s="1"/>
      <c r="SET4" s="1"/>
      <c r="SEU4" s="1"/>
      <c r="SEV4" s="1"/>
      <c r="SEW4" s="1"/>
      <c r="SEX4" s="1"/>
      <c r="SEY4" s="1"/>
      <c r="SEZ4" s="1"/>
      <c r="SFA4" s="1"/>
      <c r="SFB4" s="1"/>
      <c r="SFC4" s="1"/>
      <c r="SFD4" s="1"/>
      <c r="SFE4" s="1"/>
      <c r="SFF4" s="1"/>
      <c r="SFG4" s="1"/>
      <c r="SFH4" s="1"/>
      <c r="SFI4" s="1"/>
      <c r="SFJ4" s="1"/>
      <c r="SFK4" s="1"/>
      <c r="SFL4" s="1"/>
      <c r="SFM4" s="1"/>
      <c r="SFN4" s="1"/>
      <c r="SFO4" s="1"/>
      <c r="SFP4" s="1"/>
      <c r="SFQ4" s="1"/>
      <c r="SFR4" s="1"/>
      <c r="SFS4" s="1"/>
      <c r="SFT4" s="1"/>
      <c r="SFU4" s="1"/>
      <c r="SFV4" s="1"/>
      <c r="SFW4" s="1"/>
      <c r="SFX4" s="1"/>
      <c r="SFY4" s="1"/>
      <c r="SFZ4" s="1"/>
      <c r="SGA4" s="1"/>
      <c r="SGB4" s="1"/>
      <c r="SGC4" s="1"/>
      <c r="SGD4" s="1"/>
      <c r="SGE4" s="1"/>
      <c r="SGF4" s="1"/>
      <c r="SGG4" s="1"/>
      <c r="SGH4" s="1"/>
      <c r="SGI4" s="1"/>
      <c r="SGJ4" s="1"/>
      <c r="SGK4" s="1"/>
      <c r="SGL4" s="1"/>
      <c r="SGM4" s="1"/>
      <c r="SGN4" s="1"/>
      <c r="SGO4" s="1"/>
      <c r="SGP4" s="1"/>
      <c r="SGQ4" s="1"/>
      <c r="SGR4" s="1"/>
      <c r="SGS4" s="1"/>
      <c r="SGT4" s="1"/>
      <c r="SGU4" s="1"/>
      <c r="SGV4" s="1"/>
      <c r="SGW4" s="1"/>
      <c r="SGX4" s="1"/>
      <c r="SGY4" s="1"/>
      <c r="SGZ4" s="1"/>
      <c r="SHA4" s="1"/>
      <c r="SHB4" s="1"/>
      <c r="SHC4" s="1"/>
      <c r="SHD4" s="1"/>
      <c r="SHE4" s="1"/>
      <c r="SHF4" s="1"/>
      <c r="SHG4" s="1"/>
      <c r="SHH4" s="1"/>
      <c r="SHI4" s="1"/>
      <c r="SHJ4" s="1"/>
      <c r="SHK4" s="1"/>
      <c r="SHL4" s="1"/>
      <c r="SHM4" s="1"/>
      <c r="SHN4" s="1"/>
      <c r="SHO4" s="1"/>
      <c r="SHP4" s="1"/>
      <c r="SHQ4" s="1"/>
      <c r="SHR4" s="1"/>
      <c r="SHS4" s="1"/>
      <c r="SHT4" s="1"/>
      <c r="SHU4" s="1"/>
      <c r="SHV4" s="1"/>
      <c r="SHW4" s="1"/>
      <c r="SHX4" s="1"/>
      <c r="SHY4" s="1"/>
      <c r="SHZ4" s="1"/>
      <c r="SIA4" s="1"/>
      <c r="SIB4" s="1"/>
      <c r="SIC4" s="1"/>
      <c r="SID4" s="1"/>
      <c r="SIE4" s="1"/>
      <c r="SIF4" s="1"/>
      <c r="SIG4" s="1"/>
      <c r="SIH4" s="1"/>
      <c r="SII4" s="1"/>
      <c r="SIJ4" s="1"/>
      <c r="SIK4" s="1"/>
      <c r="SIL4" s="1"/>
      <c r="SIM4" s="1"/>
      <c r="SIN4" s="1"/>
      <c r="SIO4" s="1"/>
      <c r="SIP4" s="1"/>
      <c r="SIQ4" s="1"/>
      <c r="SIR4" s="1"/>
      <c r="SIS4" s="1"/>
      <c r="SIT4" s="1"/>
      <c r="SIU4" s="1"/>
      <c r="SIV4" s="1"/>
      <c r="SIW4" s="1"/>
      <c r="SIX4" s="1"/>
      <c r="SIY4" s="1"/>
      <c r="SIZ4" s="1"/>
      <c r="SJA4" s="1"/>
      <c r="SJB4" s="1"/>
      <c r="SJC4" s="1"/>
      <c r="SJD4" s="1"/>
      <c r="SJE4" s="1"/>
      <c r="SJF4" s="1"/>
      <c r="SJG4" s="1"/>
      <c r="SJH4" s="1"/>
      <c r="SJI4" s="1"/>
      <c r="SJJ4" s="1"/>
      <c r="SJK4" s="1"/>
      <c r="SJL4" s="1"/>
      <c r="SJM4" s="1"/>
      <c r="SJN4" s="1"/>
      <c r="SJO4" s="1"/>
      <c r="SJP4" s="1"/>
      <c r="SJQ4" s="1"/>
      <c r="SJR4" s="1"/>
      <c r="SJS4" s="1"/>
      <c r="SJT4" s="1"/>
      <c r="SJU4" s="1"/>
      <c r="SJV4" s="1"/>
      <c r="SJW4" s="1"/>
      <c r="SJX4" s="1"/>
      <c r="SJY4" s="1"/>
      <c r="SJZ4" s="1"/>
      <c r="SKA4" s="1"/>
      <c r="SKB4" s="1"/>
      <c r="SKC4" s="1"/>
      <c r="SKD4" s="1"/>
      <c r="SKE4" s="1"/>
      <c r="SKF4" s="1"/>
      <c r="SKG4" s="1"/>
      <c r="SKH4" s="1"/>
      <c r="SKI4" s="1"/>
      <c r="SKJ4" s="1"/>
      <c r="SKK4" s="1"/>
      <c r="SKL4" s="1"/>
      <c r="SKM4" s="1"/>
      <c r="SKN4" s="1"/>
      <c r="SKO4" s="1"/>
      <c r="SKP4" s="1"/>
      <c r="SKQ4" s="1"/>
      <c r="SKR4" s="1"/>
      <c r="SKS4" s="1"/>
      <c r="SKT4" s="1"/>
      <c r="SKU4" s="1"/>
      <c r="SKV4" s="1"/>
      <c r="SKW4" s="1"/>
      <c r="SKX4" s="1"/>
      <c r="SKY4" s="1"/>
      <c r="SKZ4" s="1"/>
      <c r="SLA4" s="1"/>
      <c r="SLB4" s="1"/>
      <c r="SLC4" s="1"/>
      <c r="SLD4" s="1"/>
      <c r="SLE4" s="1"/>
      <c r="SLF4" s="1"/>
      <c r="SLG4" s="1"/>
      <c r="SLH4" s="1"/>
      <c r="SLI4" s="1"/>
      <c r="SLJ4" s="1"/>
      <c r="SLK4" s="1"/>
      <c r="SLL4" s="1"/>
      <c r="SLM4" s="1"/>
      <c r="SLN4" s="1"/>
      <c r="SLO4" s="1"/>
      <c r="SLP4" s="1"/>
      <c r="SLQ4" s="1"/>
      <c r="SLR4" s="1"/>
      <c r="SLS4" s="1"/>
      <c r="SLT4" s="1"/>
      <c r="SLU4" s="1"/>
      <c r="SLV4" s="1"/>
      <c r="SLW4" s="1"/>
      <c r="SLX4" s="1"/>
      <c r="SLY4" s="1"/>
      <c r="SLZ4" s="1"/>
      <c r="SMA4" s="1"/>
      <c r="SMB4" s="1"/>
      <c r="SMC4" s="1"/>
      <c r="SMD4" s="1"/>
      <c r="SME4" s="1"/>
      <c r="SMF4" s="1"/>
      <c r="SMG4" s="1"/>
      <c r="SMH4" s="1"/>
      <c r="SMI4" s="1"/>
      <c r="SMJ4" s="1"/>
      <c r="SMK4" s="1"/>
      <c r="SML4" s="1"/>
      <c r="SMM4" s="1"/>
      <c r="SMN4" s="1"/>
      <c r="SMO4" s="1"/>
      <c r="SMP4" s="1"/>
      <c r="SMQ4" s="1"/>
      <c r="SMR4" s="1"/>
      <c r="SMS4" s="1"/>
      <c r="SMT4" s="1"/>
      <c r="SMU4" s="1"/>
      <c r="SMV4" s="1"/>
      <c r="SMW4" s="1"/>
      <c r="SMX4" s="1"/>
      <c r="SMY4" s="1"/>
      <c r="SMZ4" s="1"/>
      <c r="SNA4" s="1"/>
      <c r="SNB4" s="1"/>
      <c r="SNC4" s="1"/>
      <c r="SND4" s="1"/>
      <c r="SNE4" s="1"/>
      <c r="SNF4" s="1"/>
      <c r="SNG4" s="1"/>
      <c r="SNH4" s="1"/>
      <c r="SNI4" s="1"/>
      <c r="SNJ4" s="1"/>
      <c r="SNK4" s="1"/>
      <c r="SNL4" s="1"/>
      <c r="SNM4" s="1"/>
      <c r="SNN4" s="1"/>
      <c r="SNO4" s="1"/>
      <c r="SNP4" s="1"/>
      <c r="SNQ4" s="1"/>
      <c r="SNR4" s="1"/>
      <c r="SNS4" s="1"/>
      <c r="SNT4" s="1"/>
      <c r="SNU4" s="1"/>
      <c r="SNV4" s="1"/>
      <c r="SNW4" s="1"/>
      <c r="SNX4" s="1"/>
      <c r="SNY4" s="1"/>
      <c r="SNZ4" s="1"/>
      <c r="SOA4" s="1"/>
      <c r="SOB4" s="1"/>
      <c r="SOC4" s="1"/>
      <c r="SOD4" s="1"/>
      <c r="SOE4" s="1"/>
      <c r="SOF4" s="1"/>
      <c r="SOG4" s="1"/>
      <c r="SOH4" s="1"/>
      <c r="SOI4" s="1"/>
      <c r="SOJ4" s="1"/>
      <c r="SOK4" s="1"/>
      <c r="SOL4" s="1"/>
      <c r="SOM4" s="1"/>
      <c r="SON4" s="1"/>
      <c r="SOO4" s="1"/>
      <c r="SOP4" s="1"/>
      <c r="SOQ4" s="1"/>
      <c r="SOR4" s="1"/>
      <c r="SOS4" s="1"/>
      <c r="SOT4" s="1"/>
      <c r="SOU4" s="1"/>
      <c r="SOV4" s="1"/>
      <c r="SOW4" s="1"/>
      <c r="SOX4" s="1"/>
      <c r="SOY4" s="1"/>
      <c r="SOZ4" s="1"/>
      <c r="SPA4" s="1"/>
      <c r="SPB4" s="1"/>
      <c r="SPC4" s="1"/>
      <c r="SPD4" s="1"/>
      <c r="SPE4" s="1"/>
      <c r="SPF4" s="1"/>
      <c r="SPG4" s="1"/>
      <c r="SPH4" s="1"/>
      <c r="SPI4" s="1"/>
      <c r="SPJ4" s="1"/>
      <c r="SPK4" s="1"/>
      <c r="SPL4" s="1"/>
      <c r="SPM4" s="1"/>
      <c r="SPN4" s="1"/>
      <c r="SPO4" s="1"/>
      <c r="SPP4" s="1"/>
      <c r="SPQ4" s="1"/>
      <c r="SPR4" s="1"/>
      <c r="SPS4" s="1"/>
      <c r="SPT4" s="1"/>
      <c r="SPU4" s="1"/>
      <c r="SPV4" s="1"/>
      <c r="SPW4" s="1"/>
      <c r="SPX4" s="1"/>
      <c r="SPY4" s="1"/>
      <c r="SPZ4" s="1"/>
      <c r="SQA4" s="1"/>
      <c r="SQB4" s="1"/>
      <c r="SQC4" s="1"/>
      <c r="SQD4" s="1"/>
      <c r="SQE4" s="1"/>
      <c r="SQF4" s="1"/>
      <c r="SQG4" s="1"/>
      <c r="SQH4" s="1"/>
      <c r="SQI4" s="1"/>
      <c r="SQJ4" s="1"/>
      <c r="SQK4" s="1"/>
      <c r="SQL4" s="1"/>
      <c r="SQM4" s="1"/>
      <c r="SQN4" s="1"/>
      <c r="SQO4" s="1"/>
      <c r="SQP4" s="1"/>
      <c r="SQQ4" s="1"/>
      <c r="SQR4" s="1"/>
      <c r="SQS4" s="1"/>
      <c r="SQT4" s="1"/>
      <c r="SQU4" s="1"/>
      <c r="SQV4" s="1"/>
      <c r="SQW4" s="1"/>
      <c r="SQX4" s="1"/>
      <c r="SQY4" s="1"/>
      <c r="SQZ4" s="1"/>
      <c r="SRA4" s="1"/>
      <c r="SRB4" s="1"/>
      <c r="SRC4" s="1"/>
      <c r="SRD4" s="1"/>
      <c r="SRE4" s="1"/>
      <c r="SRF4" s="1"/>
      <c r="SRG4" s="1"/>
      <c r="SRH4" s="1"/>
      <c r="SRI4" s="1"/>
      <c r="SRJ4" s="1"/>
      <c r="SRK4" s="1"/>
      <c r="SRL4" s="1"/>
      <c r="SRM4" s="1"/>
      <c r="SRN4" s="1"/>
      <c r="SRO4" s="1"/>
      <c r="SRP4" s="1"/>
      <c r="SRQ4" s="1"/>
      <c r="SRR4" s="1"/>
      <c r="SRS4" s="1"/>
      <c r="SRT4" s="1"/>
      <c r="SRU4" s="1"/>
      <c r="SRV4" s="1"/>
      <c r="SRW4" s="1"/>
      <c r="SRX4" s="1"/>
      <c r="SRY4" s="1"/>
      <c r="SRZ4" s="1"/>
      <c r="SSA4" s="1"/>
      <c r="SSB4" s="1"/>
      <c r="SSC4" s="1"/>
      <c r="SSD4" s="1"/>
      <c r="SSE4" s="1"/>
      <c r="SSF4" s="1"/>
      <c r="SSG4" s="1"/>
      <c r="SSH4" s="1"/>
      <c r="SSI4" s="1"/>
      <c r="SSJ4" s="1"/>
      <c r="SSK4" s="1"/>
      <c r="SSL4" s="1"/>
      <c r="SSM4" s="1"/>
      <c r="SSN4" s="1"/>
      <c r="SSO4" s="1"/>
      <c r="SSP4" s="1"/>
      <c r="SSQ4" s="1"/>
      <c r="SSR4" s="1"/>
      <c r="SSS4" s="1"/>
      <c r="SST4" s="1"/>
      <c r="SSU4" s="1"/>
      <c r="SSV4" s="1"/>
      <c r="SSW4" s="1"/>
      <c r="SSX4" s="1"/>
      <c r="SSY4" s="1"/>
      <c r="SSZ4" s="1"/>
      <c r="STA4" s="1"/>
      <c r="STB4" s="1"/>
      <c r="STC4" s="1"/>
      <c r="STD4" s="1"/>
      <c r="STE4" s="1"/>
      <c r="STF4" s="1"/>
      <c r="STG4" s="1"/>
      <c r="STH4" s="1"/>
      <c r="STI4" s="1"/>
      <c r="STJ4" s="1"/>
      <c r="STK4" s="1"/>
      <c r="STL4" s="1"/>
      <c r="STM4" s="1"/>
      <c r="STN4" s="1"/>
      <c r="STO4" s="1"/>
      <c r="STP4" s="1"/>
      <c r="STQ4" s="1"/>
      <c r="STR4" s="1"/>
      <c r="STS4" s="1"/>
      <c r="STT4" s="1"/>
      <c r="STU4" s="1"/>
      <c r="STV4" s="1"/>
      <c r="STW4" s="1"/>
      <c r="STX4" s="1"/>
      <c r="STY4" s="1"/>
      <c r="STZ4" s="1"/>
      <c r="SUA4" s="1"/>
      <c r="SUB4" s="1"/>
      <c r="SUC4" s="1"/>
      <c r="SUD4" s="1"/>
      <c r="SUE4" s="1"/>
      <c r="SUF4" s="1"/>
      <c r="SUG4" s="1"/>
      <c r="SUH4" s="1"/>
      <c r="SUI4" s="1"/>
      <c r="SUJ4" s="1"/>
      <c r="SUK4" s="1"/>
      <c r="SUL4" s="1"/>
      <c r="SUM4" s="1"/>
      <c r="SUN4" s="1"/>
      <c r="SUO4" s="1"/>
      <c r="SUP4" s="1"/>
      <c r="SUQ4" s="1"/>
      <c r="SUR4" s="1"/>
      <c r="SUS4" s="1"/>
      <c r="SUT4" s="1"/>
      <c r="SUU4" s="1"/>
      <c r="SUV4" s="1"/>
      <c r="SUW4" s="1"/>
      <c r="SUX4" s="1"/>
      <c r="SUY4" s="1"/>
      <c r="SUZ4" s="1"/>
      <c r="SVA4" s="1"/>
      <c r="SVB4" s="1"/>
      <c r="SVC4" s="1"/>
      <c r="SVD4" s="1"/>
      <c r="SVE4" s="1"/>
      <c r="SVF4" s="1"/>
      <c r="SVG4" s="1"/>
      <c r="SVH4" s="1"/>
      <c r="SVI4" s="1"/>
      <c r="SVJ4" s="1"/>
      <c r="SVK4" s="1"/>
      <c r="SVL4" s="1"/>
      <c r="SVM4" s="1"/>
      <c r="SVN4" s="1"/>
      <c r="SVO4" s="1"/>
      <c r="SVP4" s="1"/>
      <c r="SVQ4" s="1"/>
      <c r="SVR4" s="1"/>
      <c r="SVS4" s="1"/>
      <c r="SVT4" s="1"/>
      <c r="SVU4" s="1"/>
      <c r="SVV4" s="1"/>
      <c r="SVW4" s="1"/>
      <c r="SVX4" s="1"/>
      <c r="SVY4" s="1"/>
      <c r="SVZ4" s="1"/>
      <c r="SWA4" s="1"/>
      <c r="SWB4" s="1"/>
      <c r="SWC4" s="1"/>
      <c r="SWD4" s="1"/>
      <c r="SWE4" s="1"/>
      <c r="SWF4" s="1"/>
      <c r="SWG4" s="1"/>
      <c r="SWH4" s="1"/>
      <c r="SWI4" s="1"/>
      <c r="SWJ4" s="1"/>
      <c r="SWK4" s="1"/>
      <c r="SWL4" s="1"/>
      <c r="SWM4" s="1"/>
      <c r="SWN4" s="1"/>
      <c r="SWO4" s="1"/>
      <c r="SWP4" s="1"/>
      <c r="SWQ4" s="1"/>
      <c r="SWR4" s="1"/>
      <c r="SWS4" s="1"/>
      <c r="SWT4" s="1"/>
      <c r="SWU4" s="1"/>
      <c r="SWV4" s="1"/>
      <c r="SWW4" s="1"/>
      <c r="SWX4" s="1"/>
      <c r="SWY4" s="1"/>
      <c r="SWZ4" s="1"/>
      <c r="SXA4" s="1"/>
      <c r="SXB4" s="1"/>
      <c r="SXC4" s="1"/>
      <c r="SXD4" s="1"/>
      <c r="SXE4" s="1"/>
      <c r="SXF4" s="1"/>
      <c r="SXG4" s="1"/>
      <c r="SXH4" s="1"/>
      <c r="SXI4" s="1"/>
      <c r="SXJ4" s="1"/>
      <c r="SXK4" s="1"/>
      <c r="SXL4" s="1"/>
      <c r="SXM4" s="1"/>
      <c r="SXN4" s="1"/>
      <c r="SXO4" s="1"/>
      <c r="SXP4" s="1"/>
      <c r="SXQ4" s="1"/>
      <c r="SXR4" s="1"/>
      <c r="SXS4" s="1"/>
      <c r="SXT4" s="1"/>
      <c r="SXU4" s="1"/>
      <c r="SXV4" s="1"/>
      <c r="SXW4" s="1"/>
      <c r="SXX4" s="1"/>
      <c r="SXY4" s="1"/>
      <c r="SXZ4" s="1"/>
      <c r="SYA4" s="1"/>
      <c r="SYB4" s="1"/>
      <c r="SYC4" s="1"/>
      <c r="SYD4" s="1"/>
      <c r="SYE4" s="1"/>
      <c r="SYF4" s="1"/>
      <c r="SYG4" s="1"/>
      <c r="SYH4" s="1"/>
      <c r="SYI4" s="1"/>
      <c r="SYJ4" s="1"/>
      <c r="SYK4" s="1"/>
      <c r="SYL4" s="1"/>
      <c r="SYM4" s="1"/>
      <c r="SYN4" s="1"/>
      <c r="SYO4" s="1"/>
      <c r="SYP4" s="1"/>
      <c r="SYQ4" s="1"/>
      <c r="SYR4" s="1"/>
      <c r="SYS4" s="1"/>
      <c r="SYT4" s="1"/>
      <c r="SYU4" s="1"/>
      <c r="SYV4" s="1"/>
      <c r="SYW4" s="1"/>
      <c r="SYX4" s="1"/>
      <c r="SYY4" s="1"/>
      <c r="SYZ4" s="1"/>
      <c r="SZA4" s="1"/>
      <c r="SZB4" s="1"/>
      <c r="SZC4" s="1"/>
      <c r="SZD4" s="1"/>
      <c r="SZE4" s="1"/>
      <c r="SZF4" s="1"/>
      <c r="SZG4" s="1"/>
      <c r="SZH4" s="1"/>
      <c r="SZI4" s="1"/>
      <c r="SZJ4" s="1"/>
      <c r="SZK4" s="1"/>
      <c r="SZL4" s="1"/>
      <c r="SZM4" s="1"/>
      <c r="SZN4" s="1"/>
      <c r="SZO4" s="1"/>
      <c r="SZP4" s="1"/>
      <c r="SZQ4" s="1"/>
      <c r="SZR4" s="1"/>
      <c r="SZS4" s="1"/>
      <c r="SZT4" s="1"/>
      <c r="SZU4" s="1"/>
      <c r="SZV4" s="1"/>
      <c r="SZW4" s="1"/>
      <c r="SZX4" s="1"/>
      <c r="SZY4" s="1"/>
      <c r="SZZ4" s="1"/>
      <c r="TAA4" s="1"/>
      <c r="TAB4" s="1"/>
      <c r="TAC4" s="1"/>
      <c r="TAD4" s="1"/>
      <c r="TAE4" s="1"/>
      <c r="TAF4" s="1"/>
      <c r="TAG4" s="1"/>
      <c r="TAH4" s="1"/>
      <c r="TAI4" s="1"/>
      <c r="TAJ4" s="1"/>
      <c r="TAK4" s="1"/>
      <c r="TAL4" s="1"/>
      <c r="TAM4" s="1"/>
      <c r="TAN4" s="1"/>
      <c r="TAO4" s="1"/>
      <c r="TAP4" s="1"/>
      <c r="TAQ4" s="1"/>
      <c r="TAR4" s="1"/>
      <c r="TAS4" s="1"/>
      <c r="TAT4" s="1"/>
      <c r="TAU4" s="1"/>
      <c r="TAV4" s="1"/>
      <c r="TAW4" s="1"/>
      <c r="TAX4" s="1"/>
      <c r="TAY4" s="1"/>
      <c r="TAZ4" s="1"/>
      <c r="TBA4" s="1"/>
      <c r="TBB4" s="1"/>
      <c r="TBC4" s="1"/>
      <c r="TBD4" s="1"/>
      <c r="TBE4" s="1"/>
      <c r="TBF4" s="1"/>
      <c r="TBG4" s="1"/>
      <c r="TBH4" s="1"/>
      <c r="TBI4" s="1"/>
      <c r="TBJ4" s="1"/>
      <c r="TBK4" s="1"/>
      <c r="TBL4" s="1"/>
      <c r="TBM4" s="1"/>
      <c r="TBN4" s="1"/>
      <c r="TBO4" s="1"/>
      <c r="TBP4" s="1"/>
      <c r="TBQ4" s="1"/>
      <c r="TBR4" s="1"/>
      <c r="TBS4" s="1"/>
      <c r="TBT4" s="1"/>
      <c r="TBU4" s="1"/>
      <c r="TBV4" s="1"/>
      <c r="TBW4" s="1"/>
      <c r="TBX4" s="1"/>
      <c r="TBY4" s="1"/>
      <c r="TBZ4" s="1"/>
      <c r="TCA4" s="1"/>
      <c r="TCB4" s="1"/>
      <c r="TCC4" s="1"/>
      <c r="TCD4" s="1"/>
      <c r="TCE4" s="1"/>
      <c r="TCF4" s="1"/>
      <c r="TCG4" s="1"/>
      <c r="TCH4" s="1"/>
      <c r="TCI4" s="1"/>
      <c r="TCJ4" s="1"/>
      <c r="TCK4" s="1"/>
      <c r="TCL4" s="1"/>
      <c r="TCM4" s="1"/>
      <c r="TCN4" s="1"/>
      <c r="TCO4" s="1"/>
      <c r="TCP4" s="1"/>
      <c r="TCQ4" s="1"/>
      <c r="TCR4" s="1"/>
      <c r="TCS4" s="1"/>
      <c r="TCT4" s="1"/>
      <c r="TCU4" s="1"/>
      <c r="TCV4" s="1"/>
      <c r="TCW4" s="1"/>
      <c r="TCX4" s="1"/>
      <c r="TCY4" s="1"/>
      <c r="TCZ4" s="1"/>
      <c r="TDA4" s="1"/>
      <c r="TDB4" s="1"/>
      <c r="TDC4" s="1"/>
      <c r="TDD4" s="1"/>
      <c r="TDE4" s="1"/>
      <c r="TDF4" s="1"/>
      <c r="TDG4" s="1"/>
      <c r="TDH4" s="1"/>
      <c r="TDI4" s="1"/>
      <c r="TDJ4" s="1"/>
      <c r="TDK4" s="1"/>
      <c r="TDL4" s="1"/>
      <c r="TDM4" s="1"/>
      <c r="TDN4" s="1"/>
      <c r="TDO4" s="1"/>
      <c r="TDP4" s="1"/>
      <c r="TDQ4" s="1"/>
      <c r="TDR4" s="1"/>
      <c r="TDS4" s="1"/>
      <c r="TDT4" s="1"/>
      <c r="TDU4" s="1"/>
      <c r="TDV4" s="1"/>
      <c r="TDW4" s="1"/>
      <c r="TDX4" s="1"/>
      <c r="TDY4" s="1"/>
      <c r="TDZ4" s="1"/>
      <c r="TEA4" s="1"/>
      <c r="TEB4" s="1"/>
      <c r="TEC4" s="1"/>
      <c r="TED4" s="1"/>
      <c r="TEE4" s="1"/>
      <c r="TEF4" s="1"/>
      <c r="TEG4" s="1"/>
      <c r="TEH4" s="1"/>
      <c r="TEI4" s="1"/>
      <c r="TEJ4" s="1"/>
      <c r="TEK4" s="1"/>
      <c r="TEL4" s="1"/>
      <c r="TEM4" s="1"/>
      <c r="TEN4" s="1"/>
      <c r="TEO4" s="1"/>
      <c r="TEP4" s="1"/>
      <c r="TEQ4" s="1"/>
      <c r="TER4" s="1"/>
      <c r="TES4" s="1"/>
      <c r="TET4" s="1"/>
      <c r="TEU4" s="1"/>
      <c r="TEV4" s="1"/>
      <c r="TEW4" s="1"/>
      <c r="TEX4" s="1"/>
      <c r="TEY4" s="1"/>
      <c r="TEZ4" s="1"/>
      <c r="TFA4" s="1"/>
      <c r="TFB4" s="1"/>
      <c r="TFC4" s="1"/>
      <c r="TFD4" s="1"/>
      <c r="TFE4" s="1"/>
      <c r="TFF4" s="1"/>
      <c r="TFG4" s="1"/>
      <c r="TFH4" s="1"/>
      <c r="TFI4" s="1"/>
      <c r="TFJ4" s="1"/>
      <c r="TFK4" s="1"/>
      <c r="TFL4" s="1"/>
      <c r="TFM4" s="1"/>
      <c r="TFN4" s="1"/>
      <c r="TFO4" s="1"/>
      <c r="TFP4" s="1"/>
      <c r="TFQ4" s="1"/>
      <c r="TFR4" s="1"/>
      <c r="TFS4" s="1"/>
      <c r="TFT4" s="1"/>
      <c r="TFU4" s="1"/>
      <c r="TFV4" s="1"/>
      <c r="TFW4" s="1"/>
      <c r="TFX4" s="1"/>
      <c r="TFY4" s="1"/>
      <c r="TFZ4" s="1"/>
      <c r="TGA4" s="1"/>
      <c r="TGB4" s="1"/>
      <c r="TGC4" s="1"/>
      <c r="TGD4" s="1"/>
      <c r="TGE4" s="1"/>
      <c r="TGF4" s="1"/>
      <c r="TGG4" s="1"/>
      <c r="TGH4" s="1"/>
      <c r="TGI4" s="1"/>
      <c r="TGJ4" s="1"/>
      <c r="TGK4" s="1"/>
      <c r="TGL4" s="1"/>
      <c r="TGM4" s="1"/>
      <c r="TGN4" s="1"/>
      <c r="TGO4" s="1"/>
      <c r="TGP4" s="1"/>
      <c r="TGQ4" s="1"/>
      <c r="TGR4" s="1"/>
      <c r="TGS4" s="1"/>
      <c r="TGT4" s="1"/>
      <c r="TGU4" s="1"/>
      <c r="TGV4" s="1"/>
      <c r="TGW4" s="1"/>
      <c r="TGX4" s="1"/>
      <c r="TGY4" s="1"/>
      <c r="TGZ4" s="1"/>
      <c r="THA4" s="1"/>
      <c r="THB4" s="1"/>
      <c r="THC4" s="1"/>
      <c r="THD4" s="1"/>
      <c r="THE4" s="1"/>
      <c r="THF4" s="1"/>
      <c r="THG4" s="1"/>
      <c r="THH4" s="1"/>
      <c r="THI4" s="1"/>
      <c r="THJ4" s="1"/>
      <c r="THK4" s="1"/>
      <c r="THL4" s="1"/>
      <c r="THM4" s="1"/>
      <c r="THN4" s="1"/>
      <c r="THO4" s="1"/>
      <c r="THP4" s="1"/>
      <c r="THQ4" s="1"/>
      <c r="THR4" s="1"/>
      <c r="THS4" s="1"/>
      <c r="THT4" s="1"/>
      <c r="THU4" s="1"/>
      <c r="THV4" s="1"/>
      <c r="THW4" s="1"/>
      <c r="THX4" s="1"/>
      <c r="THY4" s="1"/>
      <c r="THZ4" s="1"/>
      <c r="TIA4" s="1"/>
      <c r="TIB4" s="1"/>
      <c r="TIC4" s="1"/>
      <c r="TID4" s="1"/>
      <c r="TIE4" s="1"/>
      <c r="TIF4" s="1"/>
      <c r="TIG4" s="1"/>
      <c r="TIH4" s="1"/>
      <c r="TII4" s="1"/>
      <c r="TIJ4" s="1"/>
      <c r="TIK4" s="1"/>
      <c r="TIL4" s="1"/>
      <c r="TIM4" s="1"/>
      <c r="TIN4" s="1"/>
      <c r="TIO4" s="1"/>
      <c r="TIP4" s="1"/>
      <c r="TIQ4" s="1"/>
      <c r="TIR4" s="1"/>
      <c r="TIS4" s="1"/>
      <c r="TIT4" s="1"/>
      <c r="TIU4" s="1"/>
      <c r="TIV4" s="1"/>
      <c r="TIW4" s="1"/>
      <c r="TIX4" s="1"/>
      <c r="TIY4" s="1"/>
      <c r="TIZ4" s="1"/>
      <c r="TJA4" s="1"/>
      <c r="TJB4" s="1"/>
      <c r="TJC4" s="1"/>
      <c r="TJD4" s="1"/>
      <c r="TJE4" s="1"/>
      <c r="TJF4" s="1"/>
      <c r="TJG4" s="1"/>
      <c r="TJH4" s="1"/>
      <c r="TJI4" s="1"/>
      <c r="TJJ4" s="1"/>
      <c r="TJK4" s="1"/>
      <c r="TJL4" s="1"/>
      <c r="TJM4" s="1"/>
      <c r="TJN4" s="1"/>
      <c r="TJO4" s="1"/>
      <c r="TJP4" s="1"/>
      <c r="TJQ4" s="1"/>
      <c r="TJR4" s="1"/>
      <c r="TJS4" s="1"/>
      <c r="TJT4" s="1"/>
      <c r="TJU4" s="1"/>
      <c r="TJV4" s="1"/>
      <c r="TJW4" s="1"/>
      <c r="TJX4" s="1"/>
      <c r="TJY4" s="1"/>
      <c r="TJZ4" s="1"/>
      <c r="TKA4" s="1"/>
      <c r="TKB4" s="1"/>
      <c r="TKC4" s="1"/>
      <c r="TKD4" s="1"/>
      <c r="TKE4" s="1"/>
      <c r="TKF4" s="1"/>
      <c r="TKG4" s="1"/>
      <c r="TKH4" s="1"/>
      <c r="TKI4" s="1"/>
      <c r="TKJ4" s="1"/>
      <c r="TKK4" s="1"/>
      <c r="TKL4" s="1"/>
      <c r="TKM4" s="1"/>
      <c r="TKN4" s="1"/>
      <c r="TKO4" s="1"/>
      <c r="TKP4" s="1"/>
      <c r="TKQ4" s="1"/>
      <c r="TKR4" s="1"/>
      <c r="TKS4" s="1"/>
      <c r="TKT4" s="1"/>
      <c r="TKU4" s="1"/>
      <c r="TKV4" s="1"/>
      <c r="TKW4" s="1"/>
      <c r="TKX4" s="1"/>
      <c r="TKY4" s="1"/>
      <c r="TKZ4" s="1"/>
      <c r="TLA4" s="1"/>
      <c r="TLB4" s="1"/>
      <c r="TLC4" s="1"/>
      <c r="TLD4" s="1"/>
      <c r="TLE4" s="1"/>
      <c r="TLF4" s="1"/>
      <c r="TLG4" s="1"/>
      <c r="TLH4" s="1"/>
      <c r="TLI4" s="1"/>
      <c r="TLJ4" s="1"/>
      <c r="TLK4" s="1"/>
      <c r="TLL4" s="1"/>
      <c r="TLM4" s="1"/>
      <c r="TLN4" s="1"/>
      <c r="TLO4" s="1"/>
      <c r="TLP4" s="1"/>
      <c r="TLQ4" s="1"/>
      <c r="TLR4" s="1"/>
      <c r="TLS4" s="1"/>
      <c r="TLT4" s="1"/>
      <c r="TLU4" s="1"/>
      <c r="TLV4" s="1"/>
      <c r="TLW4" s="1"/>
      <c r="TLX4" s="1"/>
      <c r="TLY4" s="1"/>
      <c r="TLZ4" s="1"/>
      <c r="TMA4" s="1"/>
      <c r="TMB4" s="1"/>
      <c r="TMC4" s="1"/>
      <c r="TMD4" s="1"/>
      <c r="TME4" s="1"/>
      <c r="TMF4" s="1"/>
      <c r="TMG4" s="1"/>
      <c r="TMH4" s="1"/>
      <c r="TMI4" s="1"/>
      <c r="TMJ4" s="1"/>
      <c r="TMK4" s="1"/>
      <c r="TML4" s="1"/>
      <c r="TMM4" s="1"/>
      <c r="TMN4" s="1"/>
      <c r="TMO4" s="1"/>
      <c r="TMP4" s="1"/>
      <c r="TMQ4" s="1"/>
      <c r="TMR4" s="1"/>
      <c r="TMS4" s="1"/>
      <c r="TMT4" s="1"/>
      <c r="TMU4" s="1"/>
      <c r="TMV4" s="1"/>
      <c r="TMW4" s="1"/>
      <c r="TMX4" s="1"/>
      <c r="TMY4" s="1"/>
      <c r="TMZ4" s="1"/>
      <c r="TNA4" s="1"/>
      <c r="TNB4" s="1"/>
      <c r="TNC4" s="1"/>
      <c r="TND4" s="1"/>
      <c r="TNE4" s="1"/>
      <c r="TNF4" s="1"/>
      <c r="TNG4" s="1"/>
      <c r="TNH4" s="1"/>
      <c r="TNI4" s="1"/>
      <c r="TNJ4" s="1"/>
      <c r="TNK4" s="1"/>
      <c r="TNL4" s="1"/>
      <c r="TNM4" s="1"/>
      <c r="TNN4" s="1"/>
      <c r="TNO4" s="1"/>
      <c r="TNP4" s="1"/>
      <c r="TNQ4" s="1"/>
      <c r="TNR4" s="1"/>
      <c r="TNS4" s="1"/>
      <c r="TNT4" s="1"/>
      <c r="TNU4" s="1"/>
      <c r="TNV4" s="1"/>
      <c r="TNW4" s="1"/>
      <c r="TNX4" s="1"/>
      <c r="TNY4" s="1"/>
      <c r="TNZ4" s="1"/>
      <c r="TOA4" s="1"/>
      <c r="TOB4" s="1"/>
      <c r="TOC4" s="1"/>
      <c r="TOD4" s="1"/>
      <c r="TOE4" s="1"/>
      <c r="TOF4" s="1"/>
      <c r="TOG4" s="1"/>
      <c r="TOH4" s="1"/>
      <c r="TOI4" s="1"/>
      <c r="TOJ4" s="1"/>
      <c r="TOK4" s="1"/>
      <c r="TOL4" s="1"/>
      <c r="TOM4" s="1"/>
      <c r="TON4" s="1"/>
      <c r="TOO4" s="1"/>
      <c r="TOP4" s="1"/>
      <c r="TOQ4" s="1"/>
      <c r="TOR4" s="1"/>
      <c r="TOS4" s="1"/>
      <c r="TOT4" s="1"/>
      <c r="TOU4" s="1"/>
      <c r="TOV4" s="1"/>
      <c r="TOW4" s="1"/>
      <c r="TOX4" s="1"/>
      <c r="TOY4" s="1"/>
      <c r="TOZ4" s="1"/>
      <c r="TPA4" s="1"/>
      <c r="TPB4" s="1"/>
      <c r="TPC4" s="1"/>
      <c r="TPD4" s="1"/>
      <c r="TPE4" s="1"/>
      <c r="TPF4" s="1"/>
      <c r="TPG4" s="1"/>
      <c r="TPH4" s="1"/>
      <c r="TPI4" s="1"/>
      <c r="TPJ4" s="1"/>
      <c r="TPK4" s="1"/>
      <c r="TPL4" s="1"/>
      <c r="TPM4" s="1"/>
      <c r="TPN4" s="1"/>
      <c r="TPO4" s="1"/>
      <c r="TPP4" s="1"/>
      <c r="TPQ4" s="1"/>
      <c r="TPR4" s="1"/>
      <c r="TPS4" s="1"/>
      <c r="TPT4" s="1"/>
      <c r="TPU4" s="1"/>
      <c r="TPV4" s="1"/>
      <c r="TPW4" s="1"/>
      <c r="TPX4" s="1"/>
      <c r="TPY4" s="1"/>
      <c r="TPZ4" s="1"/>
      <c r="TQA4" s="1"/>
      <c r="TQB4" s="1"/>
      <c r="TQC4" s="1"/>
      <c r="TQD4" s="1"/>
      <c r="TQE4" s="1"/>
      <c r="TQF4" s="1"/>
      <c r="TQG4" s="1"/>
      <c r="TQH4" s="1"/>
      <c r="TQI4" s="1"/>
      <c r="TQJ4" s="1"/>
      <c r="TQK4" s="1"/>
      <c r="TQL4" s="1"/>
      <c r="TQM4" s="1"/>
      <c r="TQN4" s="1"/>
      <c r="TQO4" s="1"/>
      <c r="TQP4" s="1"/>
      <c r="TQQ4" s="1"/>
      <c r="TQR4" s="1"/>
      <c r="TQS4" s="1"/>
      <c r="TQT4" s="1"/>
      <c r="TQU4" s="1"/>
      <c r="TQV4" s="1"/>
      <c r="TQW4" s="1"/>
      <c r="TQX4" s="1"/>
      <c r="TQY4" s="1"/>
      <c r="TQZ4" s="1"/>
      <c r="TRA4" s="1"/>
      <c r="TRB4" s="1"/>
      <c r="TRC4" s="1"/>
      <c r="TRD4" s="1"/>
      <c r="TRE4" s="1"/>
      <c r="TRF4" s="1"/>
      <c r="TRG4" s="1"/>
      <c r="TRH4" s="1"/>
      <c r="TRI4" s="1"/>
      <c r="TRJ4" s="1"/>
      <c r="TRK4" s="1"/>
      <c r="TRL4" s="1"/>
      <c r="TRM4" s="1"/>
      <c r="TRN4" s="1"/>
      <c r="TRO4" s="1"/>
      <c r="TRP4" s="1"/>
      <c r="TRQ4" s="1"/>
      <c r="TRR4" s="1"/>
      <c r="TRS4" s="1"/>
      <c r="TRT4" s="1"/>
      <c r="TRU4" s="1"/>
      <c r="TRV4" s="1"/>
      <c r="TRW4" s="1"/>
      <c r="TRX4" s="1"/>
      <c r="TRY4" s="1"/>
      <c r="TRZ4" s="1"/>
      <c r="TSA4" s="1"/>
      <c r="TSB4" s="1"/>
      <c r="TSC4" s="1"/>
      <c r="TSD4" s="1"/>
      <c r="TSE4" s="1"/>
      <c r="TSF4" s="1"/>
      <c r="TSG4" s="1"/>
      <c r="TSH4" s="1"/>
      <c r="TSI4" s="1"/>
      <c r="TSJ4" s="1"/>
      <c r="TSK4" s="1"/>
      <c r="TSL4" s="1"/>
      <c r="TSM4" s="1"/>
      <c r="TSN4" s="1"/>
      <c r="TSO4" s="1"/>
      <c r="TSP4" s="1"/>
      <c r="TSQ4" s="1"/>
      <c r="TSR4" s="1"/>
      <c r="TSS4" s="1"/>
      <c r="TST4" s="1"/>
      <c r="TSU4" s="1"/>
      <c r="TSV4" s="1"/>
      <c r="TSW4" s="1"/>
      <c r="TSX4" s="1"/>
      <c r="TSY4" s="1"/>
      <c r="TSZ4" s="1"/>
      <c r="TTA4" s="1"/>
      <c r="TTB4" s="1"/>
      <c r="TTC4" s="1"/>
      <c r="TTD4" s="1"/>
      <c r="TTE4" s="1"/>
      <c r="TTF4" s="1"/>
      <c r="TTG4" s="1"/>
      <c r="TTH4" s="1"/>
      <c r="TTI4" s="1"/>
      <c r="TTJ4" s="1"/>
      <c r="TTK4" s="1"/>
      <c r="TTL4" s="1"/>
      <c r="TTM4" s="1"/>
      <c r="TTN4" s="1"/>
      <c r="TTO4" s="1"/>
      <c r="TTP4" s="1"/>
      <c r="TTQ4" s="1"/>
      <c r="TTR4" s="1"/>
      <c r="TTS4" s="1"/>
      <c r="TTT4" s="1"/>
      <c r="TTU4" s="1"/>
      <c r="TTV4" s="1"/>
      <c r="TTW4" s="1"/>
      <c r="TTX4" s="1"/>
      <c r="TTY4" s="1"/>
      <c r="TTZ4" s="1"/>
      <c r="TUA4" s="1"/>
      <c r="TUB4" s="1"/>
      <c r="TUC4" s="1"/>
      <c r="TUD4" s="1"/>
      <c r="TUE4" s="1"/>
      <c r="TUF4" s="1"/>
      <c r="TUG4" s="1"/>
      <c r="TUH4" s="1"/>
      <c r="TUI4" s="1"/>
      <c r="TUJ4" s="1"/>
      <c r="TUK4" s="1"/>
      <c r="TUL4" s="1"/>
      <c r="TUM4" s="1"/>
      <c r="TUN4" s="1"/>
      <c r="TUO4" s="1"/>
      <c r="TUP4" s="1"/>
      <c r="TUQ4" s="1"/>
      <c r="TUR4" s="1"/>
      <c r="TUS4" s="1"/>
      <c r="TUT4" s="1"/>
      <c r="TUU4" s="1"/>
      <c r="TUV4" s="1"/>
      <c r="TUW4" s="1"/>
      <c r="TUX4" s="1"/>
      <c r="TUY4" s="1"/>
      <c r="TUZ4" s="1"/>
      <c r="TVA4" s="1"/>
      <c r="TVB4" s="1"/>
      <c r="TVC4" s="1"/>
      <c r="TVD4" s="1"/>
      <c r="TVE4" s="1"/>
      <c r="TVF4" s="1"/>
      <c r="TVG4" s="1"/>
      <c r="TVH4" s="1"/>
      <c r="TVI4" s="1"/>
      <c r="TVJ4" s="1"/>
      <c r="TVK4" s="1"/>
      <c r="TVL4" s="1"/>
      <c r="TVM4" s="1"/>
      <c r="TVN4" s="1"/>
      <c r="TVO4" s="1"/>
      <c r="TVP4" s="1"/>
      <c r="TVQ4" s="1"/>
      <c r="TVR4" s="1"/>
      <c r="TVS4" s="1"/>
      <c r="TVT4" s="1"/>
      <c r="TVU4" s="1"/>
      <c r="TVV4" s="1"/>
      <c r="TVW4" s="1"/>
      <c r="TVX4" s="1"/>
      <c r="TVY4" s="1"/>
      <c r="TVZ4" s="1"/>
      <c r="TWA4" s="1"/>
      <c r="TWB4" s="1"/>
      <c r="TWC4" s="1"/>
      <c r="TWD4" s="1"/>
      <c r="TWE4" s="1"/>
      <c r="TWF4" s="1"/>
      <c r="TWG4" s="1"/>
      <c r="TWH4" s="1"/>
      <c r="TWI4" s="1"/>
      <c r="TWJ4" s="1"/>
      <c r="TWK4" s="1"/>
      <c r="TWL4" s="1"/>
      <c r="TWM4" s="1"/>
      <c r="TWN4" s="1"/>
      <c r="TWO4" s="1"/>
      <c r="TWP4" s="1"/>
      <c r="TWQ4" s="1"/>
      <c r="TWR4" s="1"/>
      <c r="TWS4" s="1"/>
      <c r="TWT4" s="1"/>
      <c r="TWU4" s="1"/>
      <c r="TWV4" s="1"/>
      <c r="TWW4" s="1"/>
      <c r="TWX4" s="1"/>
      <c r="TWY4" s="1"/>
      <c r="TWZ4" s="1"/>
      <c r="TXA4" s="1"/>
      <c r="TXB4" s="1"/>
      <c r="TXC4" s="1"/>
      <c r="TXD4" s="1"/>
      <c r="TXE4" s="1"/>
      <c r="TXF4" s="1"/>
      <c r="TXG4" s="1"/>
      <c r="TXH4" s="1"/>
      <c r="TXI4" s="1"/>
      <c r="TXJ4" s="1"/>
      <c r="TXK4" s="1"/>
      <c r="TXL4" s="1"/>
      <c r="TXM4" s="1"/>
      <c r="TXN4" s="1"/>
      <c r="TXO4" s="1"/>
      <c r="TXP4" s="1"/>
      <c r="TXQ4" s="1"/>
      <c r="TXR4" s="1"/>
      <c r="TXS4" s="1"/>
      <c r="TXT4" s="1"/>
      <c r="TXU4" s="1"/>
      <c r="TXV4" s="1"/>
      <c r="TXW4" s="1"/>
      <c r="TXX4" s="1"/>
      <c r="TXY4" s="1"/>
      <c r="TXZ4" s="1"/>
      <c r="TYA4" s="1"/>
      <c r="TYB4" s="1"/>
      <c r="TYC4" s="1"/>
      <c r="TYD4" s="1"/>
      <c r="TYE4" s="1"/>
      <c r="TYF4" s="1"/>
      <c r="TYG4" s="1"/>
      <c r="TYH4" s="1"/>
      <c r="TYI4" s="1"/>
      <c r="TYJ4" s="1"/>
      <c r="TYK4" s="1"/>
      <c r="TYL4" s="1"/>
      <c r="TYM4" s="1"/>
      <c r="TYN4" s="1"/>
      <c r="TYO4" s="1"/>
      <c r="TYP4" s="1"/>
      <c r="TYQ4" s="1"/>
      <c r="TYR4" s="1"/>
      <c r="TYS4" s="1"/>
      <c r="TYT4" s="1"/>
      <c r="TYU4" s="1"/>
      <c r="TYV4" s="1"/>
      <c r="TYW4" s="1"/>
      <c r="TYX4" s="1"/>
      <c r="TYY4" s="1"/>
      <c r="TYZ4" s="1"/>
      <c r="TZA4" s="1"/>
      <c r="TZB4" s="1"/>
      <c r="TZC4" s="1"/>
      <c r="TZD4" s="1"/>
      <c r="TZE4" s="1"/>
      <c r="TZF4" s="1"/>
      <c r="TZG4" s="1"/>
      <c r="TZH4" s="1"/>
      <c r="TZI4" s="1"/>
      <c r="TZJ4" s="1"/>
      <c r="TZK4" s="1"/>
      <c r="TZL4" s="1"/>
      <c r="TZM4" s="1"/>
      <c r="TZN4" s="1"/>
      <c r="TZO4" s="1"/>
      <c r="TZP4" s="1"/>
      <c r="TZQ4" s="1"/>
      <c r="TZR4" s="1"/>
      <c r="TZS4" s="1"/>
      <c r="TZT4" s="1"/>
      <c r="TZU4" s="1"/>
      <c r="TZV4" s="1"/>
      <c r="TZW4" s="1"/>
      <c r="TZX4" s="1"/>
      <c r="TZY4" s="1"/>
      <c r="TZZ4" s="1"/>
      <c r="UAA4" s="1"/>
      <c r="UAB4" s="1"/>
      <c r="UAC4" s="1"/>
      <c r="UAD4" s="1"/>
      <c r="UAE4" s="1"/>
      <c r="UAF4" s="1"/>
      <c r="UAG4" s="1"/>
      <c r="UAH4" s="1"/>
      <c r="UAI4" s="1"/>
      <c r="UAJ4" s="1"/>
      <c r="UAK4" s="1"/>
      <c r="UAL4" s="1"/>
      <c r="UAM4" s="1"/>
      <c r="UAN4" s="1"/>
      <c r="UAO4" s="1"/>
      <c r="UAP4" s="1"/>
      <c r="UAQ4" s="1"/>
      <c r="UAR4" s="1"/>
      <c r="UAS4" s="1"/>
      <c r="UAT4" s="1"/>
      <c r="UAU4" s="1"/>
      <c r="UAV4" s="1"/>
      <c r="UAW4" s="1"/>
      <c r="UAX4" s="1"/>
      <c r="UAY4" s="1"/>
      <c r="UAZ4" s="1"/>
      <c r="UBA4" s="1"/>
      <c r="UBB4" s="1"/>
      <c r="UBC4" s="1"/>
      <c r="UBD4" s="1"/>
      <c r="UBE4" s="1"/>
      <c r="UBF4" s="1"/>
      <c r="UBG4" s="1"/>
      <c r="UBH4" s="1"/>
      <c r="UBI4" s="1"/>
      <c r="UBJ4" s="1"/>
      <c r="UBK4" s="1"/>
      <c r="UBL4" s="1"/>
      <c r="UBM4" s="1"/>
      <c r="UBN4" s="1"/>
      <c r="UBO4" s="1"/>
      <c r="UBP4" s="1"/>
      <c r="UBQ4" s="1"/>
      <c r="UBR4" s="1"/>
      <c r="UBS4" s="1"/>
      <c r="UBT4" s="1"/>
      <c r="UBU4" s="1"/>
      <c r="UBV4" s="1"/>
      <c r="UBW4" s="1"/>
      <c r="UBX4" s="1"/>
      <c r="UBY4" s="1"/>
      <c r="UBZ4" s="1"/>
      <c r="UCA4" s="1"/>
      <c r="UCB4" s="1"/>
      <c r="UCC4" s="1"/>
      <c r="UCD4" s="1"/>
      <c r="UCE4" s="1"/>
      <c r="UCF4" s="1"/>
      <c r="UCG4" s="1"/>
      <c r="UCH4" s="1"/>
      <c r="UCI4" s="1"/>
      <c r="UCJ4" s="1"/>
      <c r="UCK4" s="1"/>
      <c r="UCL4" s="1"/>
      <c r="UCM4" s="1"/>
      <c r="UCN4" s="1"/>
      <c r="UCO4" s="1"/>
      <c r="UCP4" s="1"/>
      <c r="UCQ4" s="1"/>
      <c r="UCR4" s="1"/>
      <c r="UCS4" s="1"/>
      <c r="UCT4" s="1"/>
      <c r="UCU4" s="1"/>
      <c r="UCV4" s="1"/>
      <c r="UCW4" s="1"/>
      <c r="UCX4" s="1"/>
      <c r="UCY4" s="1"/>
      <c r="UCZ4" s="1"/>
      <c r="UDA4" s="1"/>
      <c r="UDB4" s="1"/>
      <c r="UDC4" s="1"/>
      <c r="UDD4" s="1"/>
      <c r="UDE4" s="1"/>
      <c r="UDF4" s="1"/>
      <c r="UDG4" s="1"/>
      <c r="UDH4" s="1"/>
      <c r="UDI4" s="1"/>
      <c r="UDJ4" s="1"/>
      <c r="UDK4" s="1"/>
      <c r="UDL4" s="1"/>
      <c r="UDM4" s="1"/>
      <c r="UDN4" s="1"/>
      <c r="UDO4" s="1"/>
      <c r="UDP4" s="1"/>
      <c r="UDQ4" s="1"/>
      <c r="UDR4" s="1"/>
      <c r="UDS4" s="1"/>
      <c r="UDT4" s="1"/>
      <c r="UDU4" s="1"/>
      <c r="UDV4" s="1"/>
      <c r="UDW4" s="1"/>
      <c r="UDX4" s="1"/>
      <c r="UDY4" s="1"/>
      <c r="UDZ4" s="1"/>
      <c r="UEA4" s="1"/>
      <c r="UEB4" s="1"/>
      <c r="UEC4" s="1"/>
      <c r="UED4" s="1"/>
      <c r="UEE4" s="1"/>
      <c r="UEF4" s="1"/>
      <c r="UEG4" s="1"/>
      <c r="UEH4" s="1"/>
      <c r="UEI4" s="1"/>
      <c r="UEJ4" s="1"/>
      <c r="UEK4" s="1"/>
      <c r="UEL4" s="1"/>
      <c r="UEM4" s="1"/>
      <c r="UEN4" s="1"/>
      <c r="UEO4" s="1"/>
      <c r="UEP4" s="1"/>
      <c r="UEQ4" s="1"/>
      <c r="UER4" s="1"/>
      <c r="UES4" s="1"/>
      <c r="UET4" s="1"/>
      <c r="UEU4" s="1"/>
      <c r="UEV4" s="1"/>
      <c r="UEW4" s="1"/>
      <c r="UEX4" s="1"/>
      <c r="UEY4" s="1"/>
      <c r="UEZ4" s="1"/>
      <c r="UFA4" s="1"/>
      <c r="UFB4" s="1"/>
      <c r="UFC4" s="1"/>
      <c r="UFD4" s="1"/>
      <c r="UFE4" s="1"/>
      <c r="UFF4" s="1"/>
      <c r="UFG4" s="1"/>
      <c r="UFH4" s="1"/>
      <c r="UFI4" s="1"/>
      <c r="UFJ4" s="1"/>
      <c r="UFK4" s="1"/>
      <c r="UFL4" s="1"/>
      <c r="UFM4" s="1"/>
      <c r="UFN4" s="1"/>
      <c r="UFO4" s="1"/>
      <c r="UFP4" s="1"/>
      <c r="UFQ4" s="1"/>
      <c r="UFR4" s="1"/>
      <c r="UFS4" s="1"/>
      <c r="UFT4" s="1"/>
      <c r="UFU4" s="1"/>
      <c r="UFV4" s="1"/>
      <c r="UFW4" s="1"/>
      <c r="UFX4" s="1"/>
      <c r="UFY4" s="1"/>
      <c r="UFZ4" s="1"/>
      <c r="UGA4" s="1"/>
      <c r="UGB4" s="1"/>
      <c r="UGC4" s="1"/>
      <c r="UGD4" s="1"/>
      <c r="UGE4" s="1"/>
      <c r="UGF4" s="1"/>
      <c r="UGG4" s="1"/>
      <c r="UGH4" s="1"/>
      <c r="UGI4" s="1"/>
      <c r="UGJ4" s="1"/>
      <c r="UGK4" s="1"/>
      <c r="UGL4" s="1"/>
      <c r="UGM4" s="1"/>
      <c r="UGN4" s="1"/>
      <c r="UGO4" s="1"/>
      <c r="UGP4" s="1"/>
      <c r="UGQ4" s="1"/>
      <c r="UGR4" s="1"/>
      <c r="UGS4" s="1"/>
      <c r="UGT4" s="1"/>
      <c r="UGU4" s="1"/>
      <c r="UGV4" s="1"/>
      <c r="UGW4" s="1"/>
      <c r="UGX4" s="1"/>
      <c r="UGY4" s="1"/>
      <c r="UGZ4" s="1"/>
      <c r="UHA4" s="1"/>
      <c r="UHB4" s="1"/>
      <c r="UHC4" s="1"/>
      <c r="UHD4" s="1"/>
      <c r="UHE4" s="1"/>
      <c r="UHF4" s="1"/>
      <c r="UHG4" s="1"/>
      <c r="UHH4" s="1"/>
      <c r="UHI4" s="1"/>
      <c r="UHJ4" s="1"/>
      <c r="UHK4" s="1"/>
      <c r="UHL4" s="1"/>
      <c r="UHM4" s="1"/>
      <c r="UHN4" s="1"/>
      <c r="UHO4" s="1"/>
      <c r="UHP4" s="1"/>
      <c r="UHQ4" s="1"/>
      <c r="UHR4" s="1"/>
      <c r="UHS4" s="1"/>
      <c r="UHT4" s="1"/>
      <c r="UHU4" s="1"/>
      <c r="UHV4" s="1"/>
      <c r="UHW4" s="1"/>
      <c r="UHX4" s="1"/>
      <c r="UHY4" s="1"/>
      <c r="UHZ4" s="1"/>
      <c r="UIA4" s="1"/>
      <c r="UIB4" s="1"/>
      <c r="UIC4" s="1"/>
      <c r="UID4" s="1"/>
      <c r="UIE4" s="1"/>
      <c r="UIF4" s="1"/>
      <c r="UIG4" s="1"/>
      <c r="UIH4" s="1"/>
      <c r="UII4" s="1"/>
      <c r="UIJ4" s="1"/>
      <c r="UIK4" s="1"/>
      <c r="UIL4" s="1"/>
      <c r="UIM4" s="1"/>
      <c r="UIN4" s="1"/>
      <c r="UIO4" s="1"/>
      <c r="UIP4" s="1"/>
      <c r="UIQ4" s="1"/>
      <c r="UIR4" s="1"/>
      <c r="UIS4" s="1"/>
      <c r="UIT4" s="1"/>
      <c r="UIU4" s="1"/>
      <c r="UIV4" s="1"/>
      <c r="UIW4" s="1"/>
      <c r="UIX4" s="1"/>
      <c r="UIY4" s="1"/>
      <c r="UIZ4" s="1"/>
      <c r="UJA4" s="1"/>
      <c r="UJB4" s="1"/>
      <c r="UJC4" s="1"/>
      <c r="UJD4" s="1"/>
      <c r="UJE4" s="1"/>
      <c r="UJF4" s="1"/>
      <c r="UJG4" s="1"/>
      <c r="UJH4" s="1"/>
      <c r="UJI4" s="1"/>
      <c r="UJJ4" s="1"/>
      <c r="UJK4" s="1"/>
      <c r="UJL4" s="1"/>
      <c r="UJM4" s="1"/>
      <c r="UJN4" s="1"/>
      <c r="UJO4" s="1"/>
      <c r="UJP4" s="1"/>
      <c r="UJQ4" s="1"/>
      <c r="UJR4" s="1"/>
      <c r="UJS4" s="1"/>
      <c r="UJT4" s="1"/>
      <c r="UJU4" s="1"/>
      <c r="UJV4" s="1"/>
      <c r="UJW4" s="1"/>
      <c r="UJX4" s="1"/>
      <c r="UJY4" s="1"/>
      <c r="UJZ4" s="1"/>
      <c r="UKA4" s="1"/>
      <c r="UKB4" s="1"/>
      <c r="UKC4" s="1"/>
      <c r="UKD4" s="1"/>
      <c r="UKE4" s="1"/>
      <c r="UKF4" s="1"/>
      <c r="UKG4" s="1"/>
      <c r="UKH4" s="1"/>
      <c r="UKI4" s="1"/>
      <c r="UKJ4" s="1"/>
      <c r="UKK4" s="1"/>
      <c r="UKL4" s="1"/>
      <c r="UKM4" s="1"/>
      <c r="UKN4" s="1"/>
      <c r="UKO4" s="1"/>
      <c r="UKP4" s="1"/>
      <c r="UKQ4" s="1"/>
      <c r="UKR4" s="1"/>
      <c r="UKS4" s="1"/>
      <c r="UKT4" s="1"/>
      <c r="UKU4" s="1"/>
      <c r="UKV4" s="1"/>
      <c r="UKW4" s="1"/>
      <c r="UKX4" s="1"/>
      <c r="UKY4" s="1"/>
      <c r="UKZ4" s="1"/>
      <c r="ULA4" s="1"/>
      <c r="ULB4" s="1"/>
      <c r="ULC4" s="1"/>
      <c r="ULD4" s="1"/>
      <c r="ULE4" s="1"/>
      <c r="ULF4" s="1"/>
      <c r="ULG4" s="1"/>
      <c r="ULH4" s="1"/>
      <c r="ULI4" s="1"/>
      <c r="ULJ4" s="1"/>
      <c r="ULK4" s="1"/>
      <c r="ULL4" s="1"/>
      <c r="ULM4" s="1"/>
      <c r="ULN4" s="1"/>
      <c r="ULO4" s="1"/>
      <c r="ULP4" s="1"/>
      <c r="ULQ4" s="1"/>
      <c r="ULR4" s="1"/>
      <c r="ULS4" s="1"/>
      <c r="ULT4" s="1"/>
      <c r="ULU4" s="1"/>
      <c r="ULV4" s="1"/>
      <c r="ULW4" s="1"/>
      <c r="ULX4" s="1"/>
      <c r="ULY4" s="1"/>
      <c r="ULZ4" s="1"/>
      <c r="UMA4" s="1"/>
      <c r="UMB4" s="1"/>
      <c r="UMC4" s="1"/>
      <c r="UMD4" s="1"/>
      <c r="UME4" s="1"/>
      <c r="UMF4" s="1"/>
      <c r="UMG4" s="1"/>
      <c r="UMH4" s="1"/>
      <c r="UMI4" s="1"/>
      <c r="UMJ4" s="1"/>
      <c r="UMK4" s="1"/>
      <c r="UML4" s="1"/>
      <c r="UMM4" s="1"/>
      <c r="UMN4" s="1"/>
      <c r="UMO4" s="1"/>
      <c r="UMP4" s="1"/>
      <c r="UMQ4" s="1"/>
      <c r="UMR4" s="1"/>
      <c r="UMS4" s="1"/>
      <c r="UMT4" s="1"/>
      <c r="UMU4" s="1"/>
      <c r="UMV4" s="1"/>
      <c r="UMW4" s="1"/>
      <c r="UMX4" s="1"/>
      <c r="UMY4" s="1"/>
      <c r="UMZ4" s="1"/>
      <c r="UNA4" s="1"/>
      <c r="UNB4" s="1"/>
      <c r="UNC4" s="1"/>
      <c r="UND4" s="1"/>
      <c r="UNE4" s="1"/>
      <c r="UNF4" s="1"/>
      <c r="UNG4" s="1"/>
      <c r="UNH4" s="1"/>
      <c r="UNI4" s="1"/>
      <c r="UNJ4" s="1"/>
      <c r="UNK4" s="1"/>
      <c r="UNL4" s="1"/>
      <c r="UNM4" s="1"/>
      <c r="UNN4" s="1"/>
      <c r="UNO4" s="1"/>
      <c r="UNP4" s="1"/>
      <c r="UNQ4" s="1"/>
      <c r="UNR4" s="1"/>
      <c r="UNS4" s="1"/>
      <c r="UNT4" s="1"/>
      <c r="UNU4" s="1"/>
      <c r="UNV4" s="1"/>
      <c r="UNW4" s="1"/>
      <c r="UNX4" s="1"/>
      <c r="UNY4" s="1"/>
      <c r="UNZ4" s="1"/>
      <c r="UOA4" s="1"/>
      <c r="UOB4" s="1"/>
      <c r="UOC4" s="1"/>
      <c r="UOD4" s="1"/>
      <c r="UOE4" s="1"/>
      <c r="UOF4" s="1"/>
      <c r="UOG4" s="1"/>
      <c r="UOH4" s="1"/>
      <c r="UOI4" s="1"/>
      <c r="UOJ4" s="1"/>
      <c r="UOK4" s="1"/>
      <c r="UOL4" s="1"/>
      <c r="UOM4" s="1"/>
      <c r="UON4" s="1"/>
      <c r="UOO4" s="1"/>
      <c r="UOP4" s="1"/>
      <c r="UOQ4" s="1"/>
      <c r="UOR4" s="1"/>
      <c r="UOS4" s="1"/>
      <c r="UOT4" s="1"/>
      <c r="UOU4" s="1"/>
      <c r="UOV4" s="1"/>
      <c r="UOW4" s="1"/>
      <c r="UOX4" s="1"/>
      <c r="UOY4" s="1"/>
      <c r="UOZ4" s="1"/>
      <c r="UPA4" s="1"/>
      <c r="UPB4" s="1"/>
      <c r="UPC4" s="1"/>
      <c r="UPD4" s="1"/>
      <c r="UPE4" s="1"/>
      <c r="UPF4" s="1"/>
      <c r="UPG4" s="1"/>
      <c r="UPH4" s="1"/>
      <c r="UPI4" s="1"/>
      <c r="UPJ4" s="1"/>
      <c r="UPK4" s="1"/>
      <c r="UPL4" s="1"/>
      <c r="UPM4" s="1"/>
      <c r="UPN4" s="1"/>
      <c r="UPO4" s="1"/>
      <c r="UPP4" s="1"/>
      <c r="UPQ4" s="1"/>
      <c r="UPR4" s="1"/>
      <c r="UPS4" s="1"/>
      <c r="UPT4" s="1"/>
      <c r="UPU4" s="1"/>
      <c r="UPV4" s="1"/>
      <c r="UPW4" s="1"/>
      <c r="UPX4" s="1"/>
      <c r="UPY4" s="1"/>
      <c r="UPZ4" s="1"/>
      <c r="UQA4" s="1"/>
      <c r="UQB4" s="1"/>
      <c r="UQC4" s="1"/>
      <c r="UQD4" s="1"/>
      <c r="UQE4" s="1"/>
      <c r="UQF4" s="1"/>
      <c r="UQG4" s="1"/>
      <c r="UQH4" s="1"/>
      <c r="UQI4" s="1"/>
      <c r="UQJ4" s="1"/>
      <c r="UQK4" s="1"/>
      <c r="UQL4" s="1"/>
      <c r="UQM4" s="1"/>
      <c r="UQN4" s="1"/>
      <c r="UQO4" s="1"/>
      <c r="UQP4" s="1"/>
      <c r="UQQ4" s="1"/>
      <c r="UQR4" s="1"/>
      <c r="UQS4" s="1"/>
      <c r="UQT4" s="1"/>
      <c r="UQU4" s="1"/>
      <c r="UQV4" s="1"/>
      <c r="UQW4" s="1"/>
      <c r="UQX4" s="1"/>
      <c r="UQY4" s="1"/>
      <c r="UQZ4" s="1"/>
      <c r="URA4" s="1"/>
      <c r="URB4" s="1"/>
      <c r="URC4" s="1"/>
      <c r="URD4" s="1"/>
      <c r="URE4" s="1"/>
      <c r="URF4" s="1"/>
      <c r="URG4" s="1"/>
      <c r="URH4" s="1"/>
      <c r="URI4" s="1"/>
      <c r="URJ4" s="1"/>
      <c r="URK4" s="1"/>
      <c r="URL4" s="1"/>
      <c r="URM4" s="1"/>
      <c r="URN4" s="1"/>
      <c r="URO4" s="1"/>
      <c r="URP4" s="1"/>
      <c r="URQ4" s="1"/>
      <c r="URR4" s="1"/>
      <c r="URS4" s="1"/>
      <c r="URT4" s="1"/>
      <c r="URU4" s="1"/>
      <c r="URV4" s="1"/>
      <c r="URW4" s="1"/>
      <c r="URX4" s="1"/>
      <c r="URY4" s="1"/>
      <c r="URZ4" s="1"/>
      <c r="USA4" s="1"/>
      <c r="USB4" s="1"/>
      <c r="USC4" s="1"/>
      <c r="USD4" s="1"/>
      <c r="USE4" s="1"/>
      <c r="USF4" s="1"/>
      <c r="USG4" s="1"/>
      <c r="USH4" s="1"/>
      <c r="USI4" s="1"/>
      <c r="USJ4" s="1"/>
      <c r="USK4" s="1"/>
      <c r="USL4" s="1"/>
      <c r="USM4" s="1"/>
      <c r="USN4" s="1"/>
      <c r="USO4" s="1"/>
      <c r="USP4" s="1"/>
      <c r="USQ4" s="1"/>
      <c r="USR4" s="1"/>
      <c r="USS4" s="1"/>
      <c r="UST4" s="1"/>
      <c r="USU4" s="1"/>
      <c r="USV4" s="1"/>
      <c r="USW4" s="1"/>
      <c r="USX4" s="1"/>
      <c r="USY4" s="1"/>
      <c r="USZ4" s="1"/>
      <c r="UTA4" s="1"/>
      <c r="UTB4" s="1"/>
      <c r="UTC4" s="1"/>
      <c r="UTD4" s="1"/>
      <c r="UTE4" s="1"/>
      <c r="UTF4" s="1"/>
      <c r="UTG4" s="1"/>
      <c r="UTH4" s="1"/>
      <c r="UTI4" s="1"/>
      <c r="UTJ4" s="1"/>
      <c r="UTK4" s="1"/>
      <c r="UTL4" s="1"/>
      <c r="UTM4" s="1"/>
      <c r="UTN4" s="1"/>
      <c r="UTO4" s="1"/>
      <c r="UTP4" s="1"/>
      <c r="UTQ4" s="1"/>
      <c r="UTR4" s="1"/>
      <c r="UTS4" s="1"/>
      <c r="UTT4" s="1"/>
      <c r="UTU4" s="1"/>
      <c r="UTV4" s="1"/>
      <c r="UTW4" s="1"/>
      <c r="UTX4" s="1"/>
      <c r="UTY4" s="1"/>
      <c r="UTZ4" s="1"/>
      <c r="UUA4" s="1"/>
      <c r="UUB4" s="1"/>
      <c r="UUC4" s="1"/>
      <c r="UUD4" s="1"/>
      <c r="UUE4" s="1"/>
      <c r="UUF4" s="1"/>
      <c r="UUG4" s="1"/>
      <c r="UUH4" s="1"/>
      <c r="UUI4" s="1"/>
      <c r="UUJ4" s="1"/>
      <c r="UUK4" s="1"/>
      <c r="UUL4" s="1"/>
      <c r="UUM4" s="1"/>
      <c r="UUN4" s="1"/>
      <c r="UUO4" s="1"/>
      <c r="UUP4" s="1"/>
      <c r="UUQ4" s="1"/>
      <c r="UUR4" s="1"/>
      <c r="UUS4" s="1"/>
      <c r="UUT4" s="1"/>
      <c r="UUU4" s="1"/>
      <c r="UUV4" s="1"/>
      <c r="UUW4" s="1"/>
      <c r="UUX4" s="1"/>
      <c r="UUY4" s="1"/>
      <c r="UUZ4" s="1"/>
      <c r="UVA4" s="1"/>
      <c r="UVB4" s="1"/>
      <c r="UVC4" s="1"/>
      <c r="UVD4" s="1"/>
      <c r="UVE4" s="1"/>
      <c r="UVF4" s="1"/>
      <c r="UVG4" s="1"/>
      <c r="UVH4" s="1"/>
      <c r="UVI4" s="1"/>
      <c r="UVJ4" s="1"/>
      <c r="UVK4" s="1"/>
      <c r="UVL4" s="1"/>
      <c r="UVM4" s="1"/>
      <c r="UVN4" s="1"/>
      <c r="UVO4" s="1"/>
      <c r="UVP4" s="1"/>
      <c r="UVQ4" s="1"/>
      <c r="UVR4" s="1"/>
      <c r="UVS4" s="1"/>
      <c r="UVT4" s="1"/>
      <c r="UVU4" s="1"/>
      <c r="UVV4" s="1"/>
      <c r="UVW4" s="1"/>
      <c r="UVX4" s="1"/>
      <c r="UVY4" s="1"/>
      <c r="UVZ4" s="1"/>
      <c r="UWA4" s="1"/>
      <c r="UWB4" s="1"/>
      <c r="UWC4" s="1"/>
      <c r="UWD4" s="1"/>
      <c r="UWE4" s="1"/>
      <c r="UWF4" s="1"/>
      <c r="UWG4" s="1"/>
      <c r="UWH4" s="1"/>
      <c r="UWI4" s="1"/>
      <c r="UWJ4" s="1"/>
      <c r="UWK4" s="1"/>
      <c r="UWL4" s="1"/>
      <c r="UWM4" s="1"/>
      <c r="UWN4" s="1"/>
      <c r="UWO4" s="1"/>
      <c r="UWP4" s="1"/>
      <c r="UWQ4" s="1"/>
      <c r="UWR4" s="1"/>
      <c r="UWS4" s="1"/>
      <c r="UWT4" s="1"/>
      <c r="UWU4" s="1"/>
      <c r="UWV4" s="1"/>
      <c r="UWW4" s="1"/>
      <c r="UWX4" s="1"/>
      <c r="UWY4" s="1"/>
      <c r="UWZ4" s="1"/>
      <c r="UXA4" s="1"/>
      <c r="UXB4" s="1"/>
      <c r="UXC4" s="1"/>
      <c r="UXD4" s="1"/>
      <c r="UXE4" s="1"/>
      <c r="UXF4" s="1"/>
      <c r="UXG4" s="1"/>
      <c r="UXH4" s="1"/>
      <c r="UXI4" s="1"/>
      <c r="UXJ4" s="1"/>
      <c r="UXK4" s="1"/>
      <c r="UXL4" s="1"/>
      <c r="UXM4" s="1"/>
      <c r="UXN4" s="1"/>
      <c r="UXO4" s="1"/>
      <c r="UXP4" s="1"/>
      <c r="UXQ4" s="1"/>
      <c r="UXR4" s="1"/>
      <c r="UXS4" s="1"/>
      <c r="UXT4" s="1"/>
      <c r="UXU4" s="1"/>
      <c r="UXV4" s="1"/>
      <c r="UXW4" s="1"/>
      <c r="UXX4" s="1"/>
      <c r="UXY4" s="1"/>
      <c r="UXZ4" s="1"/>
      <c r="UYA4" s="1"/>
      <c r="UYB4" s="1"/>
      <c r="UYC4" s="1"/>
      <c r="UYD4" s="1"/>
      <c r="UYE4" s="1"/>
      <c r="UYF4" s="1"/>
      <c r="UYG4" s="1"/>
      <c r="UYH4" s="1"/>
      <c r="UYI4" s="1"/>
      <c r="UYJ4" s="1"/>
      <c r="UYK4" s="1"/>
      <c r="UYL4" s="1"/>
      <c r="UYM4" s="1"/>
      <c r="UYN4" s="1"/>
      <c r="UYO4" s="1"/>
      <c r="UYP4" s="1"/>
      <c r="UYQ4" s="1"/>
      <c r="UYR4" s="1"/>
      <c r="UYS4" s="1"/>
      <c r="UYT4" s="1"/>
      <c r="UYU4" s="1"/>
      <c r="UYV4" s="1"/>
      <c r="UYW4" s="1"/>
      <c r="UYX4" s="1"/>
      <c r="UYY4" s="1"/>
      <c r="UYZ4" s="1"/>
      <c r="UZA4" s="1"/>
      <c r="UZB4" s="1"/>
      <c r="UZC4" s="1"/>
      <c r="UZD4" s="1"/>
      <c r="UZE4" s="1"/>
      <c r="UZF4" s="1"/>
      <c r="UZG4" s="1"/>
      <c r="UZH4" s="1"/>
      <c r="UZI4" s="1"/>
      <c r="UZJ4" s="1"/>
      <c r="UZK4" s="1"/>
      <c r="UZL4" s="1"/>
      <c r="UZM4" s="1"/>
      <c r="UZN4" s="1"/>
      <c r="UZO4" s="1"/>
      <c r="UZP4" s="1"/>
      <c r="UZQ4" s="1"/>
      <c r="UZR4" s="1"/>
      <c r="UZS4" s="1"/>
      <c r="UZT4" s="1"/>
      <c r="UZU4" s="1"/>
      <c r="UZV4" s="1"/>
      <c r="UZW4" s="1"/>
      <c r="UZX4" s="1"/>
      <c r="UZY4" s="1"/>
      <c r="UZZ4" s="1"/>
      <c r="VAA4" s="1"/>
      <c r="VAB4" s="1"/>
      <c r="VAC4" s="1"/>
      <c r="VAD4" s="1"/>
      <c r="VAE4" s="1"/>
      <c r="VAF4" s="1"/>
      <c r="VAG4" s="1"/>
      <c r="VAH4" s="1"/>
      <c r="VAI4" s="1"/>
      <c r="VAJ4" s="1"/>
      <c r="VAK4" s="1"/>
      <c r="VAL4" s="1"/>
      <c r="VAM4" s="1"/>
      <c r="VAN4" s="1"/>
      <c r="VAO4" s="1"/>
      <c r="VAP4" s="1"/>
      <c r="VAQ4" s="1"/>
      <c r="VAR4" s="1"/>
      <c r="VAS4" s="1"/>
      <c r="VAT4" s="1"/>
      <c r="VAU4" s="1"/>
      <c r="VAV4" s="1"/>
      <c r="VAW4" s="1"/>
      <c r="VAX4" s="1"/>
      <c r="VAY4" s="1"/>
      <c r="VAZ4" s="1"/>
      <c r="VBA4" s="1"/>
      <c r="VBB4" s="1"/>
      <c r="VBC4" s="1"/>
      <c r="VBD4" s="1"/>
      <c r="VBE4" s="1"/>
      <c r="VBF4" s="1"/>
      <c r="VBG4" s="1"/>
      <c r="VBH4" s="1"/>
      <c r="VBI4" s="1"/>
      <c r="VBJ4" s="1"/>
      <c r="VBK4" s="1"/>
      <c r="VBL4" s="1"/>
      <c r="VBM4" s="1"/>
      <c r="VBN4" s="1"/>
      <c r="VBO4" s="1"/>
      <c r="VBP4" s="1"/>
      <c r="VBQ4" s="1"/>
      <c r="VBR4" s="1"/>
      <c r="VBS4" s="1"/>
      <c r="VBT4" s="1"/>
      <c r="VBU4" s="1"/>
      <c r="VBV4" s="1"/>
      <c r="VBW4" s="1"/>
      <c r="VBX4" s="1"/>
      <c r="VBY4" s="1"/>
      <c r="VBZ4" s="1"/>
      <c r="VCA4" s="1"/>
      <c r="VCB4" s="1"/>
      <c r="VCC4" s="1"/>
      <c r="VCD4" s="1"/>
      <c r="VCE4" s="1"/>
      <c r="VCF4" s="1"/>
      <c r="VCG4" s="1"/>
      <c r="VCH4" s="1"/>
      <c r="VCI4" s="1"/>
      <c r="VCJ4" s="1"/>
      <c r="VCK4" s="1"/>
      <c r="VCL4" s="1"/>
      <c r="VCM4" s="1"/>
      <c r="VCN4" s="1"/>
      <c r="VCO4" s="1"/>
      <c r="VCP4" s="1"/>
      <c r="VCQ4" s="1"/>
      <c r="VCR4" s="1"/>
      <c r="VCS4" s="1"/>
      <c r="VCT4" s="1"/>
      <c r="VCU4" s="1"/>
      <c r="VCV4" s="1"/>
      <c r="VCW4" s="1"/>
      <c r="VCX4" s="1"/>
      <c r="VCY4" s="1"/>
      <c r="VCZ4" s="1"/>
      <c r="VDA4" s="1"/>
      <c r="VDB4" s="1"/>
      <c r="VDC4" s="1"/>
      <c r="VDD4" s="1"/>
      <c r="VDE4" s="1"/>
      <c r="VDF4" s="1"/>
      <c r="VDG4" s="1"/>
      <c r="VDH4" s="1"/>
      <c r="VDI4" s="1"/>
      <c r="VDJ4" s="1"/>
      <c r="VDK4" s="1"/>
      <c r="VDL4" s="1"/>
      <c r="VDM4" s="1"/>
      <c r="VDN4" s="1"/>
      <c r="VDO4" s="1"/>
      <c r="VDP4" s="1"/>
      <c r="VDQ4" s="1"/>
      <c r="VDR4" s="1"/>
      <c r="VDS4" s="1"/>
      <c r="VDT4" s="1"/>
      <c r="VDU4" s="1"/>
      <c r="VDV4" s="1"/>
      <c r="VDW4" s="1"/>
      <c r="VDX4" s="1"/>
      <c r="VDY4" s="1"/>
      <c r="VDZ4" s="1"/>
      <c r="VEA4" s="1"/>
      <c r="VEB4" s="1"/>
      <c r="VEC4" s="1"/>
      <c r="VED4" s="1"/>
      <c r="VEE4" s="1"/>
      <c r="VEF4" s="1"/>
      <c r="VEG4" s="1"/>
      <c r="VEH4" s="1"/>
      <c r="VEI4" s="1"/>
      <c r="VEJ4" s="1"/>
      <c r="VEK4" s="1"/>
      <c r="VEL4" s="1"/>
      <c r="VEM4" s="1"/>
      <c r="VEN4" s="1"/>
      <c r="VEO4" s="1"/>
      <c r="VEP4" s="1"/>
      <c r="VEQ4" s="1"/>
      <c r="VER4" s="1"/>
      <c r="VES4" s="1"/>
      <c r="VET4" s="1"/>
      <c r="VEU4" s="1"/>
      <c r="VEV4" s="1"/>
      <c r="VEW4" s="1"/>
      <c r="VEX4" s="1"/>
      <c r="VEY4" s="1"/>
      <c r="VEZ4" s="1"/>
      <c r="VFA4" s="1"/>
      <c r="VFB4" s="1"/>
      <c r="VFC4" s="1"/>
      <c r="VFD4" s="1"/>
      <c r="VFE4" s="1"/>
      <c r="VFF4" s="1"/>
      <c r="VFG4" s="1"/>
      <c r="VFH4" s="1"/>
      <c r="VFI4" s="1"/>
      <c r="VFJ4" s="1"/>
      <c r="VFK4" s="1"/>
      <c r="VFL4" s="1"/>
      <c r="VFM4" s="1"/>
      <c r="VFN4" s="1"/>
      <c r="VFO4" s="1"/>
      <c r="VFP4" s="1"/>
      <c r="VFQ4" s="1"/>
      <c r="VFR4" s="1"/>
      <c r="VFS4" s="1"/>
      <c r="VFT4" s="1"/>
      <c r="VFU4" s="1"/>
      <c r="VFV4" s="1"/>
      <c r="VFW4" s="1"/>
      <c r="VFX4" s="1"/>
      <c r="VFY4" s="1"/>
      <c r="VFZ4" s="1"/>
      <c r="VGA4" s="1"/>
      <c r="VGB4" s="1"/>
      <c r="VGC4" s="1"/>
      <c r="VGD4" s="1"/>
      <c r="VGE4" s="1"/>
      <c r="VGF4" s="1"/>
      <c r="VGG4" s="1"/>
      <c r="VGH4" s="1"/>
      <c r="VGI4" s="1"/>
      <c r="VGJ4" s="1"/>
      <c r="VGK4" s="1"/>
      <c r="VGL4" s="1"/>
      <c r="VGM4" s="1"/>
      <c r="VGN4" s="1"/>
      <c r="VGO4" s="1"/>
      <c r="VGP4" s="1"/>
      <c r="VGQ4" s="1"/>
      <c r="VGR4" s="1"/>
      <c r="VGS4" s="1"/>
      <c r="VGT4" s="1"/>
      <c r="VGU4" s="1"/>
      <c r="VGV4" s="1"/>
      <c r="VGW4" s="1"/>
      <c r="VGX4" s="1"/>
      <c r="VGY4" s="1"/>
      <c r="VGZ4" s="1"/>
      <c r="VHA4" s="1"/>
      <c r="VHB4" s="1"/>
      <c r="VHC4" s="1"/>
      <c r="VHD4" s="1"/>
      <c r="VHE4" s="1"/>
      <c r="VHF4" s="1"/>
      <c r="VHG4" s="1"/>
      <c r="VHH4" s="1"/>
      <c r="VHI4" s="1"/>
      <c r="VHJ4" s="1"/>
      <c r="VHK4" s="1"/>
      <c r="VHL4" s="1"/>
      <c r="VHM4" s="1"/>
      <c r="VHN4" s="1"/>
      <c r="VHO4" s="1"/>
      <c r="VHP4" s="1"/>
      <c r="VHQ4" s="1"/>
      <c r="VHR4" s="1"/>
      <c r="VHS4" s="1"/>
      <c r="VHT4" s="1"/>
      <c r="VHU4" s="1"/>
      <c r="VHV4" s="1"/>
      <c r="VHW4" s="1"/>
      <c r="VHX4" s="1"/>
      <c r="VHY4" s="1"/>
      <c r="VHZ4" s="1"/>
      <c r="VIA4" s="1"/>
      <c r="VIB4" s="1"/>
      <c r="VIC4" s="1"/>
      <c r="VID4" s="1"/>
      <c r="VIE4" s="1"/>
      <c r="VIF4" s="1"/>
      <c r="VIG4" s="1"/>
      <c r="VIH4" s="1"/>
      <c r="VII4" s="1"/>
      <c r="VIJ4" s="1"/>
      <c r="VIK4" s="1"/>
      <c r="VIL4" s="1"/>
      <c r="VIM4" s="1"/>
      <c r="VIN4" s="1"/>
      <c r="VIO4" s="1"/>
      <c r="VIP4" s="1"/>
      <c r="VIQ4" s="1"/>
      <c r="VIR4" s="1"/>
      <c r="VIS4" s="1"/>
      <c r="VIT4" s="1"/>
      <c r="VIU4" s="1"/>
      <c r="VIV4" s="1"/>
      <c r="VIW4" s="1"/>
      <c r="VIX4" s="1"/>
      <c r="VIY4" s="1"/>
      <c r="VIZ4" s="1"/>
      <c r="VJA4" s="1"/>
      <c r="VJB4" s="1"/>
      <c r="VJC4" s="1"/>
      <c r="VJD4" s="1"/>
      <c r="VJE4" s="1"/>
      <c r="VJF4" s="1"/>
      <c r="VJG4" s="1"/>
      <c r="VJH4" s="1"/>
      <c r="VJI4" s="1"/>
      <c r="VJJ4" s="1"/>
      <c r="VJK4" s="1"/>
      <c r="VJL4" s="1"/>
      <c r="VJM4" s="1"/>
      <c r="VJN4" s="1"/>
      <c r="VJO4" s="1"/>
      <c r="VJP4" s="1"/>
      <c r="VJQ4" s="1"/>
      <c r="VJR4" s="1"/>
      <c r="VJS4" s="1"/>
      <c r="VJT4" s="1"/>
      <c r="VJU4" s="1"/>
      <c r="VJV4" s="1"/>
      <c r="VJW4" s="1"/>
      <c r="VJX4" s="1"/>
      <c r="VJY4" s="1"/>
      <c r="VJZ4" s="1"/>
      <c r="VKA4" s="1"/>
      <c r="VKB4" s="1"/>
      <c r="VKC4" s="1"/>
      <c r="VKD4" s="1"/>
      <c r="VKE4" s="1"/>
      <c r="VKF4" s="1"/>
      <c r="VKG4" s="1"/>
      <c r="VKH4" s="1"/>
      <c r="VKI4" s="1"/>
      <c r="VKJ4" s="1"/>
      <c r="VKK4" s="1"/>
      <c r="VKL4" s="1"/>
      <c r="VKM4" s="1"/>
      <c r="VKN4" s="1"/>
      <c r="VKO4" s="1"/>
      <c r="VKP4" s="1"/>
      <c r="VKQ4" s="1"/>
      <c r="VKR4" s="1"/>
      <c r="VKS4" s="1"/>
      <c r="VKT4" s="1"/>
      <c r="VKU4" s="1"/>
      <c r="VKV4" s="1"/>
      <c r="VKW4" s="1"/>
      <c r="VKX4" s="1"/>
      <c r="VKY4" s="1"/>
      <c r="VKZ4" s="1"/>
      <c r="VLA4" s="1"/>
      <c r="VLB4" s="1"/>
      <c r="VLC4" s="1"/>
      <c r="VLD4" s="1"/>
      <c r="VLE4" s="1"/>
      <c r="VLF4" s="1"/>
      <c r="VLG4" s="1"/>
      <c r="VLH4" s="1"/>
      <c r="VLI4" s="1"/>
      <c r="VLJ4" s="1"/>
      <c r="VLK4" s="1"/>
      <c r="VLL4" s="1"/>
      <c r="VLM4" s="1"/>
      <c r="VLN4" s="1"/>
      <c r="VLO4" s="1"/>
      <c r="VLP4" s="1"/>
      <c r="VLQ4" s="1"/>
      <c r="VLR4" s="1"/>
      <c r="VLS4" s="1"/>
      <c r="VLT4" s="1"/>
      <c r="VLU4" s="1"/>
      <c r="VLV4" s="1"/>
      <c r="VLW4" s="1"/>
      <c r="VLX4" s="1"/>
      <c r="VLY4" s="1"/>
      <c r="VLZ4" s="1"/>
      <c r="VMA4" s="1"/>
      <c r="VMB4" s="1"/>
      <c r="VMC4" s="1"/>
      <c r="VMD4" s="1"/>
      <c r="VME4" s="1"/>
      <c r="VMF4" s="1"/>
      <c r="VMG4" s="1"/>
      <c r="VMH4" s="1"/>
      <c r="VMI4" s="1"/>
      <c r="VMJ4" s="1"/>
      <c r="VMK4" s="1"/>
      <c r="VML4" s="1"/>
      <c r="VMM4" s="1"/>
      <c r="VMN4" s="1"/>
      <c r="VMO4" s="1"/>
      <c r="VMP4" s="1"/>
      <c r="VMQ4" s="1"/>
      <c r="VMR4" s="1"/>
      <c r="VMS4" s="1"/>
      <c r="VMT4" s="1"/>
      <c r="VMU4" s="1"/>
      <c r="VMV4" s="1"/>
      <c r="VMW4" s="1"/>
      <c r="VMX4" s="1"/>
      <c r="VMY4" s="1"/>
      <c r="VMZ4" s="1"/>
      <c r="VNA4" s="1"/>
      <c r="VNB4" s="1"/>
      <c r="VNC4" s="1"/>
      <c r="VND4" s="1"/>
      <c r="VNE4" s="1"/>
      <c r="VNF4" s="1"/>
      <c r="VNG4" s="1"/>
      <c r="VNH4" s="1"/>
      <c r="VNI4" s="1"/>
      <c r="VNJ4" s="1"/>
      <c r="VNK4" s="1"/>
      <c r="VNL4" s="1"/>
      <c r="VNM4" s="1"/>
      <c r="VNN4" s="1"/>
      <c r="VNO4" s="1"/>
      <c r="VNP4" s="1"/>
      <c r="VNQ4" s="1"/>
      <c r="VNR4" s="1"/>
      <c r="VNS4" s="1"/>
      <c r="VNT4" s="1"/>
      <c r="VNU4" s="1"/>
      <c r="VNV4" s="1"/>
      <c r="VNW4" s="1"/>
      <c r="VNX4" s="1"/>
      <c r="VNY4" s="1"/>
      <c r="VNZ4" s="1"/>
      <c r="VOA4" s="1"/>
      <c r="VOB4" s="1"/>
      <c r="VOC4" s="1"/>
      <c r="VOD4" s="1"/>
      <c r="VOE4" s="1"/>
      <c r="VOF4" s="1"/>
      <c r="VOG4" s="1"/>
      <c r="VOH4" s="1"/>
      <c r="VOI4" s="1"/>
      <c r="VOJ4" s="1"/>
      <c r="VOK4" s="1"/>
      <c r="VOL4" s="1"/>
      <c r="VOM4" s="1"/>
      <c r="VON4" s="1"/>
      <c r="VOO4" s="1"/>
      <c r="VOP4" s="1"/>
      <c r="VOQ4" s="1"/>
      <c r="VOR4" s="1"/>
      <c r="VOS4" s="1"/>
      <c r="VOT4" s="1"/>
      <c r="VOU4" s="1"/>
      <c r="VOV4" s="1"/>
      <c r="VOW4" s="1"/>
      <c r="VOX4" s="1"/>
      <c r="VOY4" s="1"/>
      <c r="VOZ4" s="1"/>
      <c r="VPA4" s="1"/>
      <c r="VPB4" s="1"/>
      <c r="VPC4" s="1"/>
      <c r="VPD4" s="1"/>
      <c r="VPE4" s="1"/>
      <c r="VPF4" s="1"/>
      <c r="VPG4" s="1"/>
      <c r="VPH4" s="1"/>
      <c r="VPI4" s="1"/>
      <c r="VPJ4" s="1"/>
      <c r="VPK4" s="1"/>
      <c r="VPL4" s="1"/>
      <c r="VPM4" s="1"/>
      <c r="VPN4" s="1"/>
      <c r="VPO4" s="1"/>
      <c r="VPP4" s="1"/>
      <c r="VPQ4" s="1"/>
      <c r="VPR4" s="1"/>
      <c r="VPS4" s="1"/>
      <c r="VPT4" s="1"/>
      <c r="VPU4" s="1"/>
      <c r="VPV4" s="1"/>
      <c r="VPW4" s="1"/>
      <c r="VPX4" s="1"/>
      <c r="VPY4" s="1"/>
      <c r="VPZ4" s="1"/>
      <c r="VQA4" s="1"/>
      <c r="VQB4" s="1"/>
      <c r="VQC4" s="1"/>
      <c r="VQD4" s="1"/>
      <c r="VQE4" s="1"/>
      <c r="VQF4" s="1"/>
      <c r="VQG4" s="1"/>
      <c r="VQH4" s="1"/>
      <c r="VQI4" s="1"/>
      <c r="VQJ4" s="1"/>
      <c r="VQK4" s="1"/>
      <c r="VQL4" s="1"/>
      <c r="VQM4" s="1"/>
      <c r="VQN4" s="1"/>
      <c r="VQO4" s="1"/>
      <c r="VQP4" s="1"/>
      <c r="VQQ4" s="1"/>
      <c r="VQR4" s="1"/>
      <c r="VQS4" s="1"/>
      <c r="VQT4" s="1"/>
      <c r="VQU4" s="1"/>
      <c r="VQV4" s="1"/>
      <c r="VQW4" s="1"/>
      <c r="VQX4" s="1"/>
      <c r="VQY4" s="1"/>
      <c r="VQZ4" s="1"/>
      <c r="VRA4" s="1"/>
      <c r="VRB4" s="1"/>
      <c r="VRC4" s="1"/>
      <c r="VRD4" s="1"/>
      <c r="VRE4" s="1"/>
      <c r="VRF4" s="1"/>
      <c r="VRG4" s="1"/>
      <c r="VRH4" s="1"/>
      <c r="VRI4" s="1"/>
      <c r="VRJ4" s="1"/>
      <c r="VRK4" s="1"/>
      <c r="VRL4" s="1"/>
      <c r="VRM4" s="1"/>
      <c r="VRN4" s="1"/>
      <c r="VRO4" s="1"/>
      <c r="VRP4" s="1"/>
      <c r="VRQ4" s="1"/>
      <c r="VRR4" s="1"/>
      <c r="VRS4" s="1"/>
      <c r="VRT4" s="1"/>
      <c r="VRU4" s="1"/>
      <c r="VRV4" s="1"/>
      <c r="VRW4" s="1"/>
      <c r="VRX4" s="1"/>
      <c r="VRY4" s="1"/>
      <c r="VRZ4" s="1"/>
      <c r="VSA4" s="1"/>
      <c r="VSB4" s="1"/>
      <c r="VSC4" s="1"/>
      <c r="VSD4" s="1"/>
      <c r="VSE4" s="1"/>
      <c r="VSF4" s="1"/>
      <c r="VSG4" s="1"/>
      <c r="VSH4" s="1"/>
      <c r="VSI4" s="1"/>
      <c r="VSJ4" s="1"/>
      <c r="VSK4" s="1"/>
      <c r="VSL4" s="1"/>
      <c r="VSM4" s="1"/>
      <c r="VSN4" s="1"/>
      <c r="VSO4" s="1"/>
      <c r="VSP4" s="1"/>
      <c r="VSQ4" s="1"/>
      <c r="VSR4" s="1"/>
      <c r="VSS4" s="1"/>
      <c r="VST4" s="1"/>
      <c r="VSU4" s="1"/>
      <c r="VSV4" s="1"/>
      <c r="VSW4" s="1"/>
      <c r="VSX4" s="1"/>
      <c r="VSY4" s="1"/>
      <c r="VSZ4" s="1"/>
      <c r="VTA4" s="1"/>
      <c r="VTB4" s="1"/>
      <c r="VTC4" s="1"/>
      <c r="VTD4" s="1"/>
      <c r="VTE4" s="1"/>
      <c r="VTF4" s="1"/>
      <c r="VTG4" s="1"/>
      <c r="VTH4" s="1"/>
      <c r="VTI4" s="1"/>
      <c r="VTJ4" s="1"/>
      <c r="VTK4" s="1"/>
      <c r="VTL4" s="1"/>
      <c r="VTM4" s="1"/>
      <c r="VTN4" s="1"/>
      <c r="VTO4" s="1"/>
      <c r="VTP4" s="1"/>
      <c r="VTQ4" s="1"/>
      <c r="VTR4" s="1"/>
      <c r="VTS4" s="1"/>
      <c r="VTT4" s="1"/>
      <c r="VTU4" s="1"/>
      <c r="VTV4" s="1"/>
      <c r="VTW4" s="1"/>
      <c r="VTX4" s="1"/>
      <c r="VTY4" s="1"/>
      <c r="VTZ4" s="1"/>
      <c r="VUA4" s="1"/>
      <c r="VUB4" s="1"/>
      <c r="VUC4" s="1"/>
      <c r="VUD4" s="1"/>
      <c r="VUE4" s="1"/>
      <c r="VUF4" s="1"/>
      <c r="VUG4" s="1"/>
      <c r="VUH4" s="1"/>
      <c r="VUI4" s="1"/>
      <c r="VUJ4" s="1"/>
      <c r="VUK4" s="1"/>
      <c r="VUL4" s="1"/>
      <c r="VUM4" s="1"/>
      <c r="VUN4" s="1"/>
      <c r="VUO4" s="1"/>
      <c r="VUP4" s="1"/>
      <c r="VUQ4" s="1"/>
      <c r="VUR4" s="1"/>
      <c r="VUS4" s="1"/>
      <c r="VUT4" s="1"/>
      <c r="VUU4" s="1"/>
      <c r="VUV4" s="1"/>
      <c r="VUW4" s="1"/>
      <c r="VUX4" s="1"/>
      <c r="VUY4" s="1"/>
      <c r="VUZ4" s="1"/>
      <c r="VVA4" s="1"/>
      <c r="VVB4" s="1"/>
      <c r="VVC4" s="1"/>
      <c r="VVD4" s="1"/>
      <c r="VVE4" s="1"/>
      <c r="VVF4" s="1"/>
      <c r="VVG4" s="1"/>
      <c r="VVH4" s="1"/>
      <c r="VVI4" s="1"/>
      <c r="VVJ4" s="1"/>
      <c r="VVK4" s="1"/>
      <c r="VVL4" s="1"/>
      <c r="VVM4" s="1"/>
      <c r="VVN4" s="1"/>
      <c r="VVO4" s="1"/>
      <c r="VVP4" s="1"/>
      <c r="VVQ4" s="1"/>
      <c r="VVR4" s="1"/>
      <c r="VVS4" s="1"/>
      <c r="VVT4" s="1"/>
      <c r="VVU4" s="1"/>
      <c r="VVV4" s="1"/>
      <c r="VVW4" s="1"/>
      <c r="VVX4" s="1"/>
      <c r="VVY4" s="1"/>
      <c r="VVZ4" s="1"/>
      <c r="VWA4" s="1"/>
      <c r="VWB4" s="1"/>
      <c r="VWC4" s="1"/>
      <c r="VWD4" s="1"/>
      <c r="VWE4" s="1"/>
      <c r="VWF4" s="1"/>
      <c r="VWG4" s="1"/>
      <c r="VWH4" s="1"/>
      <c r="VWI4" s="1"/>
      <c r="VWJ4" s="1"/>
      <c r="VWK4" s="1"/>
      <c r="VWL4" s="1"/>
      <c r="VWM4" s="1"/>
      <c r="VWN4" s="1"/>
      <c r="VWO4" s="1"/>
      <c r="VWP4" s="1"/>
      <c r="VWQ4" s="1"/>
      <c r="VWR4" s="1"/>
      <c r="VWS4" s="1"/>
      <c r="VWT4" s="1"/>
      <c r="VWU4" s="1"/>
      <c r="VWV4" s="1"/>
      <c r="VWW4" s="1"/>
      <c r="VWX4" s="1"/>
      <c r="VWY4" s="1"/>
      <c r="VWZ4" s="1"/>
      <c r="VXA4" s="1"/>
      <c r="VXB4" s="1"/>
      <c r="VXC4" s="1"/>
      <c r="VXD4" s="1"/>
      <c r="VXE4" s="1"/>
      <c r="VXF4" s="1"/>
      <c r="VXG4" s="1"/>
      <c r="VXH4" s="1"/>
      <c r="VXI4" s="1"/>
      <c r="VXJ4" s="1"/>
      <c r="VXK4" s="1"/>
      <c r="VXL4" s="1"/>
      <c r="VXM4" s="1"/>
      <c r="VXN4" s="1"/>
      <c r="VXO4" s="1"/>
      <c r="VXP4" s="1"/>
      <c r="VXQ4" s="1"/>
      <c r="VXR4" s="1"/>
      <c r="VXS4" s="1"/>
      <c r="VXT4" s="1"/>
      <c r="VXU4" s="1"/>
      <c r="VXV4" s="1"/>
      <c r="VXW4" s="1"/>
      <c r="VXX4" s="1"/>
      <c r="VXY4" s="1"/>
      <c r="VXZ4" s="1"/>
      <c r="VYA4" s="1"/>
      <c r="VYB4" s="1"/>
      <c r="VYC4" s="1"/>
      <c r="VYD4" s="1"/>
      <c r="VYE4" s="1"/>
      <c r="VYF4" s="1"/>
      <c r="VYG4" s="1"/>
      <c r="VYH4" s="1"/>
      <c r="VYI4" s="1"/>
      <c r="VYJ4" s="1"/>
      <c r="VYK4" s="1"/>
      <c r="VYL4" s="1"/>
      <c r="VYM4" s="1"/>
      <c r="VYN4" s="1"/>
      <c r="VYO4" s="1"/>
      <c r="VYP4" s="1"/>
      <c r="VYQ4" s="1"/>
      <c r="VYR4" s="1"/>
      <c r="VYS4" s="1"/>
      <c r="VYT4" s="1"/>
      <c r="VYU4" s="1"/>
      <c r="VYV4" s="1"/>
      <c r="VYW4" s="1"/>
      <c r="VYX4" s="1"/>
      <c r="VYY4" s="1"/>
      <c r="VYZ4" s="1"/>
      <c r="VZA4" s="1"/>
      <c r="VZB4" s="1"/>
      <c r="VZC4" s="1"/>
      <c r="VZD4" s="1"/>
      <c r="VZE4" s="1"/>
      <c r="VZF4" s="1"/>
      <c r="VZG4" s="1"/>
      <c r="VZH4" s="1"/>
      <c r="VZI4" s="1"/>
      <c r="VZJ4" s="1"/>
      <c r="VZK4" s="1"/>
      <c r="VZL4" s="1"/>
      <c r="VZM4" s="1"/>
      <c r="VZN4" s="1"/>
      <c r="VZO4" s="1"/>
      <c r="VZP4" s="1"/>
      <c r="VZQ4" s="1"/>
      <c r="VZR4" s="1"/>
      <c r="VZS4" s="1"/>
      <c r="VZT4" s="1"/>
      <c r="VZU4" s="1"/>
      <c r="VZV4" s="1"/>
      <c r="VZW4" s="1"/>
      <c r="VZX4" s="1"/>
      <c r="VZY4" s="1"/>
      <c r="VZZ4" s="1"/>
      <c r="WAA4" s="1"/>
      <c r="WAB4" s="1"/>
      <c r="WAC4" s="1"/>
      <c r="WAD4" s="1"/>
      <c r="WAE4" s="1"/>
      <c r="WAF4" s="1"/>
      <c r="WAG4" s="1"/>
      <c r="WAH4" s="1"/>
      <c r="WAI4" s="1"/>
      <c r="WAJ4" s="1"/>
      <c r="WAK4" s="1"/>
      <c r="WAL4" s="1"/>
      <c r="WAM4" s="1"/>
      <c r="WAN4" s="1"/>
      <c r="WAO4" s="1"/>
      <c r="WAP4" s="1"/>
      <c r="WAQ4" s="1"/>
      <c r="WAR4" s="1"/>
      <c r="WAS4" s="1"/>
      <c r="WAT4" s="1"/>
      <c r="WAU4" s="1"/>
      <c r="WAV4" s="1"/>
      <c r="WAW4" s="1"/>
      <c r="WAX4" s="1"/>
      <c r="WAY4" s="1"/>
      <c r="WAZ4" s="1"/>
      <c r="WBA4" s="1"/>
      <c r="WBB4" s="1"/>
      <c r="WBC4" s="1"/>
      <c r="WBD4" s="1"/>
      <c r="WBE4" s="1"/>
      <c r="WBF4" s="1"/>
      <c r="WBG4" s="1"/>
      <c r="WBH4" s="1"/>
      <c r="WBI4" s="1"/>
      <c r="WBJ4" s="1"/>
      <c r="WBK4" s="1"/>
      <c r="WBL4" s="1"/>
      <c r="WBM4" s="1"/>
      <c r="WBN4" s="1"/>
      <c r="WBO4" s="1"/>
      <c r="WBP4" s="1"/>
      <c r="WBQ4" s="1"/>
      <c r="WBR4" s="1"/>
      <c r="WBS4" s="1"/>
      <c r="WBT4" s="1"/>
      <c r="WBU4" s="1"/>
      <c r="WBV4" s="1"/>
      <c r="WBW4" s="1"/>
      <c r="WBX4" s="1"/>
      <c r="WBY4" s="1"/>
      <c r="WBZ4" s="1"/>
      <c r="WCA4" s="1"/>
      <c r="WCB4" s="1"/>
      <c r="WCC4" s="1"/>
      <c r="WCD4" s="1"/>
      <c r="WCE4" s="1"/>
      <c r="WCF4" s="1"/>
      <c r="WCG4" s="1"/>
      <c r="WCH4" s="1"/>
      <c r="WCI4" s="1"/>
      <c r="WCJ4" s="1"/>
      <c r="WCK4" s="1"/>
      <c r="WCL4" s="1"/>
      <c r="WCM4" s="1"/>
      <c r="WCN4" s="1"/>
      <c r="WCO4" s="1"/>
      <c r="WCP4" s="1"/>
      <c r="WCQ4" s="1"/>
      <c r="WCR4" s="1"/>
      <c r="WCS4" s="1"/>
      <c r="WCT4" s="1"/>
      <c r="WCU4" s="1"/>
      <c r="WCV4" s="1"/>
      <c r="WCW4" s="1"/>
      <c r="WCX4" s="1"/>
      <c r="WCY4" s="1"/>
      <c r="WCZ4" s="1"/>
      <c r="WDA4" s="1"/>
      <c r="WDB4" s="1"/>
      <c r="WDC4" s="1"/>
      <c r="WDD4" s="1"/>
      <c r="WDE4" s="1"/>
      <c r="WDF4" s="1"/>
      <c r="WDG4" s="1"/>
      <c r="WDH4" s="1"/>
      <c r="WDI4" s="1"/>
      <c r="WDJ4" s="1"/>
      <c r="WDK4" s="1"/>
      <c r="WDL4" s="1"/>
      <c r="WDM4" s="1"/>
      <c r="WDN4" s="1"/>
      <c r="WDO4" s="1"/>
      <c r="WDP4" s="1"/>
      <c r="WDQ4" s="1"/>
      <c r="WDR4" s="1"/>
      <c r="WDS4" s="1"/>
      <c r="WDT4" s="1"/>
      <c r="WDU4" s="1"/>
      <c r="WDV4" s="1"/>
      <c r="WDW4" s="1"/>
      <c r="WDX4" s="1"/>
      <c r="WDY4" s="1"/>
      <c r="WDZ4" s="1"/>
      <c r="WEA4" s="1"/>
      <c r="WEB4" s="1"/>
      <c r="WEC4" s="1"/>
      <c r="WED4" s="1"/>
      <c r="WEE4" s="1"/>
      <c r="WEF4" s="1"/>
      <c r="WEG4" s="1"/>
      <c r="WEH4" s="1"/>
      <c r="WEI4" s="1"/>
      <c r="WEJ4" s="1"/>
      <c r="WEK4" s="1"/>
      <c r="WEL4" s="1"/>
      <c r="WEM4" s="1"/>
      <c r="WEN4" s="1"/>
      <c r="WEO4" s="1"/>
      <c r="WEP4" s="1"/>
      <c r="WEQ4" s="1"/>
      <c r="WER4" s="1"/>
      <c r="WES4" s="1"/>
      <c r="WET4" s="1"/>
      <c r="WEU4" s="1"/>
      <c r="WEV4" s="1"/>
      <c r="WEW4" s="1"/>
      <c r="WEX4" s="1"/>
      <c r="WEY4" s="1"/>
      <c r="WEZ4" s="1"/>
      <c r="WFA4" s="1"/>
      <c r="WFB4" s="1"/>
      <c r="WFC4" s="1"/>
      <c r="WFD4" s="1"/>
      <c r="WFE4" s="1"/>
      <c r="WFF4" s="1"/>
      <c r="WFG4" s="1"/>
      <c r="WFH4" s="1"/>
      <c r="WFI4" s="1"/>
      <c r="WFJ4" s="1"/>
      <c r="WFK4" s="1"/>
      <c r="WFL4" s="1"/>
      <c r="WFM4" s="1"/>
      <c r="WFN4" s="1"/>
      <c r="WFO4" s="1"/>
      <c r="WFP4" s="1"/>
      <c r="WFQ4" s="1"/>
      <c r="WFR4" s="1"/>
      <c r="WFS4" s="1"/>
      <c r="WFT4" s="1"/>
      <c r="WFU4" s="1"/>
      <c r="WFV4" s="1"/>
      <c r="WFW4" s="1"/>
      <c r="WFX4" s="1"/>
      <c r="WFY4" s="1"/>
      <c r="WFZ4" s="1"/>
      <c r="WGA4" s="1"/>
      <c r="WGB4" s="1"/>
      <c r="WGC4" s="1"/>
      <c r="WGD4" s="1"/>
      <c r="WGE4" s="1"/>
      <c r="WGF4" s="1"/>
      <c r="WGG4" s="1"/>
      <c r="WGH4" s="1"/>
      <c r="WGI4" s="1"/>
      <c r="WGJ4" s="1"/>
      <c r="WGK4" s="1"/>
      <c r="WGL4" s="1"/>
      <c r="WGM4" s="1"/>
      <c r="WGN4" s="1"/>
      <c r="WGO4" s="1"/>
      <c r="WGP4" s="1"/>
      <c r="WGQ4" s="1"/>
      <c r="WGR4" s="1"/>
      <c r="WGS4" s="1"/>
      <c r="WGT4" s="1"/>
      <c r="WGU4" s="1"/>
      <c r="WGV4" s="1"/>
      <c r="WGW4" s="1"/>
      <c r="WGX4" s="1"/>
      <c r="WGY4" s="1"/>
      <c r="WGZ4" s="1"/>
      <c r="WHA4" s="1"/>
      <c r="WHB4" s="1"/>
      <c r="WHC4" s="1"/>
      <c r="WHD4" s="1"/>
      <c r="WHE4" s="1"/>
      <c r="WHF4" s="1"/>
      <c r="WHG4" s="1"/>
      <c r="WHH4" s="1"/>
      <c r="WHI4" s="1"/>
      <c r="WHJ4" s="1"/>
      <c r="WHK4" s="1"/>
      <c r="WHL4" s="1"/>
      <c r="WHM4" s="1"/>
      <c r="WHN4" s="1"/>
      <c r="WHO4" s="1"/>
      <c r="WHP4" s="1"/>
      <c r="WHQ4" s="1"/>
      <c r="WHR4" s="1"/>
      <c r="WHS4" s="1"/>
      <c r="WHT4" s="1"/>
      <c r="WHU4" s="1"/>
      <c r="WHV4" s="1"/>
      <c r="WHW4" s="1"/>
      <c r="WHX4" s="1"/>
      <c r="WHY4" s="1"/>
      <c r="WHZ4" s="1"/>
      <c r="WIA4" s="1"/>
      <c r="WIB4" s="1"/>
      <c r="WIC4" s="1"/>
      <c r="WID4" s="1"/>
      <c r="WIE4" s="1"/>
      <c r="WIF4" s="1"/>
      <c r="WIG4" s="1"/>
      <c r="WIH4" s="1"/>
      <c r="WII4" s="1"/>
      <c r="WIJ4" s="1"/>
      <c r="WIK4" s="1"/>
      <c r="WIL4" s="1"/>
      <c r="WIM4" s="1"/>
      <c r="WIN4" s="1"/>
      <c r="WIO4" s="1"/>
      <c r="WIP4" s="1"/>
      <c r="WIQ4" s="1"/>
      <c r="WIR4" s="1"/>
      <c r="WIS4" s="1"/>
      <c r="WIT4" s="1"/>
      <c r="WIU4" s="1"/>
      <c r="WIV4" s="1"/>
      <c r="WIW4" s="1"/>
      <c r="WIX4" s="1"/>
      <c r="WIY4" s="1"/>
      <c r="WIZ4" s="1"/>
      <c r="WJA4" s="1"/>
      <c r="WJB4" s="1"/>
      <c r="WJC4" s="1"/>
      <c r="WJD4" s="1"/>
      <c r="WJE4" s="1"/>
      <c r="WJF4" s="1"/>
      <c r="WJG4" s="1"/>
      <c r="WJH4" s="1"/>
      <c r="WJI4" s="1"/>
      <c r="WJJ4" s="1"/>
      <c r="WJK4" s="1"/>
      <c r="WJL4" s="1"/>
      <c r="WJM4" s="1"/>
      <c r="WJN4" s="1"/>
      <c r="WJO4" s="1"/>
      <c r="WJP4" s="1"/>
      <c r="WJQ4" s="1"/>
      <c r="WJR4" s="1"/>
      <c r="WJS4" s="1"/>
      <c r="WJT4" s="1"/>
      <c r="WJU4" s="1"/>
      <c r="WJV4" s="1"/>
      <c r="WJW4" s="1"/>
      <c r="WJX4" s="1"/>
      <c r="WJY4" s="1"/>
      <c r="WJZ4" s="1"/>
      <c r="WKA4" s="1"/>
      <c r="WKB4" s="1"/>
      <c r="WKC4" s="1"/>
      <c r="WKD4" s="1"/>
      <c r="WKE4" s="1"/>
      <c r="WKF4" s="1"/>
      <c r="WKG4" s="1"/>
      <c r="WKH4" s="1"/>
      <c r="WKI4" s="1"/>
      <c r="WKJ4" s="1"/>
      <c r="WKK4" s="1"/>
      <c r="WKL4" s="1"/>
      <c r="WKM4" s="1"/>
      <c r="WKN4" s="1"/>
      <c r="WKO4" s="1"/>
      <c r="WKP4" s="1"/>
      <c r="WKQ4" s="1"/>
      <c r="WKR4" s="1"/>
      <c r="WKS4" s="1"/>
      <c r="WKT4" s="1"/>
      <c r="WKU4" s="1"/>
      <c r="WKV4" s="1"/>
      <c r="WKW4" s="1"/>
      <c r="WKX4" s="1"/>
      <c r="WKY4" s="1"/>
      <c r="WKZ4" s="1"/>
      <c r="WLA4" s="1"/>
      <c r="WLB4" s="1"/>
      <c r="WLC4" s="1"/>
      <c r="WLD4" s="1"/>
      <c r="WLE4" s="1"/>
      <c r="WLF4" s="1"/>
      <c r="WLG4" s="1"/>
      <c r="WLH4" s="1"/>
      <c r="WLI4" s="1"/>
      <c r="WLJ4" s="1"/>
      <c r="WLK4" s="1"/>
      <c r="WLL4" s="1"/>
      <c r="WLM4" s="1"/>
      <c r="WLN4" s="1"/>
      <c r="WLO4" s="1"/>
      <c r="WLP4" s="1"/>
      <c r="WLQ4" s="1"/>
      <c r="WLR4" s="1"/>
      <c r="WLS4" s="1"/>
      <c r="WLT4" s="1"/>
      <c r="WLU4" s="1"/>
      <c r="WLV4" s="1"/>
      <c r="WLW4" s="1"/>
      <c r="WLX4" s="1"/>
      <c r="WLY4" s="1"/>
      <c r="WLZ4" s="1"/>
      <c r="WMA4" s="1"/>
      <c r="WMB4" s="1"/>
      <c r="WMC4" s="1"/>
      <c r="WMD4" s="1"/>
      <c r="WME4" s="1"/>
      <c r="WMF4" s="1"/>
      <c r="WMG4" s="1"/>
      <c r="WMH4" s="1"/>
      <c r="WMI4" s="1"/>
      <c r="WMJ4" s="1"/>
      <c r="WMK4" s="1"/>
      <c r="WML4" s="1"/>
      <c r="WMM4" s="1"/>
      <c r="WMN4" s="1"/>
      <c r="WMO4" s="1"/>
      <c r="WMP4" s="1"/>
      <c r="WMQ4" s="1"/>
      <c r="WMR4" s="1"/>
      <c r="WMS4" s="1"/>
      <c r="WMT4" s="1"/>
      <c r="WMU4" s="1"/>
      <c r="WMV4" s="1"/>
      <c r="WMW4" s="1"/>
      <c r="WMX4" s="1"/>
      <c r="WMY4" s="1"/>
      <c r="WMZ4" s="1"/>
      <c r="WNA4" s="1"/>
      <c r="WNB4" s="1"/>
      <c r="WNC4" s="1"/>
      <c r="WND4" s="1"/>
      <c r="WNE4" s="1"/>
      <c r="WNF4" s="1"/>
      <c r="WNG4" s="1"/>
      <c r="WNH4" s="1"/>
      <c r="WNI4" s="1"/>
      <c r="WNJ4" s="1"/>
      <c r="WNK4" s="1"/>
      <c r="WNL4" s="1"/>
      <c r="WNM4" s="1"/>
      <c r="WNN4" s="1"/>
      <c r="WNO4" s="1"/>
      <c r="WNP4" s="1"/>
      <c r="WNQ4" s="1"/>
      <c r="WNR4" s="1"/>
      <c r="WNS4" s="1"/>
      <c r="WNT4" s="1"/>
      <c r="WNU4" s="1"/>
      <c r="WNV4" s="1"/>
      <c r="WNW4" s="1"/>
      <c r="WNX4" s="1"/>
      <c r="WNY4" s="1"/>
      <c r="WNZ4" s="1"/>
      <c r="WOA4" s="1"/>
      <c r="WOB4" s="1"/>
      <c r="WOC4" s="1"/>
      <c r="WOD4" s="1"/>
      <c r="WOE4" s="1"/>
      <c r="WOF4" s="1"/>
      <c r="WOG4" s="1"/>
      <c r="WOH4" s="1"/>
      <c r="WOI4" s="1"/>
      <c r="WOJ4" s="1"/>
      <c r="WOK4" s="1"/>
      <c r="WOL4" s="1"/>
      <c r="WOM4" s="1"/>
      <c r="WON4" s="1"/>
      <c r="WOO4" s="1"/>
      <c r="WOP4" s="1"/>
      <c r="WOQ4" s="1"/>
      <c r="WOR4" s="1"/>
      <c r="WOS4" s="1"/>
      <c r="WOT4" s="1"/>
      <c r="WOU4" s="1"/>
      <c r="WOV4" s="1"/>
      <c r="WOW4" s="1"/>
      <c r="WOX4" s="1"/>
      <c r="WOY4" s="1"/>
      <c r="WOZ4" s="1"/>
      <c r="WPA4" s="1"/>
      <c r="WPB4" s="1"/>
      <c r="WPC4" s="1"/>
      <c r="WPD4" s="1"/>
      <c r="WPE4" s="1"/>
      <c r="WPF4" s="1"/>
      <c r="WPG4" s="1"/>
      <c r="WPH4" s="1"/>
      <c r="WPI4" s="1"/>
      <c r="WPJ4" s="1"/>
      <c r="WPK4" s="1"/>
      <c r="WPL4" s="1"/>
      <c r="WPM4" s="1"/>
      <c r="WPN4" s="1"/>
      <c r="WPO4" s="1"/>
      <c r="WPP4" s="1"/>
      <c r="WPQ4" s="1"/>
      <c r="WPR4" s="1"/>
      <c r="WPS4" s="1"/>
      <c r="WPT4" s="1"/>
      <c r="WPU4" s="1"/>
      <c r="WPV4" s="1"/>
      <c r="WPW4" s="1"/>
      <c r="WPX4" s="1"/>
      <c r="WPY4" s="1"/>
      <c r="WPZ4" s="1"/>
      <c r="WQA4" s="1"/>
      <c r="WQB4" s="1"/>
      <c r="WQC4" s="1"/>
      <c r="WQD4" s="1"/>
      <c r="WQE4" s="1"/>
      <c r="WQF4" s="1"/>
      <c r="WQG4" s="1"/>
      <c r="WQH4" s="1"/>
      <c r="WQI4" s="1"/>
      <c r="WQJ4" s="1"/>
      <c r="WQK4" s="1"/>
      <c r="WQL4" s="1"/>
      <c r="WQM4" s="1"/>
      <c r="WQN4" s="1"/>
      <c r="WQO4" s="1"/>
      <c r="WQP4" s="1"/>
      <c r="WQQ4" s="1"/>
      <c r="WQR4" s="1"/>
      <c r="WQS4" s="1"/>
      <c r="WQT4" s="1"/>
      <c r="WQU4" s="1"/>
      <c r="WQV4" s="1"/>
      <c r="WQW4" s="1"/>
      <c r="WQX4" s="1"/>
      <c r="WQY4" s="1"/>
      <c r="WQZ4" s="1"/>
      <c r="WRA4" s="1"/>
      <c r="WRB4" s="1"/>
      <c r="WRC4" s="1"/>
      <c r="WRD4" s="1"/>
      <c r="WRE4" s="1"/>
      <c r="WRF4" s="1"/>
      <c r="WRG4" s="1"/>
      <c r="WRH4" s="1"/>
      <c r="WRI4" s="1"/>
      <c r="WRJ4" s="1"/>
      <c r="WRK4" s="1"/>
      <c r="WRL4" s="1"/>
      <c r="WRM4" s="1"/>
      <c r="WRN4" s="1"/>
      <c r="WRO4" s="1"/>
      <c r="WRP4" s="1"/>
      <c r="WRQ4" s="1"/>
      <c r="WRR4" s="1"/>
      <c r="WRS4" s="1"/>
      <c r="WRT4" s="1"/>
      <c r="WRU4" s="1"/>
      <c r="WRV4" s="1"/>
      <c r="WRW4" s="1"/>
      <c r="WRX4" s="1"/>
      <c r="WRY4" s="1"/>
      <c r="WRZ4" s="1"/>
      <c r="WSA4" s="1"/>
      <c r="WSB4" s="1"/>
      <c r="WSC4" s="1"/>
      <c r="WSD4" s="1"/>
      <c r="WSE4" s="1"/>
      <c r="WSF4" s="1"/>
      <c r="WSG4" s="1"/>
      <c r="WSH4" s="1"/>
      <c r="WSI4" s="1"/>
      <c r="WSJ4" s="1"/>
      <c r="WSK4" s="1"/>
      <c r="WSL4" s="1"/>
      <c r="WSM4" s="1"/>
      <c r="WSN4" s="1"/>
      <c r="WSO4" s="1"/>
      <c r="WSP4" s="1"/>
      <c r="WSQ4" s="1"/>
      <c r="WSR4" s="1"/>
      <c r="WSS4" s="1"/>
      <c r="WST4" s="1"/>
      <c r="WSU4" s="1"/>
      <c r="WSV4" s="1"/>
      <c r="WSW4" s="1"/>
      <c r="WSX4" s="1"/>
      <c r="WSY4" s="1"/>
      <c r="WSZ4" s="1"/>
      <c r="WTA4" s="1"/>
      <c r="WTB4" s="1"/>
      <c r="WTC4" s="1"/>
      <c r="WTD4" s="1"/>
      <c r="WTE4" s="1"/>
      <c r="WTF4" s="1"/>
      <c r="WTG4" s="1"/>
      <c r="WTH4" s="1"/>
      <c r="WTI4" s="1"/>
      <c r="WTJ4" s="1"/>
      <c r="WTK4" s="1"/>
      <c r="WTL4" s="1"/>
      <c r="WTM4" s="1"/>
      <c r="WTN4" s="1"/>
      <c r="WTO4" s="1"/>
      <c r="WTP4" s="1"/>
      <c r="WTQ4" s="1"/>
      <c r="WTR4" s="1"/>
      <c r="WTS4" s="1"/>
      <c r="WTT4" s="1"/>
      <c r="WTU4" s="1"/>
      <c r="WTV4" s="1"/>
      <c r="WTW4" s="1"/>
      <c r="WTX4" s="1"/>
      <c r="WTY4" s="1"/>
      <c r="WTZ4" s="1"/>
      <c r="WUA4" s="1"/>
      <c r="WUB4" s="1"/>
      <c r="WUC4" s="1"/>
      <c r="WUD4" s="1"/>
      <c r="WUE4" s="1"/>
      <c r="WUF4" s="1"/>
      <c r="WUG4" s="1"/>
      <c r="WUH4" s="1"/>
      <c r="WUI4" s="1"/>
      <c r="WUJ4" s="1"/>
      <c r="WUK4" s="1"/>
      <c r="WUL4" s="1"/>
      <c r="WUM4" s="1"/>
      <c r="WUN4" s="1"/>
      <c r="WUO4" s="1"/>
      <c r="WUP4" s="1"/>
      <c r="WUQ4" s="1"/>
      <c r="WUR4" s="1"/>
      <c r="WUS4" s="1"/>
      <c r="WUT4" s="1"/>
      <c r="WUU4" s="1"/>
      <c r="WUV4" s="1"/>
      <c r="WUW4" s="1"/>
      <c r="WUX4" s="1"/>
      <c r="WUY4" s="1"/>
      <c r="WUZ4" s="1"/>
      <c r="WVA4" s="1"/>
      <c r="WVB4" s="1"/>
      <c r="WVC4" s="1"/>
      <c r="WVD4" s="1"/>
      <c r="WVE4" s="1"/>
      <c r="WVF4" s="1"/>
      <c r="WVG4" s="1"/>
      <c r="WVH4" s="1"/>
      <c r="WVI4" s="1"/>
      <c r="WVJ4" s="1"/>
      <c r="WVK4" s="1"/>
      <c r="WVL4" s="1"/>
      <c r="WVM4" s="1"/>
      <c r="WVN4" s="1"/>
      <c r="WVO4" s="1"/>
      <c r="WVP4" s="1"/>
      <c r="WVQ4" s="1"/>
      <c r="WVR4" s="1"/>
      <c r="WVS4" s="1"/>
      <c r="WVT4" s="1"/>
      <c r="WVU4" s="1"/>
      <c r="WVV4" s="1"/>
      <c r="WVW4" s="1"/>
      <c r="WVX4" s="1"/>
      <c r="WVY4" s="1"/>
      <c r="WVZ4" s="1"/>
      <c r="WWA4" s="1"/>
      <c r="WWB4" s="1"/>
      <c r="WWC4" s="1"/>
      <c r="WWD4" s="1"/>
      <c r="WWE4" s="1"/>
      <c r="WWF4" s="1"/>
      <c r="WWG4" s="1"/>
      <c r="WWH4" s="1"/>
      <c r="WWI4" s="1"/>
      <c r="WWJ4" s="1"/>
      <c r="WWK4" s="1"/>
      <c r="WWL4" s="1"/>
      <c r="WWM4" s="1"/>
      <c r="WWN4" s="1"/>
      <c r="WWO4" s="1"/>
      <c r="WWP4" s="1"/>
      <c r="WWQ4" s="1"/>
      <c r="WWR4" s="1"/>
      <c r="WWS4" s="1"/>
      <c r="WWT4" s="1"/>
      <c r="WWU4" s="1"/>
      <c r="WWV4" s="1"/>
      <c r="WWW4" s="1"/>
      <c r="WWX4" s="1"/>
      <c r="WWY4" s="1"/>
      <c r="WWZ4" s="1"/>
      <c r="WXA4" s="1"/>
      <c r="WXB4" s="1"/>
      <c r="WXC4" s="1"/>
      <c r="WXD4" s="1"/>
      <c r="WXE4" s="1"/>
      <c r="WXF4" s="1"/>
      <c r="WXG4" s="1"/>
      <c r="WXH4" s="1"/>
      <c r="WXI4" s="1"/>
      <c r="WXJ4" s="1"/>
      <c r="WXK4" s="1"/>
      <c r="WXL4" s="1"/>
      <c r="WXM4" s="1"/>
      <c r="WXN4" s="1"/>
      <c r="WXO4" s="1"/>
      <c r="WXP4" s="1"/>
      <c r="WXQ4" s="1"/>
      <c r="WXR4" s="1"/>
      <c r="WXS4" s="1"/>
      <c r="WXT4" s="1"/>
      <c r="WXU4" s="1"/>
      <c r="WXV4" s="1"/>
      <c r="WXW4" s="1"/>
      <c r="WXX4" s="1"/>
      <c r="WXY4" s="1"/>
      <c r="WXZ4" s="1"/>
      <c r="WYA4" s="1"/>
      <c r="WYB4" s="1"/>
      <c r="WYC4" s="1"/>
      <c r="WYD4" s="1"/>
      <c r="WYE4" s="1"/>
      <c r="WYF4" s="1"/>
      <c r="WYG4" s="1"/>
      <c r="WYH4" s="1"/>
      <c r="WYI4" s="1"/>
      <c r="WYJ4" s="1"/>
      <c r="WYK4" s="1"/>
      <c r="WYL4" s="1"/>
      <c r="WYM4" s="1"/>
      <c r="WYN4" s="1"/>
      <c r="WYO4" s="1"/>
      <c r="WYP4" s="1"/>
      <c r="WYQ4" s="1"/>
      <c r="WYR4" s="1"/>
      <c r="WYS4" s="1"/>
      <c r="WYT4" s="1"/>
      <c r="WYU4" s="1"/>
      <c r="WYV4" s="1"/>
      <c r="WYW4" s="1"/>
      <c r="WYX4" s="1"/>
      <c r="WYY4" s="1"/>
      <c r="WYZ4" s="1"/>
      <c r="WZA4" s="1"/>
      <c r="WZB4" s="1"/>
      <c r="WZC4" s="1"/>
      <c r="WZD4" s="1"/>
      <c r="WZE4" s="1"/>
      <c r="WZF4" s="1"/>
      <c r="WZG4" s="1"/>
      <c r="WZH4" s="1"/>
      <c r="WZI4" s="1"/>
      <c r="WZJ4" s="1"/>
      <c r="WZK4" s="1"/>
      <c r="WZL4" s="1"/>
      <c r="WZM4" s="1"/>
      <c r="WZN4" s="1"/>
      <c r="WZO4" s="1"/>
      <c r="WZP4" s="1"/>
      <c r="WZQ4" s="1"/>
      <c r="WZR4" s="1"/>
      <c r="WZS4" s="1"/>
      <c r="WZT4" s="1"/>
      <c r="WZU4" s="1"/>
      <c r="WZV4" s="1"/>
      <c r="WZW4" s="1"/>
      <c r="WZX4" s="1"/>
      <c r="WZY4" s="1"/>
      <c r="WZZ4" s="1"/>
      <c r="XAA4" s="1"/>
      <c r="XAB4" s="1"/>
      <c r="XAC4" s="1"/>
      <c r="XAD4" s="1"/>
      <c r="XAE4" s="1"/>
      <c r="XAF4" s="1"/>
      <c r="XAG4" s="1"/>
      <c r="XAH4" s="1"/>
      <c r="XAI4" s="1"/>
      <c r="XAJ4" s="1"/>
      <c r="XAK4" s="1"/>
      <c r="XAL4" s="1"/>
      <c r="XAM4" s="1"/>
      <c r="XAN4" s="1"/>
      <c r="XAO4" s="1"/>
      <c r="XAP4" s="1"/>
      <c r="XAQ4" s="1"/>
      <c r="XAR4" s="1"/>
      <c r="XAS4" s="1"/>
      <c r="XAT4" s="1"/>
      <c r="XAU4" s="1"/>
      <c r="XAV4" s="1"/>
      <c r="XAW4" s="1"/>
      <c r="XAX4" s="1"/>
      <c r="XAY4" s="1"/>
      <c r="XAZ4" s="1"/>
      <c r="XBA4" s="1"/>
      <c r="XBB4" s="1"/>
      <c r="XBC4" s="1"/>
      <c r="XBD4" s="1"/>
      <c r="XBE4" s="1"/>
      <c r="XBF4" s="1"/>
      <c r="XBG4" s="1"/>
      <c r="XBH4" s="1"/>
      <c r="XBI4" s="1"/>
      <c r="XBJ4" s="1"/>
      <c r="XBK4" s="1"/>
      <c r="XBL4" s="1"/>
      <c r="XBM4" s="1"/>
      <c r="XBN4" s="1"/>
      <c r="XBO4" s="1"/>
      <c r="XBP4" s="1"/>
      <c r="XBQ4" s="1"/>
      <c r="XBR4" s="1"/>
      <c r="XBS4" s="1"/>
      <c r="XBT4" s="1"/>
      <c r="XBU4" s="1"/>
      <c r="XBV4" s="1"/>
      <c r="XBW4" s="1"/>
      <c r="XBX4" s="1"/>
      <c r="XBY4" s="1"/>
      <c r="XBZ4" s="1"/>
      <c r="XCA4" s="1"/>
      <c r="XCB4" s="1"/>
      <c r="XCC4" s="1"/>
      <c r="XCD4" s="1"/>
      <c r="XCE4" s="1"/>
      <c r="XCF4" s="1"/>
      <c r="XCG4" s="1"/>
      <c r="XCH4" s="1"/>
      <c r="XCI4" s="1"/>
      <c r="XCJ4" s="1"/>
      <c r="XCK4" s="1"/>
      <c r="XCL4" s="1"/>
      <c r="XCM4" s="1"/>
      <c r="XCN4" s="1"/>
      <c r="XCO4" s="1"/>
      <c r="XCP4" s="1"/>
      <c r="XCQ4" s="1"/>
      <c r="XCR4" s="1"/>
      <c r="XCS4" s="1"/>
      <c r="XCT4" s="1"/>
      <c r="XCU4" s="1"/>
      <c r="XCV4" s="1"/>
      <c r="XCW4" s="1"/>
      <c r="XCX4" s="1"/>
      <c r="XCY4" s="1"/>
      <c r="XCZ4" s="1"/>
      <c r="XDA4" s="1"/>
      <c r="XDB4" s="1"/>
      <c r="XDC4" s="1"/>
      <c r="XDD4" s="1"/>
      <c r="XDE4" s="1"/>
      <c r="XDF4" s="1"/>
      <c r="XDG4" s="1"/>
      <c r="XDH4" s="1"/>
      <c r="XDI4" s="1"/>
      <c r="XDJ4" s="1"/>
      <c r="XDK4" s="1"/>
      <c r="XDL4" s="1"/>
      <c r="XDM4" s="1"/>
      <c r="XDN4" s="1"/>
      <c r="XDO4" s="1"/>
      <c r="XDP4" s="1"/>
      <c r="XDQ4" s="1"/>
      <c r="XDR4" s="1"/>
      <c r="XDS4" s="1"/>
      <c r="XDT4" s="1"/>
      <c r="XDU4" s="1"/>
      <c r="XDV4" s="1"/>
      <c r="XDW4" s="1"/>
      <c r="XDX4" s="1"/>
      <c r="XDY4" s="1"/>
      <c r="XDZ4" s="1"/>
      <c r="XEA4" s="1"/>
      <c r="XEB4" s="1"/>
      <c r="XEC4" s="1"/>
      <c r="XED4" s="1"/>
      <c r="XEE4" s="1"/>
      <c r="XEF4" s="1"/>
      <c r="XEG4" s="1"/>
      <c r="XEH4" s="1"/>
      <c r="XEI4" s="1"/>
      <c r="XEJ4" s="1"/>
      <c r="XEK4" s="1"/>
      <c r="XEL4" s="1"/>
      <c r="XEM4" s="1"/>
      <c r="XEN4" s="1"/>
      <c r="XEO4" s="1"/>
      <c r="XEP4" s="1"/>
      <c r="XEQ4" s="1"/>
      <c r="XER4" s="1"/>
      <c r="XES4" s="1"/>
      <c r="XET4" s="1"/>
      <c r="XEU4" s="1"/>
      <c r="XEV4" s="1"/>
      <c r="XEW4" s="1"/>
      <c r="XEX4" s="1"/>
      <c r="XEY4" s="1"/>
      <c r="XEZ4" s="1"/>
      <c r="XFA4" s="1"/>
      <c r="XFB4" s="1"/>
      <c r="XFC4" s="1"/>
    </row>
    <row r="5" spans="1:16383" s="16" customFormat="1" ht="14.25" customHeight="1" x14ac:dyDescent="0.2">
      <c r="A5" s="2" t="s">
        <v>91</v>
      </c>
      <c r="B5" s="2"/>
      <c r="C5" s="30"/>
      <c r="D5" s="30"/>
      <c r="E5" s="30"/>
      <c r="F5" s="30"/>
      <c r="G5" s="30"/>
      <c r="H5" s="30"/>
      <c r="I5" s="30"/>
      <c r="J5" s="30"/>
      <c r="K5" s="30"/>
      <c r="L5" s="30"/>
      <c r="M5" s="39"/>
    </row>
    <row r="6" spans="1:16383" ht="14.25" customHeight="1" x14ac:dyDescent="0.2">
      <c r="A6" s="2" t="s">
        <v>84</v>
      </c>
      <c r="B6" s="2">
        <f ca="1">ROW(INDIRECT("originGamma"))</f>
        <v>8</v>
      </c>
      <c r="C6" s="30"/>
      <c r="D6" s="30"/>
      <c r="E6" s="30"/>
      <c r="F6" s="30"/>
      <c r="G6" s="30"/>
      <c r="H6" s="30"/>
      <c r="I6" s="30"/>
      <c r="J6" s="30"/>
      <c r="K6" s="30"/>
      <c r="L6" s="30"/>
      <c r="M6" s="39"/>
    </row>
    <row r="7" spans="1:16383" x14ac:dyDescent="0.2">
      <c r="A7" s="2" t="s">
        <v>85</v>
      </c>
      <c r="B7" s="2">
        <f ca="1">COLUMN(INDIRECT("originGamma"))</f>
        <v>4</v>
      </c>
      <c r="C7" s="30"/>
      <c r="D7" s="33" t="s">
        <v>20</v>
      </c>
      <c r="E7" s="33" t="s">
        <v>176</v>
      </c>
      <c r="F7" s="30"/>
      <c r="G7" s="33" t="s">
        <v>20</v>
      </c>
      <c r="H7" s="33" t="s">
        <v>177</v>
      </c>
      <c r="I7" s="30"/>
      <c r="J7" s="33" t="s">
        <v>20</v>
      </c>
      <c r="K7" s="33" t="s">
        <v>78</v>
      </c>
      <c r="L7" s="30"/>
      <c r="M7" s="39"/>
    </row>
    <row r="8" spans="1:16383" x14ac:dyDescent="0.2">
      <c r="A8" s="2" t="s">
        <v>86</v>
      </c>
      <c r="B8" s="18" t="str">
        <f ca="1">numbertoletter(B7)</f>
        <v>D</v>
      </c>
      <c r="C8" s="30"/>
      <c r="D8" s="64" t="s">
        <v>181</v>
      </c>
      <c r="E8" s="83">
        <v>0.4</v>
      </c>
      <c r="F8" s="30"/>
      <c r="G8" s="64" t="s">
        <v>133</v>
      </c>
      <c r="H8" s="92">
        <v>0.01</v>
      </c>
      <c r="I8" s="30"/>
      <c r="J8" s="65" t="s">
        <v>138</v>
      </c>
      <c r="K8" s="83">
        <v>0</v>
      </c>
      <c r="L8" s="30"/>
      <c r="M8" s="39"/>
    </row>
    <row r="9" spans="1:16383" x14ac:dyDescent="0.2">
      <c r="A9" s="2" t="s">
        <v>92</v>
      </c>
      <c r="B9" s="2">
        <v>21</v>
      </c>
      <c r="C9" s="30"/>
      <c r="D9" s="64" t="s">
        <v>179</v>
      </c>
      <c r="E9" s="83">
        <v>0.4</v>
      </c>
      <c r="F9" s="30"/>
      <c r="G9" s="64" t="s">
        <v>13</v>
      </c>
      <c r="H9" s="92">
        <v>7.6799999999999993E-2</v>
      </c>
      <c r="I9" s="30"/>
      <c r="J9" s="65" t="s">
        <v>139</v>
      </c>
      <c r="K9" s="83">
        <v>0</v>
      </c>
      <c r="L9" s="30"/>
      <c r="M9" s="39"/>
    </row>
    <row r="10" spans="1:16383" x14ac:dyDescent="0.2">
      <c r="A10" s="2" t="s">
        <v>87</v>
      </c>
      <c r="B10" s="18" t="str">
        <f ca="1">B8&amp;B6&amp;":"&amp;B8&amp;(B9+B6-1)</f>
        <v>D8:D28</v>
      </c>
      <c r="C10" s="30"/>
      <c r="D10" s="64" t="s">
        <v>180</v>
      </c>
      <c r="E10" s="83">
        <v>0.4</v>
      </c>
      <c r="F10" s="30"/>
      <c r="G10" s="64" t="s">
        <v>4</v>
      </c>
      <c r="H10" s="92">
        <v>9.2999999999999999E-2</v>
      </c>
      <c r="I10" s="30"/>
      <c r="J10" s="65" t="s">
        <v>186</v>
      </c>
      <c r="K10" s="83">
        <v>0</v>
      </c>
      <c r="L10" s="30"/>
      <c r="M10" s="39"/>
    </row>
    <row r="11" spans="1:16383" x14ac:dyDescent="0.2">
      <c r="A11" s="2" t="s">
        <v>88</v>
      </c>
      <c r="B11" s="2">
        <f ca="1">COUNTA(INDIRECT(B10))</f>
        <v>4</v>
      </c>
      <c r="C11" s="30"/>
      <c r="D11" s="64" t="s">
        <v>182</v>
      </c>
      <c r="E11" s="83">
        <v>0.4</v>
      </c>
      <c r="F11" s="30"/>
      <c r="G11" s="64" t="s">
        <v>181</v>
      </c>
      <c r="H11" s="92">
        <v>0</v>
      </c>
      <c r="I11" s="30"/>
      <c r="J11" s="65" t="s">
        <v>187</v>
      </c>
      <c r="K11" s="83">
        <v>0</v>
      </c>
      <c r="L11" s="30"/>
      <c r="M11" s="39"/>
    </row>
    <row r="12" spans="1:16383" ht="15" x14ac:dyDescent="0.25">
      <c r="A12" s="2" t="s">
        <v>89</v>
      </c>
      <c r="B12" s="19">
        <v>2</v>
      </c>
      <c r="C12" s="30"/>
      <c r="D12" s="64"/>
      <c r="E12" s="81"/>
      <c r="F12" s="30"/>
      <c r="G12" s="64" t="s">
        <v>179</v>
      </c>
      <c r="H12" s="92">
        <v>0</v>
      </c>
      <c r="I12" s="30"/>
      <c r="J12" s="65" t="s">
        <v>188</v>
      </c>
      <c r="K12" s="83">
        <v>0</v>
      </c>
      <c r="L12" s="30"/>
      <c r="M12" s="39"/>
    </row>
    <row r="13" spans="1:16383" x14ac:dyDescent="0.2">
      <c r="A13" s="2" t="s">
        <v>90</v>
      </c>
      <c r="B13" s="18" t="str">
        <f ca="1">B8&amp;B6&amp;":"&amp;numbertoletter(B7+B12-1)&amp;(B6+B11-1)</f>
        <v>D8:E11</v>
      </c>
      <c r="C13" s="30"/>
      <c r="D13" s="64"/>
      <c r="E13" s="81"/>
      <c r="F13" s="30"/>
      <c r="G13" s="64" t="s">
        <v>180</v>
      </c>
      <c r="H13" s="92">
        <v>0</v>
      </c>
      <c r="I13" s="30"/>
      <c r="J13" s="65" t="s">
        <v>189</v>
      </c>
      <c r="K13" s="83">
        <v>0</v>
      </c>
      <c r="L13" s="30"/>
      <c r="M13" s="39"/>
    </row>
    <row r="14" spans="1:16383" x14ac:dyDescent="0.2">
      <c r="C14" s="30"/>
      <c r="D14" s="64"/>
      <c r="E14" s="81"/>
      <c r="F14" s="30"/>
      <c r="G14" s="64" t="s">
        <v>182</v>
      </c>
      <c r="H14" s="92">
        <v>0</v>
      </c>
      <c r="I14" s="30"/>
      <c r="J14" s="65" t="s">
        <v>140</v>
      </c>
      <c r="K14" s="83">
        <v>0</v>
      </c>
      <c r="L14" s="30"/>
      <c r="M14" s="39"/>
    </row>
    <row r="15" spans="1:16383" x14ac:dyDescent="0.2">
      <c r="A15" s="2" t="s">
        <v>93</v>
      </c>
      <c r="C15" s="30"/>
      <c r="D15" s="64"/>
      <c r="E15" s="81"/>
      <c r="F15" s="30"/>
      <c r="G15" s="64"/>
      <c r="H15" s="92"/>
      <c r="I15" s="30"/>
      <c r="J15" s="65" t="s">
        <v>190</v>
      </c>
      <c r="K15" s="83">
        <v>0</v>
      </c>
      <c r="L15" s="30"/>
      <c r="M15" s="39"/>
    </row>
    <row r="16" spans="1:16383" x14ac:dyDescent="0.2">
      <c r="A16" s="2" t="s">
        <v>84</v>
      </c>
      <c r="B16" s="2">
        <f ca="1">ROW(INDIRECT("originSigma"))</f>
        <v>8</v>
      </c>
      <c r="C16" s="30"/>
      <c r="D16" s="64"/>
      <c r="E16" s="81"/>
      <c r="F16" s="30"/>
      <c r="G16" s="64"/>
      <c r="H16" s="92"/>
      <c r="I16" s="30"/>
      <c r="J16" s="65" t="s">
        <v>191</v>
      </c>
      <c r="K16" s="83">
        <v>0</v>
      </c>
      <c r="L16" s="30"/>
      <c r="M16" s="39"/>
    </row>
    <row r="17" spans="1:13" x14ac:dyDescent="0.2">
      <c r="A17" s="2" t="s">
        <v>85</v>
      </c>
      <c r="B17" s="2">
        <f ca="1">COLUMN(INDIRECT("originSigma"))</f>
        <v>7</v>
      </c>
      <c r="C17" s="30"/>
      <c r="D17" s="64"/>
      <c r="E17" s="81"/>
      <c r="F17" s="30"/>
      <c r="G17" s="64"/>
      <c r="H17" s="92"/>
      <c r="I17" s="30"/>
      <c r="J17" s="65" t="s">
        <v>192</v>
      </c>
      <c r="K17" s="83">
        <v>0</v>
      </c>
      <c r="L17" s="30"/>
      <c r="M17" s="39"/>
    </row>
    <row r="18" spans="1:13" x14ac:dyDescent="0.2">
      <c r="A18" s="2" t="s">
        <v>86</v>
      </c>
      <c r="B18" s="18" t="str">
        <f ca="1">numbertoletter(B17)</f>
        <v>G</v>
      </c>
      <c r="C18" s="30"/>
      <c r="D18" s="64"/>
      <c r="E18" s="81"/>
      <c r="F18" s="30"/>
      <c r="G18" s="64"/>
      <c r="H18" s="92"/>
      <c r="I18" s="30"/>
      <c r="J18" s="65" t="s">
        <v>193</v>
      </c>
      <c r="K18" s="83">
        <v>0</v>
      </c>
      <c r="L18" s="30"/>
      <c r="M18" s="39"/>
    </row>
    <row r="19" spans="1:13" x14ac:dyDescent="0.2">
      <c r="A19" s="2" t="s">
        <v>94</v>
      </c>
      <c r="B19" s="2">
        <v>40</v>
      </c>
      <c r="C19" s="30"/>
      <c r="D19" s="64"/>
      <c r="E19" s="81"/>
      <c r="F19" s="30"/>
      <c r="G19" s="64"/>
      <c r="H19" s="92"/>
      <c r="I19" s="30"/>
      <c r="J19" s="65" t="s">
        <v>194</v>
      </c>
      <c r="K19" s="83">
        <v>0</v>
      </c>
      <c r="L19" s="30"/>
      <c r="M19" s="39"/>
    </row>
    <row r="20" spans="1:13" x14ac:dyDescent="0.2">
      <c r="A20" s="2" t="s">
        <v>87</v>
      </c>
      <c r="B20" s="18" t="str">
        <f ca="1">B18&amp;B16&amp;":"&amp;B18&amp;(B19+B16-1)</f>
        <v>G8:G47</v>
      </c>
      <c r="C20" s="30"/>
      <c r="D20" s="64"/>
      <c r="E20" s="81"/>
      <c r="F20" s="30"/>
      <c r="G20" s="64"/>
      <c r="H20" s="92"/>
      <c r="I20" s="30"/>
      <c r="J20" s="65" t="s">
        <v>195</v>
      </c>
      <c r="K20" s="83">
        <v>0</v>
      </c>
      <c r="L20" s="30"/>
      <c r="M20" s="39"/>
    </row>
    <row r="21" spans="1:13" x14ac:dyDescent="0.2">
      <c r="A21" s="2" t="s">
        <v>88</v>
      </c>
      <c r="B21" s="2">
        <f ca="1">COUNTA(INDIRECT(B20))</f>
        <v>7</v>
      </c>
      <c r="C21" s="30"/>
      <c r="D21" s="64"/>
      <c r="E21" s="81"/>
      <c r="F21" s="30"/>
      <c r="G21" s="64"/>
      <c r="H21" s="92"/>
      <c r="I21" s="30"/>
      <c r="J21" s="65" t="s">
        <v>196</v>
      </c>
      <c r="K21" s="83">
        <v>0</v>
      </c>
      <c r="L21" s="30"/>
      <c r="M21" s="39"/>
    </row>
    <row r="22" spans="1:13" ht="15" x14ac:dyDescent="0.25">
      <c r="A22" s="2" t="s">
        <v>89</v>
      </c>
      <c r="B22" s="19">
        <v>2</v>
      </c>
      <c r="C22" s="30"/>
      <c r="D22" s="64"/>
      <c r="E22" s="81"/>
      <c r="F22" s="30"/>
      <c r="G22" s="64"/>
      <c r="H22" s="92"/>
      <c r="I22" s="30"/>
      <c r="J22" s="65" t="s">
        <v>197</v>
      </c>
      <c r="K22" s="83">
        <v>0</v>
      </c>
      <c r="L22" s="30"/>
      <c r="M22" s="39"/>
    </row>
    <row r="23" spans="1:13" x14ac:dyDescent="0.2">
      <c r="A23" s="2" t="s">
        <v>90</v>
      </c>
      <c r="B23" s="18" t="str">
        <f ca="1">B18&amp;B16&amp;":"&amp;numbertoletter(B17+B22-1)&amp;(B16+B21-1)</f>
        <v>G8:H14</v>
      </c>
      <c r="C23" s="30"/>
      <c r="D23" s="64"/>
      <c r="E23" s="81"/>
      <c r="F23" s="30"/>
      <c r="G23" s="64"/>
      <c r="H23" s="92"/>
      <c r="I23" s="30"/>
      <c r="J23" s="65" t="s">
        <v>198</v>
      </c>
      <c r="K23" s="83">
        <v>0</v>
      </c>
      <c r="L23" s="30"/>
      <c r="M23" s="39"/>
    </row>
    <row r="24" spans="1:13" x14ac:dyDescent="0.2">
      <c r="C24" s="30"/>
      <c r="D24" s="64"/>
      <c r="E24" s="81"/>
      <c r="F24" s="30"/>
      <c r="G24" s="64"/>
      <c r="H24" s="92"/>
      <c r="I24" s="30"/>
      <c r="J24" s="65" t="s">
        <v>199</v>
      </c>
      <c r="K24" s="83">
        <v>0</v>
      </c>
      <c r="L24" s="30"/>
      <c r="M24" s="39"/>
    </row>
    <row r="25" spans="1:13" x14ac:dyDescent="0.2">
      <c r="A25" s="2" t="s">
        <v>101</v>
      </c>
      <c r="C25" s="30"/>
      <c r="D25" s="64"/>
      <c r="E25" s="81"/>
      <c r="F25" s="30"/>
      <c r="G25" s="64"/>
      <c r="H25" s="92"/>
      <c r="I25" s="30"/>
      <c r="J25" s="65" t="s">
        <v>200</v>
      </c>
      <c r="K25" s="83">
        <v>0</v>
      </c>
      <c r="L25" s="30"/>
      <c r="M25" s="39"/>
    </row>
    <row r="26" spans="1:13" x14ac:dyDescent="0.2">
      <c r="A26" s="2" t="s">
        <v>84</v>
      </c>
      <c r="B26" s="2">
        <f ca="1">ROW(INDIRECT("originRho"))</f>
        <v>8</v>
      </c>
      <c r="C26" s="30"/>
      <c r="D26" s="64"/>
      <c r="E26" s="81"/>
      <c r="F26" s="30"/>
      <c r="G26" s="64"/>
      <c r="H26" s="92"/>
      <c r="I26" s="30"/>
      <c r="J26" s="65" t="s">
        <v>201</v>
      </c>
      <c r="K26" s="83">
        <v>0</v>
      </c>
      <c r="L26" s="30"/>
      <c r="M26" s="39"/>
    </row>
    <row r="27" spans="1:13" x14ac:dyDescent="0.2">
      <c r="A27" s="2" t="s">
        <v>85</v>
      </c>
      <c r="B27" s="2">
        <f ca="1">COLUMN(INDIRECT("originRho"))</f>
        <v>10</v>
      </c>
      <c r="C27" s="30"/>
      <c r="D27" s="64"/>
      <c r="E27" s="81"/>
      <c r="F27" s="30"/>
      <c r="G27" s="64"/>
      <c r="H27" s="92"/>
      <c r="I27" s="30"/>
      <c r="J27" s="65" t="s">
        <v>202</v>
      </c>
      <c r="K27" s="83">
        <v>0</v>
      </c>
      <c r="L27" s="30"/>
      <c r="M27" s="39"/>
    </row>
    <row r="28" spans="1:13" x14ac:dyDescent="0.2">
      <c r="A28" s="2" t="s">
        <v>86</v>
      </c>
      <c r="B28" s="18" t="str">
        <f ca="1">numbertoletter(B27)</f>
        <v>J</v>
      </c>
      <c r="C28" s="30"/>
      <c r="D28" s="30"/>
      <c r="E28" s="30"/>
      <c r="F28" s="30"/>
      <c r="G28" s="64"/>
      <c r="H28" s="92"/>
      <c r="I28" s="30"/>
      <c r="J28" s="65" t="s">
        <v>203</v>
      </c>
      <c r="K28" s="83">
        <v>0</v>
      </c>
      <c r="L28" s="30"/>
      <c r="M28" s="39"/>
    </row>
    <row r="29" spans="1:13" x14ac:dyDescent="0.2">
      <c r="A29" s="2" t="s">
        <v>94</v>
      </c>
      <c r="B29" s="2">
        <f>B9*(B9-1)/2</f>
        <v>210</v>
      </c>
      <c r="C29" s="30"/>
      <c r="D29" s="30"/>
      <c r="E29" s="30"/>
      <c r="F29" s="30"/>
      <c r="G29" s="64"/>
      <c r="H29" s="81"/>
      <c r="I29" s="30"/>
      <c r="J29" s="65"/>
      <c r="K29" s="83"/>
      <c r="L29" s="30"/>
      <c r="M29" s="39"/>
    </row>
    <row r="30" spans="1:13" x14ac:dyDescent="0.2">
      <c r="A30" s="2" t="s">
        <v>87</v>
      </c>
      <c r="B30" s="18" t="str">
        <f ca="1">B28&amp;B26&amp;":"&amp;B28&amp;(B29+B26-1)</f>
        <v>J8:J217</v>
      </c>
      <c r="C30" s="30"/>
      <c r="D30" s="30"/>
      <c r="E30" s="30"/>
      <c r="F30" s="30"/>
      <c r="G30" s="64"/>
      <c r="H30" s="81"/>
      <c r="I30" s="30"/>
      <c r="J30" s="65"/>
      <c r="K30" s="83"/>
      <c r="L30" s="30"/>
      <c r="M30" s="39"/>
    </row>
    <row r="31" spans="1:13" x14ac:dyDescent="0.2">
      <c r="A31" s="2" t="s">
        <v>88</v>
      </c>
      <c r="B31" s="2">
        <f ca="1">COUNTA(INDIRECT(B30))</f>
        <v>21</v>
      </c>
      <c r="C31" s="30"/>
      <c r="D31" s="30"/>
      <c r="E31" s="30"/>
      <c r="F31" s="30"/>
      <c r="G31" s="64"/>
      <c r="H31" s="81"/>
      <c r="I31" s="30"/>
      <c r="J31" s="65"/>
      <c r="K31" s="83"/>
      <c r="L31" s="30"/>
      <c r="M31" s="39"/>
    </row>
    <row r="32" spans="1:13" ht="15" x14ac:dyDescent="0.25">
      <c r="A32" s="2" t="s">
        <v>89</v>
      </c>
      <c r="B32" s="19">
        <v>2</v>
      </c>
      <c r="C32" s="30"/>
      <c r="D32" s="30"/>
      <c r="E32" s="30"/>
      <c r="F32" s="30"/>
      <c r="G32" s="64"/>
      <c r="H32" s="81"/>
      <c r="I32" s="30"/>
      <c r="J32" s="65"/>
      <c r="K32" s="83"/>
      <c r="L32" s="30"/>
      <c r="M32" s="39"/>
    </row>
    <row r="33" spans="1:13" x14ac:dyDescent="0.2">
      <c r="A33" s="2" t="s">
        <v>90</v>
      </c>
      <c r="B33" s="18" t="str">
        <f ca="1">B28&amp;B26&amp;":"&amp;numbertoletter(B27+B32-1)&amp;(B26+B31-1)</f>
        <v>J8:K28</v>
      </c>
      <c r="C33" s="30"/>
      <c r="D33" s="30"/>
      <c r="E33" s="30"/>
      <c r="F33" s="30"/>
      <c r="G33" s="30"/>
      <c r="H33" s="30"/>
      <c r="I33" s="30"/>
      <c r="J33" s="65"/>
      <c r="K33" s="83"/>
      <c r="L33" s="30"/>
      <c r="M33" s="39"/>
    </row>
    <row r="34" spans="1:13" x14ac:dyDescent="0.2">
      <c r="C34" s="30"/>
      <c r="D34" s="30"/>
      <c r="E34" s="30"/>
      <c r="F34" s="30"/>
      <c r="G34" s="30"/>
      <c r="H34" s="30"/>
      <c r="I34" s="30"/>
      <c r="J34" s="65"/>
      <c r="K34" s="83"/>
      <c r="L34" s="30"/>
      <c r="M34" s="39"/>
    </row>
    <row r="35" spans="1:13" x14ac:dyDescent="0.2">
      <c r="C35" s="30"/>
      <c r="D35" s="30"/>
      <c r="E35" s="30"/>
      <c r="F35" s="30"/>
      <c r="G35" s="30"/>
      <c r="H35" s="30"/>
      <c r="I35" s="30"/>
      <c r="J35" s="65"/>
      <c r="K35" s="83"/>
      <c r="L35" s="30"/>
      <c r="M35" s="39"/>
    </row>
    <row r="36" spans="1:13" x14ac:dyDescent="0.2">
      <c r="C36" s="30"/>
      <c r="D36" s="30"/>
      <c r="E36" s="30"/>
      <c r="F36" s="30"/>
      <c r="G36" s="30"/>
      <c r="H36" s="30"/>
      <c r="I36" s="30"/>
      <c r="J36" s="65"/>
      <c r="K36" s="83"/>
      <c r="L36" s="30"/>
      <c r="M36" s="39"/>
    </row>
    <row r="37" spans="1:13" x14ac:dyDescent="0.2">
      <c r="C37" s="30"/>
      <c r="D37" s="30"/>
      <c r="E37" s="30"/>
      <c r="F37" s="30"/>
      <c r="G37" s="30"/>
      <c r="H37" s="30"/>
      <c r="I37" s="30"/>
      <c r="J37" s="65"/>
      <c r="K37" s="83"/>
      <c r="L37" s="30"/>
      <c r="M37" s="39"/>
    </row>
    <row r="38" spans="1:13" x14ac:dyDescent="0.2">
      <c r="C38" s="30"/>
      <c r="D38" s="30"/>
      <c r="E38" s="30"/>
      <c r="F38" s="30"/>
      <c r="G38" s="30"/>
      <c r="H38" s="30"/>
      <c r="I38" s="30"/>
      <c r="J38" s="65"/>
      <c r="K38" s="83"/>
      <c r="L38" s="30"/>
      <c r="M38" s="39"/>
    </row>
    <row r="39" spans="1:13" x14ac:dyDescent="0.2">
      <c r="C39" s="30"/>
      <c r="D39" s="30"/>
      <c r="E39" s="30"/>
      <c r="F39" s="30"/>
      <c r="G39" s="30"/>
      <c r="H39" s="30"/>
      <c r="I39" s="30"/>
      <c r="J39" s="65"/>
      <c r="K39" s="83"/>
      <c r="L39" s="30"/>
      <c r="M39" s="39"/>
    </row>
    <row r="40" spans="1:13" x14ac:dyDescent="0.2">
      <c r="C40" s="30"/>
      <c r="D40" s="30"/>
      <c r="E40" s="30"/>
      <c r="F40" s="30"/>
      <c r="G40" s="30"/>
      <c r="H40" s="30"/>
      <c r="I40" s="30"/>
      <c r="J40" s="65"/>
      <c r="K40" s="83"/>
      <c r="L40" s="30"/>
      <c r="M40" s="39"/>
    </row>
    <row r="41" spans="1:13" x14ac:dyDescent="0.2">
      <c r="C41" s="30"/>
      <c r="D41" s="30"/>
      <c r="E41" s="30"/>
      <c r="F41" s="30"/>
      <c r="G41" s="30"/>
      <c r="H41" s="30"/>
      <c r="I41" s="30"/>
      <c r="J41" s="65"/>
      <c r="K41" s="83"/>
      <c r="L41" s="30"/>
      <c r="M41" s="39"/>
    </row>
    <row r="42" spans="1:13" x14ac:dyDescent="0.2">
      <c r="C42" s="30"/>
      <c r="D42" s="30"/>
      <c r="E42" s="30"/>
      <c r="F42" s="30"/>
      <c r="G42" s="30"/>
      <c r="H42" s="30"/>
      <c r="I42" s="30"/>
      <c r="J42" s="65"/>
      <c r="K42" s="83"/>
      <c r="L42" s="30"/>
      <c r="M42" s="39"/>
    </row>
    <row r="43" spans="1:13" x14ac:dyDescent="0.2">
      <c r="C43" s="30"/>
      <c r="D43" s="30"/>
      <c r="E43" s="30"/>
      <c r="F43" s="30"/>
      <c r="G43" s="30"/>
      <c r="H43" s="30"/>
      <c r="I43" s="30"/>
      <c r="J43" s="65"/>
      <c r="K43" s="83"/>
      <c r="L43" s="30"/>
      <c r="M43" s="39"/>
    </row>
    <row r="44" spans="1:13" x14ac:dyDescent="0.2">
      <c r="C44" s="30"/>
      <c r="D44" s="30"/>
      <c r="E44" s="30"/>
      <c r="F44" s="30"/>
      <c r="G44" s="30"/>
      <c r="H44" s="30"/>
      <c r="I44" s="30"/>
      <c r="J44" s="65"/>
      <c r="K44" s="83"/>
      <c r="L44" s="30"/>
      <c r="M44" s="39"/>
    </row>
    <row r="45" spans="1:13" x14ac:dyDescent="0.2">
      <c r="C45" s="30"/>
      <c r="D45" s="30"/>
      <c r="E45" s="30"/>
      <c r="F45" s="30"/>
      <c r="G45" s="30"/>
      <c r="H45" s="30"/>
      <c r="I45" s="30"/>
      <c r="J45" s="65"/>
      <c r="K45" s="83"/>
      <c r="L45" s="30"/>
      <c r="M45" s="39"/>
    </row>
    <row r="46" spans="1:13" x14ac:dyDescent="0.2">
      <c r="C46" s="30"/>
      <c r="D46" s="30"/>
      <c r="E46" s="30"/>
      <c r="F46" s="30"/>
      <c r="G46" s="30"/>
      <c r="H46" s="30"/>
      <c r="I46" s="30"/>
      <c r="J46" s="65"/>
      <c r="K46" s="83"/>
      <c r="L46" s="30"/>
      <c r="M46" s="39"/>
    </row>
    <row r="47" spans="1:13" x14ac:dyDescent="0.2">
      <c r="C47" s="30"/>
      <c r="D47" s="30"/>
      <c r="E47" s="30"/>
      <c r="F47" s="30"/>
      <c r="G47" s="30"/>
      <c r="H47" s="30"/>
      <c r="I47" s="30"/>
      <c r="J47" s="65"/>
      <c r="K47" s="83"/>
      <c r="L47" s="30"/>
      <c r="M47" s="39"/>
    </row>
    <row r="48" spans="1:13" x14ac:dyDescent="0.2">
      <c r="A48" s="30"/>
      <c r="B48" s="30"/>
      <c r="C48" s="30"/>
      <c r="D48" s="30"/>
      <c r="E48" s="30"/>
      <c r="F48" s="30"/>
      <c r="G48" s="30"/>
      <c r="H48" s="30"/>
      <c r="I48" s="30"/>
      <c r="J48" s="65"/>
      <c r="K48" s="83"/>
      <c r="L48" s="30"/>
      <c r="M48" s="39"/>
    </row>
    <row r="49" spans="1:13" x14ac:dyDescent="0.2">
      <c r="A49" s="30"/>
      <c r="B49" s="30"/>
      <c r="C49" s="30"/>
      <c r="D49" s="30"/>
      <c r="E49" s="30"/>
      <c r="F49" s="30"/>
      <c r="G49" s="30"/>
      <c r="H49" s="30"/>
      <c r="I49" s="30"/>
      <c r="J49" s="65"/>
      <c r="K49" s="83"/>
      <c r="L49" s="30"/>
      <c r="M49" s="39"/>
    </row>
    <row r="50" spans="1:13" x14ac:dyDescent="0.2">
      <c r="A50" s="30"/>
      <c r="B50" s="30"/>
      <c r="C50" s="30"/>
      <c r="D50" s="30"/>
      <c r="E50" s="30"/>
      <c r="F50" s="30"/>
      <c r="G50" s="30"/>
      <c r="H50" s="30"/>
      <c r="I50" s="30"/>
      <c r="J50" s="65"/>
      <c r="K50" s="83"/>
      <c r="L50" s="30"/>
      <c r="M50" s="39"/>
    </row>
    <row r="51" spans="1:13" x14ac:dyDescent="0.2">
      <c r="A51" s="30"/>
      <c r="B51" s="30"/>
      <c r="C51" s="30"/>
      <c r="D51" s="30"/>
      <c r="E51" s="30"/>
      <c r="F51" s="30"/>
      <c r="G51" s="30"/>
      <c r="H51" s="30"/>
      <c r="I51" s="30"/>
      <c r="J51" s="65"/>
      <c r="K51" s="83"/>
      <c r="L51" s="30"/>
      <c r="M51" s="39"/>
    </row>
    <row r="52" spans="1:13" x14ac:dyDescent="0.2">
      <c r="A52" s="30"/>
      <c r="B52" s="30"/>
      <c r="C52" s="30"/>
      <c r="D52" s="30"/>
      <c r="E52" s="30"/>
      <c r="F52" s="30"/>
      <c r="G52" s="30"/>
      <c r="H52" s="30"/>
      <c r="I52" s="30"/>
      <c r="J52" s="65"/>
      <c r="K52" s="83"/>
      <c r="L52" s="30"/>
      <c r="M52" s="39"/>
    </row>
    <row r="53" spans="1:13" x14ac:dyDescent="0.2">
      <c r="A53" s="30"/>
      <c r="B53" s="30"/>
      <c r="C53" s="30"/>
      <c r="D53" s="30"/>
      <c r="E53" s="30"/>
      <c r="F53" s="30"/>
      <c r="G53" s="30"/>
      <c r="H53" s="30"/>
      <c r="I53" s="30"/>
      <c r="J53" s="65"/>
      <c r="K53" s="83"/>
      <c r="L53" s="30"/>
      <c r="M53" s="39"/>
    </row>
    <row r="54" spans="1:13" x14ac:dyDescent="0.2">
      <c r="A54" s="30"/>
      <c r="B54" s="30"/>
      <c r="C54" s="30"/>
      <c r="D54" s="30"/>
      <c r="E54" s="30"/>
      <c r="F54" s="30"/>
      <c r="G54" s="30"/>
      <c r="H54" s="30"/>
      <c r="I54" s="30"/>
      <c r="J54" s="65"/>
      <c r="K54" s="83"/>
      <c r="L54" s="30"/>
      <c r="M54" s="39"/>
    </row>
    <row r="55" spans="1:13" x14ac:dyDescent="0.2">
      <c r="A55" s="30"/>
      <c r="B55" s="30"/>
      <c r="C55" s="30"/>
      <c r="D55" s="30"/>
      <c r="E55" s="30"/>
      <c r="F55" s="30"/>
      <c r="G55" s="30"/>
      <c r="H55" s="30"/>
      <c r="I55" s="30"/>
      <c r="J55" s="65"/>
      <c r="K55" s="83"/>
      <c r="L55" s="30"/>
      <c r="M55" s="39"/>
    </row>
    <row r="56" spans="1:13" x14ac:dyDescent="0.2">
      <c r="A56" s="30"/>
      <c r="B56" s="30"/>
      <c r="C56" s="30"/>
      <c r="D56" s="30"/>
      <c r="E56" s="30"/>
      <c r="F56" s="30"/>
      <c r="G56" s="30"/>
      <c r="H56" s="30"/>
      <c r="I56" s="30"/>
      <c r="J56" s="65"/>
      <c r="K56" s="83"/>
      <c r="L56" s="30"/>
      <c r="M56" s="39"/>
    </row>
    <row r="57" spans="1:13" x14ac:dyDescent="0.2">
      <c r="A57" s="30"/>
      <c r="B57" s="30"/>
      <c r="C57" s="30"/>
      <c r="D57" s="30"/>
      <c r="E57" s="30"/>
      <c r="F57" s="30"/>
      <c r="G57" s="30"/>
      <c r="H57" s="30"/>
      <c r="I57" s="30"/>
      <c r="J57" s="65"/>
      <c r="K57" s="83"/>
      <c r="L57" s="30"/>
      <c r="M57" s="39"/>
    </row>
    <row r="58" spans="1:13" x14ac:dyDescent="0.2">
      <c r="A58" s="30"/>
      <c r="B58" s="30"/>
      <c r="C58" s="30"/>
      <c r="D58" s="30"/>
      <c r="E58" s="30"/>
      <c r="F58" s="30"/>
      <c r="G58" s="30"/>
      <c r="H58" s="30"/>
      <c r="I58" s="30"/>
      <c r="J58" s="65"/>
      <c r="K58" s="83"/>
      <c r="L58" s="30"/>
      <c r="M58" s="39"/>
    </row>
    <row r="59" spans="1:13" x14ac:dyDescent="0.2">
      <c r="A59" s="30"/>
      <c r="B59" s="30"/>
      <c r="C59" s="30"/>
      <c r="D59" s="30"/>
      <c r="E59" s="30"/>
      <c r="F59" s="30"/>
      <c r="G59" s="30"/>
      <c r="H59" s="30"/>
      <c r="I59" s="30"/>
      <c r="J59" s="65"/>
      <c r="K59" s="83"/>
      <c r="L59" s="30"/>
      <c r="M59" s="39"/>
    </row>
    <row r="60" spans="1:13" x14ac:dyDescent="0.2">
      <c r="A60" s="30"/>
      <c r="B60" s="30"/>
      <c r="C60" s="30"/>
      <c r="D60" s="30"/>
      <c r="E60" s="30"/>
      <c r="F60" s="30"/>
      <c r="G60" s="30"/>
      <c r="H60" s="30"/>
      <c r="I60" s="30"/>
      <c r="J60" s="65"/>
      <c r="K60" s="83"/>
      <c r="L60" s="30"/>
      <c r="M60" s="39"/>
    </row>
    <row r="61" spans="1:13" x14ac:dyDescent="0.2">
      <c r="A61" s="30"/>
      <c r="B61" s="30"/>
      <c r="C61" s="30"/>
      <c r="D61" s="30"/>
      <c r="E61" s="30"/>
      <c r="F61" s="30"/>
      <c r="G61" s="30"/>
      <c r="H61" s="30"/>
      <c r="I61" s="30"/>
      <c r="J61" s="65"/>
      <c r="K61" s="83"/>
      <c r="L61" s="30"/>
      <c r="M61" s="39"/>
    </row>
    <row r="62" spans="1:13" x14ac:dyDescent="0.2">
      <c r="A62" s="30"/>
      <c r="B62" s="30"/>
      <c r="C62" s="30"/>
      <c r="D62" s="30"/>
      <c r="E62" s="30"/>
      <c r="F62" s="30"/>
      <c r="G62" s="30"/>
      <c r="H62" s="30"/>
      <c r="I62" s="30"/>
      <c r="J62" s="65"/>
      <c r="K62" s="83"/>
      <c r="L62" s="30"/>
      <c r="M62" s="39"/>
    </row>
    <row r="63" spans="1:13" x14ac:dyDescent="0.2">
      <c r="A63" s="30"/>
      <c r="B63" s="30"/>
      <c r="C63" s="30"/>
      <c r="D63" s="30"/>
      <c r="E63" s="30"/>
      <c r="F63" s="30"/>
      <c r="G63" s="30"/>
      <c r="H63" s="30"/>
      <c r="I63" s="30"/>
      <c r="J63" s="65"/>
      <c r="K63" s="83"/>
      <c r="L63" s="30"/>
      <c r="M63" s="39"/>
    </row>
    <row r="64" spans="1:13" x14ac:dyDescent="0.2">
      <c r="A64" s="30"/>
      <c r="B64" s="30"/>
      <c r="C64" s="30"/>
      <c r="D64" s="30"/>
      <c r="E64" s="30"/>
      <c r="F64" s="30"/>
      <c r="G64" s="30"/>
      <c r="H64" s="30"/>
      <c r="I64" s="30"/>
      <c r="J64" s="65"/>
      <c r="K64" s="83"/>
      <c r="L64" s="30"/>
      <c r="M64" s="39"/>
    </row>
    <row r="65" spans="1:13" x14ac:dyDescent="0.2">
      <c r="A65" s="30"/>
      <c r="B65" s="30"/>
      <c r="C65" s="30"/>
      <c r="D65" s="30"/>
      <c r="E65" s="30"/>
      <c r="F65" s="30"/>
      <c r="G65" s="30"/>
      <c r="H65" s="30"/>
      <c r="I65" s="30"/>
      <c r="J65" s="65"/>
      <c r="K65" s="83"/>
      <c r="L65" s="30"/>
      <c r="M65" s="39"/>
    </row>
    <row r="66" spans="1:13" x14ac:dyDescent="0.2">
      <c r="A66" s="30"/>
      <c r="B66" s="30"/>
      <c r="C66" s="30"/>
      <c r="D66" s="30"/>
      <c r="E66" s="30"/>
      <c r="F66" s="30"/>
      <c r="G66" s="30"/>
      <c r="H66" s="30"/>
      <c r="I66" s="30"/>
      <c r="J66" s="65"/>
      <c r="K66" s="83"/>
      <c r="L66" s="30"/>
      <c r="M66" s="39"/>
    </row>
    <row r="67" spans="1:13" x14ac:dyDescent="0.2">
      <c r="A67" s="30"/>
      <c r="B67" s="30"/>
      <c r="C67" s="30"/>
      <c r="D67" s="30"/>
      <c r="E67" s="30"/>
      <c r="F67" s="30"/>
      <c r="G67" s="30"/>
      <c r="H67" s="30"/>
      <c r="I67" s="30"/>
      <c r="J67" s="65"/>
      <c r="K67" s="83"/>
      <c r="L67" s="30"/>
      <c r="M67" s="39"/>
    </row>
    <row r="68" spans="1:13" x14ac:dyDescent="0.2">
      <c r="A68" s="30"/>
      <c r="B68" s="30"/>
      <c r="C68" s="30"/>
      <c r="D68" s="30"/>
      <c r="E68" s="30"/>
      <c r="F68" s="30"/>
      <c r="G68" s="30"/>
      <c r="H68" s="30"/>
      <c r="I68" s="30"/>
      <c r="J68" s="65"/>
      <c r="K68" s="83"/>
      <c r="L68" s="30"/>
      <c r="M68" s="39"/>
    </row>
    <row r="69" spans="1:13" x14ac:dyDescent="0.2">
      <c r="A69" s="30"/>
      <c r="B69" s="30"/>
      <c r="C69" s="30"/>
      <c r="D69" s="30"/>
      <c r="E69" s="30"/>
      <c r="F69" s="30"/>
      <c r="G69" s="30"/>
      <c r="H69" s="30"/>
      <c r="I69" s="30"/>
      <c r="J69" s="65"/>
      <c r="K69" s="83"/>
      <c r="L69" s="30"/>
      <c r="M69" s="39"/>
    </row>
    <row r="70" spans="1:13" x14ac:dyDescent="0.2">
      <c r="A70" s="30"/>
      <c r="B70" s="30"/>
      <c r="C70" s="30"/>
      <c r="D70" s="30"/>
      <c r="E70" s="30"/>
      <c r="F70" s="30"/>
      <c r="G70" s="30"/>
      <c r="H70" s="30"/>
      <c r="I70" s="30"/>
      <c r="J70" s="65"/>
      <c r="K70" s="83"/>
      <c r="L70" s="30"/>
      <c r="M70" s="39"/>
    </row>
    <row r="71" spans="1:13" x14ac:dyDescent="0.2">
      <c r="A71" s="30"/>
      <c r="B71" s="30"/>
      <c r="C71" s="30"/>
      <c r="D71" s="30"/>
      <c r="E71" s="30"/>
      <c r="F71" s="30"/>
      <c r="G71" s="30"/>
      <c r="H71" s="30"/>
      <c r="I71" s="30"/>
      <c r="J71" s="65"/>
      <c r="K71" s="83"/>
      <c r="L71" s="30"/>
      <c r="M71" s="39"/>
    </row>
    <row r="72" spans="1:13" x14ac:dyDescent="0.2">
      <c r="A72" s="30"/>
      <c r="B72" s="30"/>
      <c r="C72" s="30"/>
      <c r="D72" s="30"/>
      <c r="E72" s="30"/>
      <c r="F72" s="30"/>
      <c r="G72" s="30"/>
      <c r="H72" s="30"/>
      <c r="I72" s="30"/>
      <c r="J72" s="65"/>
      <c r="K72" s="83"/>
      <c r="L72" s="30"/>
      <c r="M72" s="39"/>
    </row>
    <row r="73" spans="1:13" x14ac:dyDescent="0.2">
      <c r="A73" s="30"/>
      <c r="B73" s="30"/>
      <c r="C73" s="30"/>
      <c r="D73" s="30"/>
      <c r="E73" s="30"/>
      <c r="F73" s="30"/>
      <c r="G73" s="30"/>
      <c r="H73" s="30"/>
      <c r="I73" s="30"/>
      <c r="J73" s="65"/>
      <c r="K73" s="83"/>
      <c r="L73" s="30"/>
      <c r="M73" s="39"/>
    </row>
    <row r="74" spans="1:13" x14ac:dyDescent="0.2">
      <c r="A74" s="30"/>
      <c r="B74" s="30"/>
      <c r="C74" s="30"/>
      <c r="D74" s="30"/>
      <c r="E74" s="30"/>
      <c r="F74" s="30"/>
      <c r="G74" s="30"/>
      <c r="H74" s="30"/>
      <c r="I74" s="30"/>
      <c r="J74" s="65"/>
      <c r="K74" s="83"/>
      <c r="L74" s="30"/>
      <c r="M74" s="39"/>
    </row>
    <row r="75" spans="1:13" x14ac:dyDescent="0.2">
      <c r="A75" s="30"/>
      <c r="B75" s="30"/>
      <c r="C75" s="30"/>
      <c r="D75" s="30"/>
      <c r="E75" s="30"/>
      <c r="F75" s="30"/>
      <c r="G75" s="30"/>
      <c r="H75" s="30"/>
      <c r="I75" s="30"/>
      <c r="J75" s="65"/>
      <c r="K75" s="83"/>
      <c r="L75" s="30"/>
      <c r="M75" s="39"/>
    </row>
    <row r="76" spans="1:13" x14ac:dyDescent="0.2">
      <c r="A76" s="30"/>
      <c r="B76" s="30"/>
      <c r="C76" s="30"/>
      <c r="D76" s="30"/>
      <c r="E76" s="30"/>
      <c r="F76" s="30"/>
      <c r="G76" s="30"/>
      <c r="H76" s="30"/>
      <c r="I76" s="30"/>
      <c r="J76" s="65"/>
      <c r="K76" s="83"/>
      <c r="L76" s="30"/>
      <c r="M76" s="39"/>
    </row>
    <row r="77" spans="1:13" x14ac:dyDescent="0.2">
      <c r="A77" s="30"/>
      <c r="B77" s="30"/>
      <c r="C77" s="30"/>
      <c r="D77" s="30"/>
      <c r="E77" s="30"/>
      <c r="F77" s="30"/>
      <c r="G77" s="30"/>
      <c r="H77" s="30"/>
      <c r="I77" s="30"/>
      <c r="J77" s="65"/>
      <c r="K77" s="83"/>
      <c r="L77" s="30"/>
      <c r="M77" s="39"/>
    </row>
    <row r="78" spans="1:13" x14ac:dyDescent="0.2">
      <c r="A78" s="30"/>
      <c r="B78" s="30"/>
      <c r="C78" s="30"/>
      <c r="D78" s="30"/>
      <c r="E78" s="30"/>
      <c r="F78" s="30"/>
      <c r="G78" s="30"/>
      <c r="H78" s="30"/>
      <c r="I78" s="30"/>
      <c r="J78" s="65"/>
      <c r="K78" s="83"/>
      <c r="L78" s="30"/>
      <c r="M78" s="39"/>
    </row>
    <row r="79" spans="1:13" x14ac:dyDescent="0.2">
      <c r="A79" s="30"/>
      <c r="B79" s="30"/>
      <c r="C79" s="30"/>
      <c r="D79" s="30"/>
      <c r="E79" s="30"/>
      <c r="F79" s="30"/>
      <c r="G79" s="30"/>
      <c r="H79" s="30"/>
      <c r="I79" s="30"/>
      <c r="J79" s="65"/>
      <c r="K79" s="83"/>
      <c r="L79" s="30"/>
      <c r="M79" s="39"/>
    </row>
    <row r="80" spans="1:13" x14ac:dyDescent="0.2">
      <c r="A80" s="30"/>
      <c r="B80" s="30"/>
      <c r="C80" s="30"/>
      <c r="D80" s="30"/>
      <c r="E80" s="30"/>
      <c r="F80" s="30"/>
      <c r="G80" s="30"/>
      <c r="H80" s="30"/>
      <c r="I80" s="30"/>
      <c r="J80" s="65"/>
      <c r="K80" s="83"/>
      <c r="L80" s="30"/>
      <c r="M80" s="39"/>
    </row>
    <row r="81" spans="1:13" x14ac:dyDescent="0.2">
      <c r="A81" s="30"/>
      <c r="B81" s="30"/>
      <c r="C81" s="30"/>
      <c r="D81" s="30"/>
      <c r="E81" s="30"/>
      <c r="F81" s="30"/>
      <c r="G81" s="30"/>
      <c r="H81" s="30"/>
      <c r="I81" s="30"/>
      <c r="J81" s="65"/>
      <c r="K81" s="83"/>
      <c r="L81" s="30"/>
      <c r="M81" s="39"/>
    </row>
    <row r="82" spans="1:13" x14ac:dyDescent="0.2">
      <c r="A82" s="30"/>
      <c r="B82" s="30"/>
      <c r="C82" s="30"/>
      <c r="D82" s="30"/>
      <c r="E82" s="30"/>
      <c r="F82" s="30"/>
      <c r="G82" s="30"/>
      <c r="H82" s="30"/>
      <c r="I82" s="30"/>
      <c r="J82" s="65"/>
      <c r="K82" s="83"/>
      <c r="L82" s="30"/>
      <c r="M82" s="39"/>
    </row>
    <row r="83" spans="1:13" x14ac:dyDescent="0.2">
      <c r="A83" s="30"/>
      <c r="B83" s="30"/>
      <c r="C83" s="30"/>
      <c r="D83" s="30"/>
      <c r="E83" s="30"/>
      <c r="F83" s="30"/>
      <c r="G83" s="30"/>
      <c r="H83" s="30"/>
      <c r="I83" s="30"/>
      <c r="J83" s="65"/>
      <c r="K83" s="83"/>
      <c r="L83" s="30"/>
      <c r="M83" s="39"/>
    </row>
    <row r="84" spans="1:13" x14ac:dyDescent="0.2">
      <c r="A84" s="30"/>
      <c r="B84" s="30"/>
      <c r="C84" s="30"/>
      <c r="D84" s="30"/>
      <c r="E84" s="30"/>
      <c r="F84" s="30"/>
      <c r="G84" s="30"/>
      <c r="H84" s="30"/>
      <c r="I84" s="30"/>
      <c r="J84" s="65"/>
      <c r="K84" s="83"/>
      <c r="L84" s="30"/>
      <c r="M84" s="39"/>
    </row>
    <row r="85" spans="1:13" x14ac:dyDescent="0.2">
      <c r="A85" s="30"/>
      <c r="B85" s="30"/>
      <c r="C85" s="30"/>
      <c r="D85" s="30"/>
      <c r="E85" s="30"/>
      <c r="F85" s="30"/>
      <c r="G85" s="30"/>
      <c r="H85" s="30"/>
      <c r="I85" s="30"/>
      <c r="J85" s="65"/>
      <c r="K85" s="83"/>
      <c r="L85" s="30"/>
      <c r="M85" s="39"/>
    </row>
    <row r="86" spans="1:13" x14ac:dyDescent="0.2">
      <c r="A86" s="30"/>
      <c r="B86" s="30"/>
      <c r="C86" s="30"/>
      <c r="D86" s="30"/>
      <c r="E86" s="30"/>
      <c r="F86" s="30"/>
      <c r="G86" s="30"/>
      <c r="H86" s="30"/>
      <c r="I86" s="30"/>
      <c r="J86" s="65"/>
      <c r="K86" s="83"/>
      <c r="L86" s="30"/>
      <c r="M86" s="39"/>
    </row>
    <row r="87" spans="1:13" x14ac:dyDescent="0.2">
      <c r="A87" s="30"/>
      <c r="B87" s="30"/>
      <c r="C87" s="30"/>
      <c r="D87" s="30"/>
      <c r="E87" s="30"/>
      <c r="F87" s="30"/>
      <c r="G87" s="30"/>
      <c r="H87" s="30"/>
      <c r="I87" s="30"/>
      <c r="J87" s="65"/>
      <c r="K87" s="83"/>
      <c r="L87" s="30"/>
      <c r="M87" s="39"/>
    </row>
    <row r="88" spans="1:13" x14ac:dyDescent="0.2">
      <c r="A88" s="30"/>
      <c r="B88" s="30"/>
      <c r="C88" s="30"/>
      <c r="D88" s="30"/>
      <c r="E88" s="30"/>
      <c r="F88" s="30"/>
      <c r="G88" s="30"/>
      <c r="H88" s="30"/>
      <c r="I88" s="30"/>
      <c r="J88" s="65"/>
      <c r="K88" s="83"/>
      <c r="L88" s="30"/>
      <c r="M88" s="39"/>
    </row>
    <row r="89" spans="1:13" x14ac:dyDescent="0.2">
      <c r="A89" s="30"/>
      <c r="B89" s="30"/>
      <c r="C89" s="30"/>
      <c r="D89" s="30"/>
      <c r="E89" s="30"/>
      <c r="F89" s="30"/>
      <c r="G89" s="30"/>
      <c r="H89" s="30"/>
      <c r="I89" s="30"/>
      <c r="J89" s="65"/>
      <c r="K89" s="83"/>
      <c r="L89" s="30"/>
      <c r="M89" s="39"/>
    </row>
    <row r="90" spans="1:13" x14ac:dyDescent="0.2">
      <c r="A90" s="30"/>
      <c r="B90" s="30"/>
      <c r="C90" s="30"/>
      <c r="D90" s="30"/>
      <c r="E90" s="30"/>
      <c r="F90" s="30"/>
      <c r="G90" s="30"/>
      <c r="H90" s="30"/>
      <c r="I90" s="30"/>
      <c r="J90" s="65"/>
      <c r="K90" s="83"/>
      <c r="L90" s="30"/>
      <c r="M90" s="39"/>
    </row>
    <row r="91" spans="1:13" x14ac:dyDescent="0.2">
      <c r="A91" s="30"/>
      <c r="B91" s="30"/>
      <c r="C91" s="30"/>
      <c r="D91" s="30"/>
      <c r="E91" s="30"/>
      <c r="F91" s="30"/>
      <c r="G91" s="30"/>
      <c r="H91" s="30"/>
      <c r="I91" s="30"/>
      <c r="J91" s="65"/>
      <c r="K91" s="83"/>
      <c r="L91" s="30"/>
      <c r="M91" s="39"/>
    </row>
    <row r="92" spans="1:13" x14ac:dyDescent="0.2">
      <c r="A92" s="30"/>
      <c r="B92" s="30"/>
      <c r="C92" s="30"/>
      <c r="D92" s="30"/>
      <c r="E92" s="30"/>
      <c r="F92" s="30"/>
      <c r="G92" s="30"/>
      <c r="H92" s="30"/>
      <c r="I92" s="30"/>
      <c r="J92" s="65"/>
      <c r="K92" s="83"/>
      <c r="L92" s="30"/>
      <c r="M92" s="39"/>
    </row>
    <row r="93" spans="1:13" x14ac:dyDescent="0.2">
      <c r="A93" s="30"/>
      <c r="B93" s="30"/>
      <c r="C93" s="30"/>
      <c r="D93" s="30"/>
      <c r="E93" s="30"/>
      <c r="F93" s="30"/>
      <c r="G93" s="30"/>
      <c r="H93" s="30"/>
      <c r="I93" s="30"/>
      <c r="J93" s="65"/>
      <c r="K93" s="83"/>
      <c r="L93" s="30"/>
      <c r="M93" s="39"/>
    </row>
    <row r="94" spans="1:13" x14ac:dyDescent="0.2">
      <c r="A94" s="30"/>
      <c r="B94" s="30"/>
      <c r="C94" s="30"/>
      <c r="D94" s="30"/>
      <c r="E94" s="30"/>
      <c r="F94" s="30"/>
      <c r="G94" s="30"/>
      <c r="H94" s="30"/>
      <c r="I94" s="30"/>
      <c r="J94" s="65"/>
      <c r="K94" s="83"/>
      <c r="L94" s="30"/>
      <c r="M94" s="39"/>
    </row>
    <row r="95" spans="1:13" x14ac:dyDescent="0.2">
      <c r="A95" s="30"/>
      <c r="B95" s="30"/>
      <c r="C95" s="30"/>
      <c r="D95" s="30"/>
      <c r="E95" s="30"/>
      <c r="F95" s="30"/>
      <c r="G95" s="30"/>
      <c r="H95" s="30"/>
      <c r="I95" s="30"/>
      <c r="J95" s="65"/>
      <c r="K95" s="83"/>
      <c r="L95" s="30"/>
      <c r="M95" s="39"/>
    </row>
    <row r="96" spans="1:13" x14ac:dyDescent="0.2">
      <c r="A96" s="30"/>
      <c r="B96" s="30"/>
      <c r="C96" s="30"/>
      <c r="D96" s="30"/>
      <c r="E96" s="30"/>
      <c r="F96" s="30"/>
      <c r="G96" s="30"/>
      <c r="H96" s="30"/>
      <c r="I96" s="30"/>
      <c r="J96" s="65"/>
      <c r="K96" s="83"/>
      <c r="L96" s="30"/>
      <c r="M96" s="39"/>
    </row>
    <row r="97" spans="1:13" x14ac:dyDescent="0.2">
      <c r="A97" s="30"/>
      <c r="B97" s="30"/>
      <c r="C97" s="30"/>
      <c r="D97" s="30"/>
      <c r="E97" s="30"/>
      <c r="F97" s="30"/>
      <c r="G97" s="30"/>
      <c r="H97" s="30"/>
      <c r="I97" s="30"/>
      <c r="J97" s="65"/>
      <c r="K97" s="83"/>
      <c r="L97" s="30"/>
      <c r="M97" s="39"/>
    </row>
    <row r="98" spans="1:13" x14ac:dyDescent="0.2">
      <c r="A98" s="30"/>
      <c r="B98" s="30"/>
      <c r="C98" s="30"/>
      <c r="D98" s="30"/>
      <c r="E98" s="30"/>
      <c r="F98" s="30"/>
      <c r="G98" s="30"/>
      <c r="H98" s="30"/>
      <c r="I98" s="30"/>
      <c r="J98" s="65"/>
      <c r="K98" s="83"/>
      <c r="L98" s="30"/>
      <c r="M98" s="39"/>
    </row>
    <row r="99" spans="1:13" x14ac:dyDescent="0.2">
      <c r="A99" s="30"/>
      <c r="B99" s="30"/>
      <c r="C99" s="30"/>
      <c r="D99" s="30"/>
      <c r="E99" s="30"/>
      <c r="F99" s="30"/>
      <c r="G99" s="30"/>
      <c r="H99" s="30"/>
      <c r="I99" s="30"/>
      <c r="J99" s="65"/>
      <c r="K99" s="83"/>
      <c r="L99" s="30"/>
      <c r="M99" s="39"/>
    </row>
    <row r="100" spans="1:13" x14ac:dyDescent="0.2">
      <c r="A100" s="30"/>
      <c r="B100" s="30"/>
      <c r="C100" s="30"/>
      <c r="D100" s="30"/>
      <c r="E100" s="30"/>
      <c r="F100" s="30"/>
      <c r="G100" s="30"/>
      <c r="H100" s="30"/>
      <c r="I100" s="30"/>
      <c r="J100" s="65"/>
      <c r="K100" s="83"/>
      <c r="L100" s="30"/>
      <c r="M100" s="39"/>
    </row>
    <row r="101" spans="1:13" x14ac:dyDescent="0.2">
      <c r="A101" s="30"/>
      <c r="B101" s="30"/>
      <c r="C101" s="30"/>
      <c r="D101" s="30"/>
      <c r="E101" s="30"/>
      <c r="F101" s="30"/>
      <c r="G101" s="30"/>
      <c r="H101" s="30"/>
      <c r="I101" s="30"/>
      <c r="J101" s="65"/>
      <c r="K101" s="83"/>
      <c r="L101" s="30"/>
      <c r="M101" s="39"/>
    </row>
    <row r="102" spans="1:13" x14ac:dyDescent="0.2">
      <c r="A102" s="30"/>
      <c r="B102" s="30"/>
      <c r="C102" s="30"/>
      <c r="D102" s="30"/>
      <c r="E102" s="30"/>
      <c r="F102" s="30"/>
      <c r="G102" s="30"/>
      <c r="H102" s="30"/>
      <c r="I102" s="30"/>
      <c r="J102" s="65"/>
      <c r="K102" s="83"/>
      <c r="L102" s="30"/>
      <c r="M102" s="39"/>
    </row>
    <row r="103" spans="1:13" x14ac:dyDescent="0.2">
      <c r="A103" s="30"/>
      <c r="B103" s="30"/>
      <c r="C103" s="30"/>
      <c r="D103" s="30"/>
      <c r="E103" s="30"/>
      <c r="F103" s="30"/>
      <c r="G103" s="30"/>
      <c r="H103" s="30"/>
      <c r="I103" s="30"/>
      <c r="J103" s="65"/>
      <c r="K103" s="83"/>
      <c r="L103" s="30"/>
      <c r="M103" s="39"/>
    </row>
    <row r="104" spans="1:13" x14ac:dyDescent="0.2">
      <c r="A104" s="30"/>
      <c r="B104" s="30"/>
      <c r="C104" s="30"/>
      <c r="D104" s="30"/>
      <c r="E104" s="30"/>
      <c r="F104" s="30"/>
      <c r="G104" s="30"/>
      <c r="H104" s="30"/>
      <c r="I104" s="30"/>
      <c r="J104" s="65"/>
      <c r="K104" s="83"/>
      <c r="L104" s="30"/>
      <c r="M104" s="39"/>
    </row>
    <row r="105" spans="1:13" x14ac:dyDescent="0.2">
      <c r="A105" s="30"/>
      <c r="B105" s="30"/>
      <c r="C105" s="30"/>
      <c r="D105" s="30"/>
      <c r="E105" s="30"/>
      <c r="F105" s="30"/>
      <c r="G105" s="30"/>
      <c r="H105" s="30"/>
      <c r="I105" s="30"/>
      <c r="J105" s="65"/>
      <c r="K105" s="83"/>
      <c r="L105" s="30"/>
      <c r="M105" s="39"/>
    </row>
    <row r="106" spans="1:13" x14ac:dyDescent="0.2">
      <c r="A106" s="30"/>
      <c r="B106" s="30"/>
      <c r="C106" s="30"/>
      <c r="D106" s="30"/>
      <c r="E106" s="30"/>
      <c r="F106" s="30"/>
      <c r="G106" s="30"/>
      <c r="H106" s="30"/>
      <c r="I106" s="30"/>
      <c r="J106" s="65"/>
      <c r="K106" s="83"/>
      <c r="L106" s="30"/>
      <c r="M106" s="39"/>
    </row>
    <row r="107" spans="1:13" x14ac:dyDescent="0.2">
      <c r="A107" s="30"/>
      <c r="B107" s="30"/>
      <c r="C107" s="30"/>
      <c r="D107" s="30"/>
      <c r="E107" s="30"/>
      <c r="F107" s="30"/>
      <c r="G107" s="30"/>
      <c r="H107" s="30"/>
      <c r="I107" s="30"/>
      <c r="J107" s="65"/>
      <c r="K107" s="83"/>
      <c r="L107" s="30"/>
      <c r="M107" s="39"/>
    </row>
    <row r="108" spans="1:13" x14ac:dyDescent="0.2">
      <c r="A108" s="30"/>
      <c r="B108" s="30"/>
      <c r="C108" s="30"/>
      <c r="D108" s="30"/>
      <c r="E108" s="30"/>
      <c r="F108" s="30"/>
      <c r="G108" s="30"/>
      <c r="H108" s="30"/>
      <c r="I108" s="30"/>
      <c r="J108" s="65"/>
      <c r="K108" s="83"/>
      <c r="L108" s="30"/>
      <c r="M108" s="39"/>
    </row>
    <row r="109" spans="1:13" x14ac:dyDescent="0.2">
      <c r="A109" s="30"/>
      <c r="B109" s="30"/>
      <c r="C109" s="30"/>
      <c r="D109" s="30"/>
      <c r="E109" s="30"/>
      <c r="F109" s="30"/>
      <c r="G109" s="30"/>
      <c r="H109" s="30"/>
      <c r="I109" s="30"/>
      <c r="J109" s="65"/>
      <c r="K109" s="83"/>
      <c r="L109" s="30"/>
      <c r="M109" s="39"/>
    </row>
    <row r="110" spans="1:13" x14ac:dyDescent="0.2">
      <c r="A110" s="30"/>
      <c r="B110" s="30"/>
      <c r="C110" s="30"/>
      <c r="D110" s="30"/>
      <c r="E110" s="30"/>
      <c r="F110" s="30"/>
      <c r="G110" s="30"/>
      <c r="H110" s="30"/>
      <c r="I110" s="30"/>
      <c r="J110" s="65"/>
      <c r="K110" s="83"/>
      <c r="L110" s="30"/>
      <c r="M110" s="39"/>
    </row>
    <row r="111" spans="1:13" x14ac:dyDescent="0.2">
      <c r="A111" s="30"/>
      <c r="B111" s="30"/>
      <c r="C111" s="30"/>
      <c r="D111" s="30"/>
      <c r="E111" s="30"/>
      <c r="F111" s="30"/>
      <c r="G111" s="30"/>
      <c r="H111" s="30"/>
      <c r="I111" s="30"/>
      <c r="J111" s="65"/>
      <c r="K111" s="83"/>
      <c r="L111" s="30"/>
      <c r="M111" s="39"/>
    </row>
    <row r="112" spans="1:13" x14ac:dyDescent="0.2">
      <c r="A112" s="30"/>
      <c r="B112" s="30"/>
      <c r="C112" s="30"/>
      <c r="D112" s="30"/>
      <c r="E112" s="30"/>
      <c r="F112" s="30"/>
      <c r="G112" s="30"/>
      <c r="H112" s="30"/>
      <c r="I112" s="30"/>
      <c r="J112" s="65"/>
      <c r="K112" s="83"/>
      <c r="L112" s="30"/>
      <c r="M112" s="39"/>
    </row>
    <row r="113" spans="1:13" x14ac:dyDescent="0.2">
      <c r="A113" s="30"/>
      <c r="B113" s="30"/>
      <c r="C113" s="30"/>
      <c r="D113" s="30"/>
      <c r="E113" s="30"/>
      <c r="F113" s="30"/>
      <c r="G113" s="30"/>
      <c r="H113" s="30"/>
      <c r="I113" s="30"/>
      <c r="J113" s="65"/>
      <c r="K113" s="83"/>
      <c r="L113" s="30"/>
      <c r="M113" s="39"/>
    </row>
    <row r="114" spans="1:13" x14ac:dyDescent="0.2">
      <c r="A114" s="30"/>
      <c r="B114" s="30"/>
      <c r="C114" s="30"/>
      <c r="D114" s="30"/>
      <c r="E114" s="30"/>
      <c r="F114" s="30"/>
      <c r="G114" s="30"/>
      <c r="H114" s="30"/>
      <c r="I114" s="30"/>
      <c r="J114" s="65"/>
      <c r="K114" s="83"/>
      <c r="L114" s="30"/>
      <c r="M114" s="39"/>
    </row>
    <row r="115" spans="1:13" x14ac:dyDescent="0.2">
      <c r="A115" s="30"/>
      <c r="B115" s="30"/>
      <c r="C115" s="30"/>
      <c r="D115" s="30"/>
      <c r="E115" s="30"/>
      <c r="F115" s="30"/>
      <c r="G115" s="30"/>
      <c r="H115" s="30"/>
      <c r="I115" s="30"/>
      <c r="J115" s="65"/>
      <c r="K115" s="83"/>
      <c r="L115" s="30"/>
      <c r="M115" s="39"/>
    </row>
    <row r="116" spans="1:13" x14ac:dyDescent="0.2">
      <c r="A116" s="30"/>
      <c r="B116" s="30"/>
      <c r="C116" s="30"/>
      <c r="D116" s="30"/>
      <c r="E116" s="30"/>
      <c r="F116" s="30"/>
      <c r="G116" s="30"/>
      <c r="H116" s="30"/>
      <c r="I116" s="30"/>
      <c r="J116" s="65"/>
      <c r="K116" s="83"/>
      <c r="L116" s="30"/>
      <c r="M116" s="39"/>
    </row>
    <row r="117" spans="1:13" x14ac:dyDescent="0.2">
      <c r="A117" s="30"/>
      <c r="B117" s="30"/>
      <c r="C117" s="30"/>
      <c r="D117" s="30"/>
      <c r="E117" s="30"/>
      <c r="F117" s="30"/>
      <c r="G117" s="30"/>
      <c r="H117" s="30"/>
      <c r="I117" s="30"/>
      <c r="J117" s="65"/>
      <c r="K117" s="83"/>
      <c r="L117" s="30"/>
      <c r="M117" s="39"/>
    </row>
    <row r="118" spans="1:13" x14ac:dyDescent="0.2">
      <c r="A118" s="30"/>
      <c r="B118" s="30"/>
      <c r="C118" s="30"/>
      <c r="D118" s="30"/>
      <c r="E118" s="30"/>
      <c r="F118" s="30"/>
      <c r="G118" s="30"/>
      <c r="H118" s="30"/>
      <c r="I118" s="30"/>
      <c r="J118" s="65"/>
      <c r="K118" s="83"/>
      <c r="L118" s="30"/>
      <c r="M118" s="39"/>
    </row>
    <row r="119" spans="1:13" x14ac:dyDescent="0.2">
      <c r="A119" s="30"/>
      <c r="B119" s="30"/>
      <c r="C119" s="30"/>
      <c r="D119" s="30"/>
      <c r="E119" s="30"/>
      <c r="F119" s="30"/>
      <c r="G119" s="30"/>
      <c r="H119" s="30"/>
      <c r="I119" s="30"/>
      <c r="J119" s="65"/>
      <c r="K119" s="83"/>
      <c r="L119" s="30"/>
      <c r="M119" s="39"/>
    </row>
    <row r="120" spans="1:13" x14ac:dyDescent="0.2">
      <c r="A120" s="30"/>
      <c r="B120" s="30"/>
      <c r="C120" s="30"/>
      <c r="D120" s="30"/>
      <c r="E120" s="30"/>
      <c r="F120" s="30"/>
      <c r="G120" s="30"/>
      <c r="H120" s="30"/>
      <c r="I120" s="30"/>
      <c r="J120" s="65"/>
      <c r="K120" s="83"/>
      <c r="L120" s="30"/>
      <c r="M120" s="39"/>
    </row>
    <row r="121" spans="1:13" x14ac:dyDescent="0.2">
      <c r="A121" s="30"/>
      <c r="B121" s="30"/>
      <c r="C121" s="30"/>
      <c r="D121" s="30"/>
      <c r="E121" s="30"/>
      <c r="F121" s="30"/>
      <c r="G121" s="30"/>
      <c r="H121" s="30"/>
      <c r="I121" s="30"/>
      <c r="J121" s="65"/>
      <c r="K121" s="83"/>
      <c r="L121" s="30"/>
      <c r="M121" s="39"/>
    </row>
    <row r="122" spans="1:13" x14ac:dyDescent="0.2">
      <c r="A122" s="30"/>
      <c r="B122" s="30"/>
      <c r="C122" s="30"/>
      <c r="D122" s="30"/>
      <c r="E122" s="30"/>
      <c r="F122" s="30"/>
      <c r="G122" s="30"/>
      <c r="H122" s="30"/>
      <c r="I122" s="30"/>
      <c r="J122" s="65"/>
      <c r="K122" s="83"/>
      <c r="L122" s="30"/>
      <c r="M122" s="39"/>
    </row>
    <row r="123" spans="1:13" x14ac:dyDescent="0.2">
      <c r="A123" s="30"/>
      <c r="B123" s="30"/>
      <c r="C123" s="30"/>
      <c r="D123" s="30"/>
      <c r="E123" s="30"/>
      <c r="F123" s="30"/>
      <c r="G123" s="30"/>
      <c r="H123" s="30"/>
      <c r="I123" s="30"/>
      <c r="J123" s="65"/>
      <c r="K123" s="83"/>
      <c r="L123" s="30"/>
      <c r="M123" s="39"/>
    </row>
    <row r="124" spans="1:13" x14ac:dyDescent="0.2">
      <c r="A124" s="30"/>
      <c r="B124" s="30"/>
      <c r="C124" s="30"/>
      <c r="D124" s="30"/>
      <c r="E124" s="30"/>
      <c r="F124" s="30"/>
      <c r="G124" s="30"/>
      <c r="H124" s="30"/>
      <c r="I124" s="30"/>
      <c r="J124" s="65"/>
      <c r="K124" s="83"/>
      <c r="L124" s="30"/>
      <c r="M124" s="39"/>
    </row>
    <row r="125" spans="1:13" x14ac:dyDescent="0.2">
      <c r="A125" s="30"/>
      <c r="B125" s="30"/>
      <c r="C125" s="30"/>
      <c r="D125" s="30"/>
      <c r="E125" s="30"/>
      <c r="F125" s="30"/>
      <c r="G125" s="30"/>
      <c r="H125" s="30"/>
      <c r="I125" s="30"/>
      <c r="J125" s="65"/>
      <c r="K125" s="83"/>
      <c r="L125" s="30"/>
      <c r="M125" s="39"/>
    </row>
    <row r="126" spans="1:13" x14ac:dyDescent="0.2">
      <c r="A126" s="30"/>
      <c r="B126" s="30"/>
      <c r="C126" s="30"/>
      <c r="D126" s="30"/>
      <c r="E126" s="30"/>
      <c r="F126" s="30"/>
      <c r="G126" s="30"/>
      <c r="H126" s="30"/>
      <c r="I126" s="30"/>
      <c r="J126" s="65"/>
      <c r="K126" s="83"/>
      <c r="L126" s="30"/>
      <c r="M126" s="39"/>
    </row>
    <row r="127" spans="1:13" x14ac:dyDescent="0.2">
      <c r="A127" s="30"/>
      <c r="B127" s="30"/>
      <c r="C127" s="30"/>
      <c r="D127" s="30"/>
      <c r="E127" s="30"/>
      <c r="F127" s="30"/>
      <c r="G127" s="30"/>
      <c r="H127" s="30"/>
      <c r="I127" s="30"/>
      <c r="J127" s="65"/>
      <c r="K127" s="83"/>
      <c r="L127" s="30"/>
      <c r="M127" s="39"/>
    </row>
    <row r="128" spans="1:13" x14ac:dyDescent="0.2">
      <c r="A128" s="30"/>
      <c r="B128" s="30"/>
      <c r="C128" s="30"/>
      <c r="D128" s="30"/>
      <c r="E128" s="30"/>
      <c r="F128" s="30"/>
      <c r="G128" s="30"/>
      <c r="H128" s="30"/>
      <c r="I128" s="30"/>
      <c r="J128" s="65"/>
      <c r="K128" s="83"/>
      <c r="L128" s="30"/>
      <c r="M128" s="39"/>
    </row>
    <row r="129" spans="1:13" x14ac:dyDescent="0.2">
      <c r="A129" s="30"/>
      <c r="B129" s="30"/>
      <c r="C129" s="30"/>
      <c r="D129" s="30"/>
      <c r="E129" s="30"/>
      <c r="F129" s="30"/>
      <c r="G129" s="30"/>
      <c r="H129" s="30"/>
      <c r="I129" s="30"/>
      <c r="J129" s="65"/>
      <c r="K129" s="83"/>
      <c r="L129" s="30"/>
      <c r="M129" s="39"/>
    </row>
    <row r="130" spans="1:13" x14ac:dyDescent="0.2">
      <c r="A130" s="30"/>
      <c r="B130" s="30"/>
      <c r="C130" s="30"/>
      <c r="D130" s="30"/>
      <c r="E130" s="30"/>
      <c r="F130" s="30"/>
      <c r="G130" s="30"/>
      <c r="H130" s="30"/>
      <c r="I130" s="30"/>
      <c r="J130" s="65"/>
      <c r="K130" s="83"/>
      <c r="L130" s="30"/>
      <c r="M130" s="39"/>
    </row>
    <row r="131" spans="1:13" x14ac:dyDescent="0.2">
      <c r="A131" s="30"/>
      <c r="B131" s="30"/>
      <c r="C131" s="30"/>
      <c r="D131" s="30"/>
      <c r="E131" s="30"/>
      <c r="F131" s="30"/>
      <c r="G131" s="30"/>
      <c r="H131" s="30"/>
      <c r="I131" s="30"/>
      <c r="J131" s="65"/>
      <c r="K131" s="83"/>
      <c r="L131" s="30"/>
      <c r="M131" s="39"/>
    </row>
    <row r="132" spans="1:13" x14ac:dyDescent="0.2">
      <c r="A132" s="30"/>
      <c r="B132" s="30"/>
      <c r="C132" s="30"/>
      <c r="D132" s="30"/>
      <c r="E132" s="30"/>
      <c r="F132" s="30"/>
      <c r="G132" s="30"/>
      <c r="H132" s="30"/>
      <c r="I132" s="30"/>
      <c r="J132" s="65"/>
      <c r="K132" s="83"/>
      <c r="L132" s="30"/>
      <c r="M132" s="39"/>
    </row>
    <row r="133" spans="1:13" x14ac:dyDescent="0.2">
      <c r="A133" s="30"/>
      <c r="B133" s="30"/>
      <c r="C133" s="30"/>
      <c r="D133" s="30"/>
      <c r="E133" s="30"/>
      <c r="F133" s="30"/>
      <c r="G133" s="30"/>
      <c r="H133" s="30"/>
      <c r="I133" s="30"/>
      <c r="J133" s="65"/>
      <c r="K133" s="83"/>
      <c r="L133" s="30"/>
      <c r="M133" s="39"/>
    </row>
    <row r="134" spans="1:13" x14ac:dyDescent="0.2">
      <c r="A134" s="30"/>
      <c r="B134" s="30"/>
      <c r="C134" s="30"/>
      <c r="D134" s="30"/>
      <c r="E134" s="30"/>
      <c r="F134" s="30"/>
      <c r="G134" s="30"/>
      <c r="H134" s="30"/>
      <c r="I134" s="30"/>
      <c r="J134" s="65"/>
      <c r="K134" s="83"/>
      <c r="L134" s="30"/>
      <c r="M134" s="39"/>
    </row>
    <row r="135" spans="1:13" x14ac:dyDescent="0.2">
      <c r="A135" s="30"/>
      <c r="B135" s="30"/>
      <c r="C135" s="30"/>
      <c r="D135" s="30"/>
      <c r="E135" s="30"/>
      <c r="F135" s="30"/>
      <c r="G135" s="30"/>
      <c r="H135" s="30"/>
      <c r="I135" s="30"/>
      <c r="J135" s="65"/>
      <c r="K135" s="83"/>
      <c r="L135" s="30"/>
      <c r="M135" s="39"/>
    </row>
    <row r="136" spans="1:13" x14ac:dyDescent="0.2">
      <c r="A136" s="30"/>
      <c r="B136" s="30"/>
      <c r="C136" s="30"/>
      <c r="D136" s="30"/>
      <c r="E136" s="30"/>
      <c r="F136" s="30"/>
      <c r="G136" s="30"/>
      <c r="H136" s="30"/>
      <c r="I136" s="30"/>
      <c r="J136" s="65"/>
      <c r="K136" s="83"/>
      <c r="L136" s="30"/>
      <c r="M136" s="39"/>
    </row>
    <row r="137" spans="1:13" x14ac:dyDescent="0.2">
      <c r="A137" s="30"/>
      <c r="B137" s="30"/>
      <c r="C137" s="30"/>
      <c r="D137" s="30"/>
      <c r="E137" s="30"/>
      <c r="F137" s="30"/>
      <c r="G137" s="30"/>
      <c r="H137" s="30"/>
      <c r="I137" s="30"/>
      <c r="J137" s="65"/>
      <c r="K137" s="83"/>
      <c r="L137" s="30"/>
      <c r="M137" s="39"/>
    </row>
    <row r="138" spans="1:13" x14ac:dyDescent="0.2">
      <c r="A138" s="30"/>
      <c r="B138" s="30"/>
      <c r="C138" s="30"/>
      <c r="D138" s="30"/>
      <c r="E138" s="30"/>
      <c r="F138" s="30"/>
      <c r="G138" s="30"/>
      <c r="H138" s="30"/>
      <c r="I138" s="30"/>
      <c r="J138" s="65"/>
      <c r="K138" s="83"/>
      <c r="L138" s="30"/>
      <c r="M138" s="39"/>
    </row>
    <row r="139" spans="1:13" x14ac:dyDescent="0.2">
      <c r="A139" s="30"/>
      <c r="B139" s="30"/>
      <c r="C139" s="30"/>
      <c r="D139" s="30"/>
      <c r="E139" s="30"/>
      <c r="F139" s="30"/>
      <c r="G139" s="30"/>
      <c r="H139" s="30"/>
      <c r="I139" s="30"/>
      <c r="J139" s="65"/>
      <c r="K139" s="83"/>
      <c r="L139" s="30"/>
      <c r="M139" s="39"/>
    </row>
    <row r="140" spans="1:13" x14ac:dyDescent="0.2">
      <c r="A140" s="30"/>
      <c r="B140" s="30"/>
      <c r="C140" s="30"/>
      <c r="D140" s="30"/>
      <c r="E140" s="30"/>
      <c r="F140" s="30"/>
      <c r="G140" s="30"/>
      <c r="H140" s="30"/>
      <c r="I140" s="30"/>
      <c r="J140" s="65"/>
      <c r="K140" s="83"/>
      <c r="L140" s="30"/>
      <c r="M140" s="39"/>
    </row>
    <row r="141" spans="1:13" x14ac:dyDescent="0.2">
      <c r="A141" s="30"/>
      <c r="B141" s="30"/>
      <c r="C141" s="30"/>
      <c r="D141" s="30"/>
      <c r="E141" s="30"/>
      <c r="F141" s="30"/>
      <c r="G141" s="30"/>
      <c r="H141" s="30"/>
      <c r="I141" s="30"/>
      <c r="J141" s="65"/>
      <c r="K141" s="83"/>
      <c r="L141" s="30"/>
      <c r="M141" s="39"/>
    </row>
    <row r="142" spans="1:13" x14ac:dyDescent="0.2">
      <c r="A142" s="30"/>
      <c r="B142" s="30"/>
      <c r="C142" s="30"/>
      <c r="D142" s="30"/>
      <c r="E142" s="30"/>
      <c r="F142" s="30"/>
      <c r="G142" s="30"/>
      <c r="H142" s="30"/>
      <c r="I142" s="30"/>
      <c r="J142" s="65"/>
      <c r="K142" s="83"/>
      <c r="L142" s="30"/>
      <c r="M142" s="39"/>
    </row>
    <row r="143" spans="1:13" x14ac:dyDescent="0.2">
      <c r="A143" s="30"/>
      <c r="B143" s="30"/>
      <c r="C143" s="30"/>
      <c r="D143" s="30"/>
      <c r="E143" s="30"/>
      <c r="F143" s="30"/>
      <c r="G143" s="30"/>
      <c r="H143" s="30"/>
      <c r="I143" s="30"/>
      <c r="J143" s="65"/>
      <c r="K143" s="83"/>
      <c r="L143" s="30"/>
      <c r="M143" s="39"/>
    </row>
    <row r="144" spans="1:13" x14ac:dyDescent="0.2">
      <c r="A144" s="30"/>
      <c r="B144" s="30"/>
      <c r="C144" s="30"/>
      <c r="D144" s="30"/>
      <c r="E144" s="30"/>
      <c r="F144" s="30"/>
      <c r="G144" s="30"/>
      <c r="H144" s="30"/>
      <c r="I144" s="30"/>
      <c r="J144" s="65"/>
      <c r="K144" s="83"/>
      <c r="L144" s="30"/>
      <c r="M144" s="39"/>
    </row>
    <row r="145" spans="1:13" x14ac:dyDescent="0.2">
      <c r="A145" s="30"/>
      <c r="B145" s="30"/>
      <c r="C145" s="30"/>
      <c r="D145" s="30"/>
      <c r="E145" s="30"/>
      <c r="F145" s="30"/>
      <c r="G145" s="30"/>
      <c r="H145" s="30"/>
      <c r="I145" s="30"/>
      <c r="J145" s="65"/>
      <c r="K145" s="83"/>
      <c r="L145" s="30"/>
      <c r="M145" s="39"/>
    </row>
    <row r="146" spans="1:13" x14ac:dyDescent="0.2">
      <c r="A146" s="30"/>
      <c r="B146" s="30"/>
      <c r="C146" s="30"/>
      <c r="D146" s="30"/>
      <c r="E146" s="30"/>
      <c r="F146" s="30"/>
      <c r="G146" s="30"/>
      <c r="H146" s="30"/>
      <c r="I146" s="30"/>
      <c r="J146" s="65"/>
      <c r="K146" s="83"/>
      <c r="L146" s="30"/>
      <c r="M146" s="39"/>
    </row>
    <row r="147" spans="1:13" x14ac:dyDescent="0.2">
      <c r="A147" s="30"/>
      <c r="B147" s="30"/>
      <c r="C147" s="30"/>
      <c r="D147" s="30"/>
      <c r="E147" s="30"/>
      <c r="F147" s="30"/>
      <c r="G147" s="30"/>
      <c r="H147" s="30"/>
      <c r="I147" s="30"/>
      <c r="J147" s="65"/>
      <c r="K147" s="83"/>
      <c r="L147" s="30"/>
      <c r="M147" s="39"/>
    </row>
    <row r="148" spans="1:13" x14ac:dyDescent="0.2">
      <c r="A148" s="30"/>
      <c r="B148" s="30"/>
      <c r="C148" s="30"/>
      <c r="D148" s="30"/>
      <c r="E148" s="30"/>
      <c r="F148" s="30"/>
      <c r="G148" s="30"/>
      <c r="H148" s="30"/>
      <c r="I148" s="30"/>
      <c r="J148" s="65"/>
      <c r="K148" s="83"/>
      <c r="L148" s="30"/>
      <c r="M148" s="39"/>
    </row>
    <row r="149" spans="1:13" x14ac:dyDescent="0.2">
      <c r="A149" s="30"/>
      <c r="B149" s="30"/>
      <c r="C149" s="30"/>
      <c r="D149" s="30"/>
      <c r="E149" s="30"/>
      <c r="F149" s="30"/>
      <c r="G149" s="30"/>
      <c r="H149" s="30"/>
      <c r="I149" s="30"/>
      <c r="J149" s="65"/>
      <c r="K149" s="83"/>
      <c r="L149" s="30"/>
      <c r="M149" s="39"/>
    </row>
    <row r="150" spans="1:13" x14ac:dyDescent="0.2">
      <c r="A150" s="30"/>
      <c r="B150" s="30"/>
      <c r="C150" s="30"/>
      <c r="D150" s="30"/>
      <c r="E150" s="30"/>
      <c r="F150" s="30"/>
      <c r="G150" s="30"/>
      <c r="H150" s="30"/>
      <c r="I150" s="30"/>
      <c r="J150" s="65"/>
      <c r="K150" s="83"/>
      <c r="L150" s="30"/>
      <c r="M150" s="39"/>
    </row>
    <row r="151" spans="1:13" x14ac:dyDescent="0.2">
      <c r="A151" s="30"/>
      <c r="B151" s="30"/>
      <c r="C151" s="30"/>
      <c r="D151" s="30"/>
      <c r="E151" s="30"/>
      <c r="F151" s="30"/>
      <c r="G151" s="30"/>
      <c r="H151" s="30"/>
      <c r="I151" s="30"/>
      <c r="J151" s="65"/>
      <c r="K151" s="83"/>
      <c r="L151" s="30"/>
      <c r="M151" s="39"/>
    </row>
    <row r="152" spans="1:13" x14ac:dyDescent="0.2">
      <c r="A152" s="30"/>
      <c r="B152" s="30"/>
      <c r="C152" s="30"/>
      <c r="D152" s="30"/>
      <c r="E152" s="30"/>
      <c r="F152" s="30"/>
      <c r="G152" s="30"/>
      <c r="H152" s="30"/>
      <c r="I152" s="30"/>
      <c r="J152" s="65"/>
      <c r="K152" s="83"/>
      <c r="L152" s="30"/>
      <c r="M152" s="39"/>
    </row>
    <row r="153" spans="1:13" x14ac:dyDescent="0.2">
      <c r="A153" s="30"/>
      <c r="B153" s="30"/>
      <c r="C153" s="30"/>
      <c r="D153" s="30"/>
      <c r="E153" s="30"/>
      <c r="F153" s="30"/>
      <c r="G153" s="30"/>
      <c r="H153" s="30"/>
      <c r="I153" s="30"/>
      <c r="J153" s="65"/>
      <c r="K153" s="83"/>
      <c r="L153" s="30"/>
      <c r="M153" s="39"/>
    </row>
    <row r="154" spans="1:13" x14ac:dyDescent="0.2">
      <c r="A154" s="30"/>
      <c r="B154" s="30"/>
      <c r="C154" s="30"/>
      <c r="D154" s="30"/>
      <c r="E154" s="30"/>
      <c r="F154" s="30"/>
      <c r="G154" s="30"/>
      <c r="H154" s="30"/>
      <c r="I154" s="30"/>
      <c r="J154" s="65"/>
      <c r="K154" s="83"/>
      <c r="L154" s="30"/>
      <c r="M154" s="39"/>
    </row>
    <row r="155" spans="1:13" x14ac:dyDescent="0.2">
      <c r="A155" s="30"/>
      <c r="B155" s="30"/>
      <c r="C155" s="30"/>
      <c r="D155" s="30"/>
      <c r="E155" s="30"/>
      <c r="F155" s="30"/>
      <c r="G155" s="30"/>
      <c r="H155" s="30"/>
      <c r="I155" s="30"/>
      <c r="J155" s="65"/>
      <c r="K155" s="83"/>
      <c r="L155" s="30"/>
      <c r="M155" s="39"/>
    </row>
    <row r="156" spans="1:13" x14ac:dyDescent="0.2">
      <c r="A156" s="30"/>
      <c r="B156" s="30"/>
      <c r="C156" s="30"/>
      <c r="D156" s="30"/>
      <c r="E156" s="30"/>
      <c r="F156" s="30"/>
      <c r="G156" s="30"/>
      <c r="H156" s="30"/>
      <c r="I156" s="30"/>
      <c r="J156" s="65"/>
      <c r="K156" s="83"/>
      <c r="L156" s="30"/>
      <c r="M156" s="39"/>
    </row>
    <row r="157" spans="1:13" x14ac:dyDescent="0.2">
      <c r="A157" s="30"/>
      <c r="B157" s="30"/>
      <c r="C157" s="30"/>
      <c r="D157" s="30"/>
      <c r="E157" s="30"/>
      <c r="F157" s="30"/>
      <c r="G157" s="30"/>
      <c r="H157" s="30"/>
      <c r="I157" s="30"/>
      <c r="J157" s="65"/>
      <c r="K157" s="83"/>
      <c r="L157" s="30"/>
      <c r="M157" s="39"/>
    </row>
    <row r="158" spans="1:13" x14ac:dyDescent="0.2">
      <c r="A158" s="30"/>
      <c r="B158" s="30"/>
      <c r="C158" s="30"/>
      <c r="D158" s="30"/>
      <c r="E158" s="30"/>
      <c r="F158" s="30"/>
      <c r="G158" s="30"/>
      <c r="H158" s="30"/>
      <c r="I158" s="30"/>
      <c r="J158" s="65"/>
      <c r="K158" s="83"/>
      <c r="L158" s="30"/>
      <c r="M158" s="39"/>
    </row>
    <row r="159" spans="1:13" x14ac:dyDescent="0.2">
      <c r="A159" s="30"/>
      <c r="B159" s="30"/>
      <c r="C159" s="30"/>
      <c r="D159" s="30"/>
      <c r="E159" s="30"/>
      <c r="F159" s="30"/>
      <c r="G159" s="30"/>
      <c r="H159" s="30"/>
      <c r="I159" s="30"/>
      <c r="J159" s="65"/>
      <c r="K159" s="83"/>
      <c r="L159" s="30"/>
      <c r="M159" s="39"/>
    </row>
    <row r="160" spans="1:13" x14ac:dyDescent="0.2">
      <c r="A160" s="30"/>
      <c r="B160" s="30"/>
      <c r="C160" s="30"/>
      <c r="D160" s="30"/>
      <c r="E160" s="30"/>
      <c r="F160" s="30"/>
      <c r="G160" s="30"/>
      <c r="H160" s="30"/>
      <c r="I160" s="30"/>
      <c r="J160" s="65"/>
      <c r="K160" s="83"/>
      <c r="L160" s="30"/>
      <c r="M160" s="39"/>
    </row>
    <row r="161" spans="1:13" x14ac:dyDescent="0.2">
      <c r="A161" s="30"/>
      <c r="B161" s="30"/>
      <c r="C161" s="30"/>
      <c r="D161" s="30"/>
      <c r="E161" s="30"/>
      <c r="F161" s="30"/>
      <c r="G161" s="30"/>
      <c r="H161" s="30"/>
      <c r="I161" s="30"/>
      <c r="J161" s="65"/>
      <c r="K161" s="83"/>
      <c r="L161" s="30"/>
      <c r="M161" s="39"/>
    </row>
    <row r="162" spans="1:13" x14ac:dyDescent="0.2">
      <c r="A162" s="30"/>
      <c r="B162" s="30"/>
      <c r="C162" s="30"/>
      <c r="D162" s="30"/>
      <c r="E162" s="30"/>
      <c r="F162" s="30"/>
      <c r="G162" s="30"/>
      <c r="H162" s="30"/>
      <c r="I162" s="30"/>
      <c r="J162" s="65"/>
      <c r="K162" s="83"/>
      <c r="L162" s="30"/>
      <c r="M162" s="39"/>
    </row>
    <row r="163" spans="1:13" x14ac:dyDescent="0.2">
      <c r="A163" s="30"/>
      <c r="B163" s="30"/>
      <c r="C163" s="30"/>
      <c r="D163" s="30"/>
      <c r="E163" s="30"/>
      <c r="F163" s="30"/>
      <c r="G163" s="30"/>
      <c r="H163" s="30"/>
      <c r="I163" s="30"/>
      <c r="J163" s="65"/>
      <c r="K163" s="83"/>
      <c r="L163" s="30"/>
      <c r="M163" s="39"/>
    </row>
    <row r="164" spans="1:13" x14ac:dyDescent="0.2">
      <c r="A164" s="30"/>
      <c r="B164" s="30"/>
      <c r="C164" s="30"/>
      <c r="D164" s="30"/>
      <c r="E164" s="30"/>
      <c r="F164" s="30"/>
      <c r="G164" s="30"/>
      <c r="H164" s="30"/>
      <c r="I164" s="30"/>
      <c r="J164" s="65"/>
      <c r="K164" s="83"/>
      <c r="L164" s="30"/>
      <c r="M164" s="39"/>
    </row>
    <row r="165" spans="1:13" x14ac:dyDescent="0.2">
      <c r="A165" s="30"/>
      <c r="B165" s="30"/>
      <c r="C165" s="30"/>
      <c r="D165" s="30"/>
      <c r="E165" s="30"/>
      <c r="F165" s="30"/>
      <c r="G165" s="30"/>
      <c r="H165" s="30"/>
      <c r="I165" s="30"/>
      <c r="J165" s="65"/>
      <c r="K165" s="83"/>
      <c r="L165" s="30"/>
      <c r="M165" s="39"/>
    </row>
    <row r="166" spans="1:13" x14ac:dyDescent="0.2">
      <c r="A166" s="30"/>
      <c r="B166" s="30"/>
      <c r="C166" s="30"/>
      <c r="D166" s="30"/>
      <c r="E166" s="30"/>
      <c r="F166" s="30"/>
      <c r="G166" s="30"/>
      <c r="H166" s="30"/>
      <c r="I166" s="30"/>
      <c r="J166" s="65"/>
      <c r="K166" s="83"/>
      <c r="L166" s="30"/>
      <c r="M166" s="39"/>
    </row>
    <row r="167" spans="1:13" x14ac:dyDescent="0.2">
      <c r="A167" s="30"/>
      <c r="B167" s="30"/>
      <c r="C167" s="30"/>
      <c r="D167" s="30"/>
      <c r="E167" s="30"/>
      <c r="F167" s="30"/>
      <c r="G167" s="30"/>
      <c r="H167" s="30"/>
      <c r="I167" s="30"/>
      <c r="J167" s="65"/>
      <c r="K167" s="83"/>
      <c r="L167" s="30"/>
      <c r="M167" s="39"/>
    </row>
    <row r="168" spans="1:13" x14ac:dyDescent="0.2">
      <c r="A168" s="30"/>
      <c r="B168" s="30"/>
      <c r="C168" s="30"/>
      <c r="D168" s="30"/>
      <c r="E168" s="30"/>
      <c r="F168" s="30"/>
      <c r="G168" s="30"/>
      <c r="H168" s="30"/>
      <c r="I168" s="30"/>
      <c r="J168" s="65"/>
      <c r="K168" s="83"/>
      <c r="L168" s="30"/>
      <c r="M168" s="39"/>
    </row>
    <row r="169" spans="1:13" x14ac:dyDescent="0.2">
      <c r="A169" s="30"/>
      <c r="B169" s="30"/>
      <c r="C169" s="30"/>
      <c r="D169" s="30"/>
      <c r="E169" s="30"/>
      <c r="F169" s="30"/>
      <c r="G169" s="30"/>
      <c r="H169" s="30"/>
      <c r="I169" s="30"/>
      <c r="J169" s="65"/>
      <c r="K169" s="83"/>
      <c r="L169" s="30"/>
      <c r="M169" s="39"/>
    </row>
    <row r="170" spans="1:13" x14ac:dyDescent="0.2">
      <c r="A170" s="30"/>
      <c r="B170" s="30"/>
      <c r="C170" s="30"/>
      <c r="D170" s="30"/>
      <c r="E170" s="30"/>
      <c r="F170" s="30"/>
      <c r="G170" s="30"/>
      <c r="H170" s="30"/>
      <c r="I170" s="30"/>
      <c r="J170" s="65"/>
      <c r="K170" s="83"/>
      <c r="L170" s="30"/>
      <c r="M170" s="39"/>
    </row>
    <row r="171" spans="1:13" x14ac:dyDescent="0.2">
      <c r="A171" s="30"/>
      <c r="B171" s="30"/>
      <c r="C171" s="30"/>
      <c r="D171" s="30"/>
      <c r="E171" s="30"/>
      <c r="F171" s="30"/>
      <c r="G171" s="30"/>
      <c r="H171" s="30"/>
      <c r="I171" s="30"/>
      <c r="J171" s="65"/>
      <c r="K171" s="83"/>
      <c r="L171" s="30"/>
      <c r="M171" s="39"/>
    </row>
    <row r="172" spans="1:13" x14ac:dyDescent="0.2">
      <c r="A172" s="30"/>
      <c r="B172" s="30"/>
      <c r="C172" s="30"/>
      <c r="D172" s="30"/>
      <c r="E172" s="30"/>
      <c r="F172" s="30"/>
      <c r="G172" s="30"/>
      <c r="H172" s="30"/>
      <c r="I172" s="30"/>
      <c r="J172" s="65"/>
      <c r="K172" s="83"/>
      <c r="L172" s="30"/>
      <c r="M172" s="39"/>
    </row>
    <row r="173" spans="1:13" x14ac:dyDescent="0.2">
      <c r="A173" s="30"/>
      <c r="B173" s="30"/>
      <c r="C173" s="30"/>
      <c r="D173" s="30"/>
      <c r="E173" s="30"/>
      <c r="F173" s="30"/>
      <c r="G173" s="30"/>
      <c r="H173" s="30"/>
      <c r="I173" s="30"/>
      <c r="J173" s="65"/>
      <c r="K173" s="83"/>
      <c r="L173" s="30"/>
      <c r="M173" s="39"/>
    </row>
    <row r="174" spans="1:13" x14ac:dyDescent="0.2">
      <c r="A174" s="30"/>
      <c r="B174" s="30"/>
      <c r="C174" s="30"/>
      <c r="D174" s="30"/>
      <c r="E174" s="30"/>
      <c r="F174" s="30"/>
      <c r="G174" s="30"/>
      <c r="H174" s="30"/>
      <c r="I174" s="30"/>
      <c r="J174" s="65"/>
      <c r="K174" s="83"/>
      <c r="L174" s="30"/>
      <c r="M174" s="39"/>
    </row>
    <row r="175" spans="1:13" x14ac:dyDescent="0.2">
      <c r="A175" s="30"/>
      <c r="B175" s="30"/>
      <c r="C175" s="30"/>
      <c r="D175" s="30"/>
      <c r="E175" s="30"/>
      <c r="F175" s="30"/>
      <c r="G175" s="30"/>
      <c r="H175" s="30"/>
      <c r="I175" s="30"/>
      <c r="J175" s="65"/>
      <c r="K175" s="83"/>
      <c r="L175" s="30"/>
      <c r="M175" s="39"/>
    </row>
    <row r="176" spans="1:13" x14ac:dyDescent="0.2">
      <c r="A176" s="30"/>
      <c r="B176" s="30"/>
      <c r="C176" s="30"/>
      <c r="D176" s="30"/>
      <c r="E176" s="30"/>
      <c r="F176" s="30"/>
      <c r="G176" s="30"/>
      <c r="H176" s="30"/>
      <c r="I176" s="30"/>
      <c r="J176" s="65"/>
      <c r="K176" s="83"/>
      <c r="L176" s="30"/>
      <c r="M176" s="39"/>
    </row>
    <row r="177" spans="1:13" x14ac:dyDescent="0.2">
      <c r="A177" s="30"/>
      <c r="B177" s="30"/>
      <c r="C177" s="30"/>
      <c r="D177" s="30"/>
      <c r="E177" s="30"/>
      <c r="F177" s="30"/>
      <c r="G177" s="30"/>
      <c r="H177" s="30"/>
      <c r="I177" s="30"/>
      <c r="J177" s="65"/>
      <c r="K177" s="83"/>
      <c r="L177" s="30"/>
      <c r="M177" s="39"/>
    </row>
    <row r="178" spans="1:13" x14ac:dyDescent="0.2">
      <c r="A178" s="30"/>
      <c r="B178" s="30"/>
      <c r="C178" s="30"/>
      <c r="D178" s="30"/>
      <c r="E178" s="30"/>
      <c r="F178" s="30"/>
      <c r="G178" s="30"/>
      <c r="H178" s="30"/>
      <c r="I178" s="30"/>
      <c r="J178" s="65"/>
      <c r="K178" s="83"/>
      <c r="L178" s="30"/>
      <c r="M178" s="39"/>
    </row>
    <row r="179" spans="1:13" x14ac:dyDescent="0.2">
      <c r="A179" s="30"/>
      <c r="B179" s="30"/>
      <c r="C179" s="30"/>
      <c r="D179" s="30"/>
      <c r="E179" s="30"/>
      <c r="F179" s="30"/>
      <c r="G179" s="30"/>
      <c r="H179" s="30"/>
      <c r="I179" s="30"/>
      <c r="J179" s="65"/>
      <c r="K179" s="83"/>
      <c r="L179" s="30"/>
      <c r="M179" s="39"/>
    </row>
    <row r="180" spans="1:13" x14ac:dyDescent="0.2">
      <c r="A180" s="30"/>
      <c r="B180" s="30"/>
      <c r="C180" s="30"/>
      <c r="D180" s="30"/>
      <c r="E180" s="30"/>
      <c r="F180" s="30"/>
      <c r="G180" s="30"/>
      <c r="H180" s="30"/>
      <c r="I180" s="30"/>
      <c r="J180" s="65"/>
      <c r="K180" s="83"/>
      <c r="L180" s="30"/>
      <c r="M180" s="39"/>
    </row>
    <row r="181" spans="1:13" x14ac:dyDescent="0.2">
      <c r="A181" s="30"/>
      <c r="B181" s="30"/>
      <c r="C181" s="30"/>
      <c r="D181" s="30"/>
      <c r="E181" s="30"/>
      <c r="F181" s="30"/>
      <c r="G181" s="30"/>
      <c r="H181" s="30"/>
      <c r="I181" s="30"/>
      <c r="J181" s="65"/>
      <c r="K181" s="83"/>
      <c r="L181" s="30"/>
      <c r="M181" s="39"/>
    </row>
    <row r="182" spans="1:13" x14ac:dyDescent="0.2">
      <c r="A182" s="30"/>
      <c r="B182" s="30"/>
      <c r="C182" s="30"/>
      <c r="D182" s="30"/>
      <c r="E182" s="30"/>
      <c r="F182" s="30"/>
      <c r="G182" s="30"/>
      <c r="H182" s="30"/>
      <c r="I182" s="30"/>
      <c r="J182" s="65"/>
      <c r="K182" s="83"/>
      <c r="L182" s="30"/>
      <c r="M182" s="39"/>
    </row>
    <row r="183" spans="1:13" x14ac:dyDescent="0.2">
      <c r="A183" s="30"/>
      <c r="B183" s="30"/>
      <c r="C183" s="30"/>
      <c r="D183" s="30"/>
      <c r="E183" s="30"/>
      <c r="F183" s="30"/>
      <c r="G183" s="30"/>
      <c r="H183" s="30"/>
      <c r="I183" s="30"/>
      <c r="J183" s="65"/>
      <c r="K183" s="83"/>
      <c r="L183" s="30"/>
      <c r="M183" s="39"/>
    </row>
    <row r="184" spans="1:13" x14ac:dyDescent="0.2">
      <c r="A184" s="30"/>
      <c r="B184" s="30"/>
      <c r="C184" s="30"/>
      <c r="D184" s="30"/>
      <c r="E184" s="30"/>
      <c r="F184" s="30"/>
      <c r="G184" s="30"/>
      <c r="H184" s="30"/>
      <c r="I184" s="30"/>
      <c r="J184" s="65"/>
      <c r="K184" s="83"/>
      <c r="L184" s="30"/>
      <c r="M184" s="39"/>
    </row>
    <row r="185" spans="1:13" x14ac:dyDescent="0.2">
      <c r="A185" s="30"/>
      <c r="B185" s="30"/>
      <c r="C185" s="30"/>
      <c r="D185" s="30"/>
      <c r="E185" s="30"/>
      <c r="F185" s="30"/>
      <c r="G185" s="30"/>
      <c r="H185" s="30"/>
      <c r="I185" s="30"/>
      <c r="J185" s="65"/>
      <c r="K185" s="83"/>
      <c r="L185" s="30"/>
      <c r="M185" s="39"/>
    </row>
    <row r="186" spans="1:13" x14ac:dyDescent="0.2">
      <c r="A186" s="30"/>
      <c r="B186" s="30"/>
      <c r="C186" s="30"/>
      <c r="D186" s="30"/>
      <c r="E186" s="30"/>
      <c r="F186" s="30"/>
      <c r="G186" s="30"/>
      <c r="H186" s="30"/>
      <c r="I186" s="30"/>
      <c r="J186" s="65"/>
      <c r="K186" s="83"/>
      <c r="L186" s="30"/>
      <c r="M186" s="39"/>
    </row>
    <row r="187" spans="1:13" x14ac:dyDescent="0.2">
      <c r="A187" s="30"/>
      <c r="B187" s="30"/>
      <c r="C187" s="30"/>
      <c r="D187" s="30"/>
      <c r="E187" s="30"/>
      <c r="F187" s="30"/>
      <c r="G187" s="30"/>
      <c r="H187" s="30"/>
      <c r="I187" s="30"/>
      <c r="J187" s="65"/>
      <c r="K187" s="83"/>
      <c r="L187" s="30"/>
      <c r="M187" s="39"/>
    </row>
    <row r="188" spans="1:13" x14ac:dyDescent="0.2">
      <c r="A188" s="30"/>
      <c r="B188" s="30"/>
      <c r="C188" s="30"/>
      <c r="D188" s="30"/>
      <c r="E188" s="30"/>
      <c r="F188" s="30"/>
      <c r="G188" s="30"/>
      <c r="H188" s="30"/>
      <c r="I188" s="30"/>
      <c r="J188" s="65"/>
      <c r="K188" s="83"/>
      <c r="L188" s="30"/>
      <c r="M188" s="39"/>
    </row>
    <row r="189" spans="1:13" x14ac:dyDescent="0.2">
      <c r="A189" s="30"/>
      <c r="B189" s="30"/>
      <c r="C189" s="30"/>
      <c r="D189" s="30"/>
      <c r="E189" s="30"/>
      <c r="F189" s="30"/>
      <c r="G189" s="30"/>
      <c r="H189" s="30"/>
      <c r="I189" s="30"/>
      <c r="J189" s="65"/>
      <c r="K189" s="83"/>
      <c r="L189" s="30"/>
      <c r="M189" s="39"/>
    </row>
    <row r="190" spans="1:13" x14ac:dyDescent="0.2">
      <c r="A190" s="30"/>
      <c r="B190" s="30"/>
      <c r="C190" s="30"/>
      <c r="D190" s="30"/>
      <c r="E190" s="30"/>
      <c r="F190" s="30"/>
      <c r="G190" s="30"/>
      <c r="H190" s="30"/>
      <c r="I190" s="30"/>
      <c r="J190" s="65"/>
      <c r="K190" s="83"/>
      <c r="L190" s="30"/>
      <c r="M190" s="39"/>
    </row>
    <row r="191" spans="1:13" x14ac:dyDescent="0.2">
      <c r="A191" s="30"/>
      <c r="B191" s="30"/>
      <c r="C191" s="30"/>
      <c r="D191" s="30"/>
      <c r="E191" s="30"/>
      <c r="F191" s="30"/>
      <c r="G191" s="30"/>
      <c r="H191" s="30"/>
      <c r="I191" s="30"/>
      <c r="J191" s="65"/>
      <c r="K191" s="83"/>
      <c r="L191" s="30"/>
      <c r="M191" s="39"/>
    </row>
    <row r="192" spans="1:13" x14ac:dyDescent="0.2">
      <c r="A192" s="30"/>
      <c r="B192" s="30"/>
      <c r="C192" s="30"/>
      <c r="D192" s="30"/>
      <c r="E192" s="30"/>
      <c r="F192" s="30"/>
      <c r="G192" s="30"/>
      <c r="H192" s="30"/>
      <c r="I192" s="30"/>
      <c r="J192" s="65"/>
      <c r="K192" s="83"/>
      <c r="L192" s="30"/>
      <c r="M192" s="39"/>
    </row>
    <row r="193" spans="1:13" x14ac:dyDescent="0.2">
      <c r="A193" s="30"/>
      <c r="B193" s="30"/>
      <c r="C193" s="30"/>
      <c r="D193" s="30"/>
      <c r="E193" s="30"/>
      <c r="F193" s="30"/>
      <c r="G193" s="30"/>
      <c r="H193" s="30"/>
      <c r="I193" s="30"/>
      <c r="J193" s="65"/>
      <c r="K193" s="83"/>
      <c r="L193" s="30"/>
      <c r="M193" s="39"/>
    </row>
    <row r="194" spans="1:13" x14ac:dyDescent="0.2">
      <c r="A194" s="30"/>
      <c r="B194" s="30"/>
      <c r="C194" s="30"/>
      <c r="D194" s="30"/>
      <c r="E194" s="30"/>
      <c r="F194" s="30"/>
      <c r="G194" s="30"/>
      <c r="H194" s="30"/>
      <c r="I194" s="30"/>
      <c r="J194" s="65"/>
      <c r="K194" s="83"/>
      <c r="L194" s="30"/>
      <c r="M194" s="39"/>
    </row>
    <row r="195" spans="1:13" x14ac:dyDescent="0.2">
      <c r="A195" s="30"/>
      <c r="B195" s="30"/>
      <c r="C195" s="30"/>
      <c r="D195" s="30"/>
      <c r="E195" s="30"/>
      <c r="F195" s="30"/>
      <c r="G195" s="30"/>
      <c r="H195" s="30"/>
      <c r="I195" s="30"/>
      <c r="J195" s="65"/>
      <c r="K195" s="83"/>
      <c r="L195" s="30"/>
      <c r="M195" s="39"/>
    </row>
    <row r="196" spans="1:13" x14ac:dyDescent="0.2">
      <c r="A196" s="30"/>
      <c r="B196" s="30"/>
      <c r="C196" s="30"/>
      <c r="D196" s="30"/>
      <c r="E196" s="30"/>
      <c r="F196" s="30"/>
      <c r="G196" s="30"/>
      <c r="H196" s="30"/>
      <c r="I196" s="30"/>
      <c r="J196" s="65"/>
      <c r="K196" s="83"/>
      <c r="L196" s="30"/>
      <c r="M196" s="39"/>
    </row>
    <row r="197" spans="1:13" x14ac:dyDescent="0.2">
      <c r="A197" s="30"/>
      <c r="B197" s="30"/>
      <c r="C197" s="30"/>
      <c r="D197" s="30"/>
      <c r="E197" s="30"/>
      <c r="F197" s="30"/>
      <c r="G197" s="30"/>
      <c r="H197" s="30"/>
      <c r="I197" s="30"/>
      <c r="J197" s="65"/>
      <c r="K197" s="83"/>
      <c r="L197" s="30"/>
      <c r="M197" s="39"/>
    </row>
    <row r="198" spans="1:13" x14ac:dyDescent="0.2">
      <c r="A198" s="30"/>
      <c r="B198" s="30"/>
      <c r="C198" s="30"/>
      <c r="D198" s="30"/>
      <c r="E198" s="30"/>
      <c r="F198" s="30"/>
      <c r="G198" s="30"/>
      <c r="H198" s="30"/>
      <c r="I198" s="30"/>
      <c r="J198" s="65"/>
      <c r="K198" s="83"/>
      <c r="L198" s="30"/>
      <c r="M198" s="39"/>
    </row>
    <row r="199" spans="1:13" x14ac:dyDescent="0.2">
      <c r="A199" s="30"/>
      <c r="B199" s="30"/>
      <c r="C199" s="30"/>
      <c r="D199" s="30"/>
      <c r="E199" s="30"/>
      <c r="F199" s="30"/>
      <c r="G199" s="30"/>
      <c r="H199" s="30"/>
      <c r="I199" s="30"/>
      <c r="J199" s="65"/>
      <c r="K199" s="83"/>
      <c r="L199" s="30"/>
      <c r="M199" s="39"/>
    </row>
    <row r="200" spans="1:13" x14ac:dyDescent="0.2">
      <c r="A200" s="30"/>
      <c r="B200" s="30"/>
      <c r="C200" s="30"/>
      <c r="D200" s="30"/>
      <c r="E200" s="30"/>
      <c r="F200" s="30"/>
      <c r="G200" s="30"/>
      <c r="H200" s="30"/>
      <c r="I200" s="30"/>
      <c r="J200" s="65"/>
      <c r="K200" s="83"/>
      <c r="L200" s="30"/>
      <c r="M200" s="39"/>
    </row>
    <row r="201" spans="1:13" x14ac:dyDescent="0.2">
      <c r="A201" s="30"/>
      <c r="B201" s="30"/>
      <c r="C201" s="30"/>
      <c r="D201" s="30"/>
      <c r="E201" s="30"/>
      <c r="F201" s="30"/>
      <c r="G201" s="30"/>
      <c r="H201" s="30"/>
      <c r="I201" s="30"/>
      <c r="J201" s="65"/>
      <c r="K201" s="83"/>
      <c r="L201" s="30"/>
      <c r="M201" s="39"/>
    </row>
    <row r="202" spans="1:13" x14ac:dyDescent="0.2">
      <c r="A202" s="30"/>
      <c r="B202" s="30"/>
      <c r="C202" s="30"/>
      <c r="D202" s="30"/>
      <c r="E202" s="30"/>
      <c r="F202" s="30"/>
      <c r="G202" s="30"/>
      <c r="H202" s="30"/>
      <c r="I202" s="30"/>
      <c r="J202" s="65"/>
      <c r="K202" s="83"/>
      <c r="L202" s="30"/>
      <c r="M202" s="39"/>
    </row>
    <row r="203" spans="1:13" x14ac:dyDescent="0.2">
      <c r="A203" s="30"/>
      <c r="B203" s="30"/>
      <c r="C203" s="30"/>
      <c r="D203" s="30"/>
      <c r="E203" s="30"/>
      <c r="F203" s="30"/>
      <c r="G203" s="30"/>
      <c r="H203" s="30"/>
      <c r="I203" s="30"/>
      <c r="J203" s="65"/>
      <c r="K203" s="83"/>
      <c r="L203" s="30"/>
      <c r="M203" s="39"/>
    </row>
    <row r="204" spans="1:13" x14ac:dyDescent="0.2">
      <c r="A204" s="30"/>
      <c r="B204" s="30"/>
      <c r="C204" s="30"/>
      <c r="D204" s="30"/>
      <c r="E204" s="30"/>
      <c r="F204" s="30"/>
      <c r="G204" s="30"/>
      <c r="H204" s="30"/>
      <c r="I204" s="30"/>
      <c r="J204" s="65"/>
      <c r="K204" s="83"/>
      <c r="L204" s="30"/>
      <c r="M204" s="39"/>
    </row>
    <row r="205" spans="1:13" x14ac:dyDescent="0.2">
      <c r="A205" s="30"/>
      <c r="B205" s="30"/>
      <c r="C205" s="30"/>
      <c r="D205" s="30"/>
      <c r="E205" s="30"/>
      <c r="F205" s="30"/>
      <c r="G205" s="30"/>
      <c r="H205" s="30"/>
      <c r="I205" s="30"/>
      <c r="J205" s="65"/>
      <c r="K205" s="83"/>
      <c r="L205" s="30"/>
      <c r="M205" s="39"/>
    </row>
    <row r="206" spans="1:13" x14ac:dyDescent="0.2">
      <c r="A206" s="30"/>
      <c r="B206" s="30"/>
      <c r="C206" s="30"/>
      <c r="D206" s="30"/>
      <c r="E206" s="30"/>
      <c r="F206" s="30"/>
      <c r="G206" s="30"/>
      <c r="H206" s="30"/>
      <c r="I206" s="30"/>
      <c r="J206" s="65"/>
      <c r="K206" s="83"/>
      <c r="L206" s="30"/>
      <c r="M206" s="39"/>
    </row>
    <row r="207" spans="1:13" x14ac:dyDescent="0.2">
      <c r="A207" s="30"/>
      <c r="B207" s="30"/>
      <c r="C207" s="30"/>
      <c r="D207" s="30"/>
      <c r="E207" s="30"/>
      <c r="F207" s="30"/>
      <c r="G207" s="30"/>
      <c r="H207" s="30"/>
      <c r="I207" s="30"/>
      <c r="J207" s="65"/>
      <c r="K207" s="83"/>
      <c r="L207" s="30"/>
      <c r="M207" s="39"/>
    </row>
    <row r="208" spans="1:13" x14ac:dyDescent="0.2">
      <c r="A208" s="30"/>
      <c r="B208" s="30"/>
      <c r="C208" s="30"/>
      <c r="D208" s="30"/>
      <c r="E208" s="30"/>
      <c r="F208" s="30"/>
      <c r="G208" s="30"/>
      <c r="H208" s="30"/>
      <c r="I208" s="30"/>
      <c r="J208" s="65"/>
      <c r="K208" s="83"/>
      <c r="L208" s="30"/>
      <c r="M208" s="39"/>
    </row>
    <row r="209" spans="1:13" x14ac:dyDescent="0.2">
      <c r="A209" s="30"/>
      <c r="B209" s="30"/>
      <c r="C209" s="30"/>
      <c r="D209" s="30"/>
      <c r="E209" s="30"/>
      <c r="F209" s="30"/>
      <c r="G209" s="30"/>
      <c r="H209" s="30"/>
      <c r="I209" s="30"/>
      <c r="J209" s="65"/>
      <c r="K209" s="83"/>
      <c r="L209" s="30"/>
      <c r="M209" s="39"/>
    </row>
    <row r="210" spans="1:13" x14ac:dyDescent="0.2">
      <c r="A210" s="30"/>
      <c r="B210" s="30"/>
      <c r="C210" s="30"/>
      <c r="D210" s="30"/>
      <c r="E210" s="30"/>
      <c r="F210" s="30"/>
      <c r="G210" s="30"/>
      <c r="H210" s="30"/>
      <c r="I210" s="30"/>
      <c r="J210" s="65"/>
      <c r="K210" s="83"/>
      <c r="L210" s="30"/>
      <c r="M210" s="39"/>
    </row>
    <row r="211" spans="1:13" x14ac:dyDescent="0.2">
      <c r="A211" s="30"/>
      <c r="B211" s="30"/>
      <c r="C211" s="30"/>
      <c r="D211" s="30"/>
      <c r="E211" s="30"/>
      <c r="F211" s="30"/>
      <c r="G211" s="30"/>
      <c r="H211" s="30"/>
      <c r="I211" s="30"/>
      <c r="J211" s="65"/>
      <c r="K211" s="83"/>
      <c r="L211" s="30"/>
      <c r="M211" s="39"/>
    </row>
    <row r="212" spans="1:13" x14ac:dyDescent="0.2">
      <c r="A212" s="30"/>
      <c r="B212" s="30"/>
      <c r="C212" s="30"/>
      <c r="D212" s="30"/>
      <c r="E212" s="30"/>
      <c r="F212" s="30"/>
      <c r="G212" s="30"/>
      <c r="H212" s="30"/>
      <c r="I212" s="30"/>
      <c r="J212" s="65"/>
      <c r="K212" s="83"/>
      <c r="L212" s="30"/>
      <c r="M212" s="39"/>
    </row>
    <row r="213" spans="1:13" x14ac:dyDescent="0.2">
      <c r="A213" s="30"/>
      <c r="B213" s="30"/>
      <c r="C213" s="30"/>
      <c r="D213" s="30"/>
      <c r="E213" s="30"/>
      <c r="F213" s="30"/>
      <c r="G213" s="30"/>
      <c r="H213" s="30"/>
      <c r="I213" s="30"/>
      <c r="J213" s="65"/>
      <c r="K213" s="83"/>
      <c r="L213" s="30"/>
      <c r="M213" s="39"/>
    </row>
    <row r="214" spans="1:13" x14ac:dyDescent="0.2">
      <c r="A214" s="30"/>
      <c r="B214" s="30"/>
      <c r="C214" s="30"/>
      <c r="D214" s="30"/>
      <c r="E214" s="30"/>
      <c r="F214" s="30"/>
      <c r="G214" s="30"/>
      <c r="H214" s="30"/>
      <c r="I214" s="30"/>
      <c r="J214" s="65"/>
      <c r="K214" s="83"/>
      <c r="L214" s="30"/>
      <c r="M214" s="39"/>
    </row>
    <row r="215" spans="1:13" x14ac:dyDescent="0.2">
      <c r="A215" s="30"/>
      <c r="B215" s="30"/>
      <c r="C215" s="30"/>
      <c r="D215" s="30"/>
      <c r="E215" s="30"/>
      <c r="F215" s="30"/>
      <c r="G215" s="30"/>
      <c r="H215" s="30"/>
      <c r="I215" s="30"/>
      <c r="J215" s="65"/>
      <c r="K215" s="83"/>
      <c r="L215" s="30"/>
      <c r="M215" s="39"/>
    </row>
    <row r="216" spans="1:13" x14ac:dyDescent="0.2">
      <c r="A216" s="30"/>
      <c r="B216" s="30"/>
      <c r="C216" s="30"/>
      <c r="D216" s="30"/>
      <c r="E216" s="30"/>
      <c r="F216" s="30"/>
      <c r="G216" s="30"/>
      <c r="H216" s="30"/>
      <c r="I216" s="30"/>
      <c r="J216" s="65"/>
      <c r="K216" s="83"/>
      <c r="L216" s="30"/>
      <c r="M216" s="39"/>
    </row>
    <row r="217" spans="1:13" x14ac:dyDescent="0.2">
      <c r="A217" s="30"/>
      <c r="B217" s="30"/>
      <c r="C217" s="30"/>
      <c r="D217" s="30"/>
      <c r="E217" s="30"/>
      <c r="F217" s="30"/>
      <c r="G217" s="30"/>
      <c r="H217" s="30"/>
      <c r="I217" s="30"/>
      <c r="J217" s="65"/>
      <c r="K217" s="83"/>
      <c r="L217" s="30"/>
      <c r="M217" s="39"/>
    </row>
    <row r="218" spans="1:13" x14ac:dyDescent="0.2">
      <c r="A218" s="30"/>
      <c r="B218" s="30"/>
      <c r="C218" s="30"/>
      <c r="D218" s="30"/>
      <c r="E218" s="30"/>
      <c r="F218" s="30"/>
      <c r="G218" s="30"/>
      <c r="H218" s="30"/>
      <c r="I218" s="30"/>
      <c r="J218" s="65"/>
      <c r="K218" s="83"/>
      <c r="L218" s="30"/>
      <c r="M218" s="39"/>
    </row>
    <row r="219" spans="1:13" x14ac:dyDescent="0.2">
      <c r="A219" s="30"/>
      <c r="B219" s="30"/>
      <c r="C219" s="30"/>
      <c r="D219" s="30"/>
      <c r="E219" s="30"/>
      <c r="F219" s="30"/>
      <c r="G219" s="30"/>
      <c r="H219" s="30"/>
      <c r="I219" s="30"/>
      <c r="J219" s="65"/>
      <c r="K219" s="83"/>
      <c r="L219" s="30"/>
      <c r="M219" s="39"/>
    </row>
    <row r="220" spans="1:13" x14ac:dyDescent="0.2">
      <c r="A220" s="30"/>
      <c r="B220" s="30"/>
      <c r="C220" s="30"/>
      <c r="D220" s="30"/>
      <c r="E220" s="30"/>
      <c r="F220" s="30"/>
      <c r="G220" s="30"/>
      <c r="H220" s="30"/>
      <c r="I220" s="30"/>
      <c r="J220" s="65"/>
      <c r="K220" s="83"/>
      <c r="L220" s="30"/>
      <c r="M220" s="39"/>
    </row>
    <row r="221" spans="1:13" x14ac:dyDescent="0.2">
      <c r="A221" s="30"/>
      <c r="B221" s="30"/>
      <c r="C221" s="30"/>
      <c r="D221" s="30"/>
      <c r="E221" s="30"/>
      <c r="F221" s="30"/>
      <c r="G221" s="30"/>
      <c r="H221" s="30"/>
      <c r="I221" s="30"/>
      <c r="J221" s="65"/>
      <c r="K221" s="83"/>
      <c r="L221" s="30"/>
      <c r="M221" s="39"/>
    </row>
    <row r="222" spans="1:13" x14ac:dyDescent="0.2">
      <c r="A222" s="30"/>
      <c r="B222" s="30"/>
      <c r="C222" s="30"/>
      <c r="D222" s="30"/>
      <c r="E222" s="30"/>
      <c r="F222" s="30"/>
      <c r="G222" s="30"/>
      <c r="H222" s="30"/>
      <c r="I222" s="30"/>
      <c r="J222" s="65"/>
      <c r="K222" s="83"/>
      <c r="L222" s="30"/>
      <c r="M222" s="39"/>
    </row>
    <row r="223" spans="1:13" x14ac:dyDescent="0.2">
      <c r="A223" s="30"/>
      <c r="B223" s="30"/>
      <c r="C223" s="30"/>
      <c r="D223" s="30"/>
      <c r="E223" s="30"/>
      <c r="F223" s="30"/>
      <c r="G223" s="30"/>
      <c r="H223" s="30"/>
      <c r="I223" s="30"/>
      <c r="J223" s="65"/>
      <c r="K223" s="83"/>
      <c r="L223" s="30"/>
      <c r="M223" s="39"/>
    </row>
    <row r="224" spans="1:13" x14ac:dyDescent="0.2">
      <c r="A224" s="30"/>
      <c r="B224" s="30"/>
      <c r="C224" s="30"/>
      <c r="D224" s="30"/>
      <c r="E224" s="30"/>
      <c r="F224" s="30"/>
      <c r="G224" s="30"/>
      <c r="H224" s="30"/>
      <c r="I224" s="30"/>
      <c r="J224" s="65"/>
      <c r="K224" s="83"/>
      <c r="L224" s="30"/>
      <c r="M224" s="39"/>
    </row>
    <row r="225" spans="1:13" x14ac:dyDescent="0.2">
      <c r="A225" s="30"/>
      <c r="B225" s="30"/>
      <c r="C225" s="30"/>
      <c r="D225" s="30"/>
      <c r="E225" s="30"/>
      <c r="F225" s="30"/>
      <c r="G225" s="30"/>
      <c r="H225" s="30"/>
      <c r="I225" s="30"/>
      <c r="J225" s="65"/>
      <c r="K225" s="83"/>
      <c r="L225" s="30"/>
      <c r="M225" s="39"/>
    </row>
    <row r="226" spans="1:13" x14ac:dyDescent="0.2">
      <c r="A226" s="30"/>
      <c r="B226" s="30"/>
      <c r="C226" s="30"/>
      <c r="D226" s="30"/>
      <c r="E226" s="30"/>
      <c r="F226" s="30"/>
      <c r="G226" s="30"/>
      <c r="H226" s="30"/>
      <c r="I226" s="30"/>
      <c r="J226" s="65"/>
      <c r="K226" s="83"/>
      <c r="L226" s="30"/>
      <c r="M226" s="39"/>
    </row>
    <row r="227" spans="1:13" x14ac:dyDescent="0.2">
      <c r="A227" s="30"/>
      <c r="B227" s="30"/>
      <c r="C227" s="30"/>
      <c r="D227" s="30"/>
      <c r="E227" s="30"/>
      <c r="F227" s="30"/>
      <c r="G227" s="30"/>
      <c r="H227" s="30"/>
      <c r="I227" s="30"/>
      <c r="J227" s="65"/>
      <c r="K227" s="83"/>
      <c r="L227" s="30"/>
      <c r="M227" s="39"/>
    </row>
    <row r="228" spans="1:13" x14ac:dyDescent="0.2">
      <c r="A228" s="30"/>
      <c r="B228" s="30"/>
      <c r="C228" s="30"/>
      <c r="D228" s="30"/>
      <c r="E228" s="30"/>
      <c r="F228" s="30"/>
      <c r="G228" s="30"/>
      <c r="H228" s="30"/>
      <c r="I228" s="30"/>
      <c r="J228" s="65"/>
      <c r="K228" s="83"/>
      <c r="L228" s="30"/>
      <c r="M228" s="39"/>
    </row>
    <row r="229" spans="1:13" x14ac:dyDescent="0.2">
      <c r="A229" s="30"/>
      <c r="B229" s="30"/>
      <c r="C229" s="30"/>
      <c r="D229" s="30"/>
      <c r="E229" s="30"/>
      <c r="F229" s="30"/>
      <c r="G229" s="30"/>
      <c r="H229" s="30"/>
      <c r="I229" s="30"/>
      <c r="J229" s="65"/>
      <c r="K229" s="83"/>
      <c r="L229" s="30"/>
      <c r="M229" s="39"/>
    </row>
    <row r="230" spans="1:13" x14ac:dyDescent="0.2">
      <c r="A230" s="30"/>
      <c r="B230" s="30"/>
      <c r="C230" s="30"/>
      <c r="D230" s="30"/>
      <c r="E230" s="30"/>
      <c r="F230" s="30"/>
      <c r="G230" s="30"/>
      <c r="H230" s="30"/>
      <c r="I230" s="30"/>
      <c r="J230" s="65"/>
      <c r="K230" s="83"/>
      <c r="L230" s="30"/>
      <c r="M230" s="39"/>
    </row>
    <row r="231" spans="1:13" x14ac:dyDescent="0.2">
      <c r="A231" s="30"/>
      <c r="B231" s="30"/>
      <c r="C231" s="30"/>
      <c r="D231" s="30"/>
      <c r="E231" s="30"/>
      <c r="F231" s="30"/>
      <c r="G231" s="30"/>
      <c r="H231" s="30"/>
      <c r="I231" s="30"/>
      <c r="J231" s="65"/>
      <c r="K231" s="83"/>
      <c r="L231" s="30"/>
      <c r="M231" s="39"/>
    </row>
    <row r="232" spans="1:13" x14ac:dyDescent="0.2">
      <c r="A232" s="30"/>
      <c r="B232" s="30"/>
      <c r="C232" s="30"/>
      <c r="D232" s="30"/>
      <c r="E232" s="30"/>
      <c r="F232" s="30"/>
      <c r="G232" s="30"/>
      <c r="H232" s="30"/>
      <c r="I232" s="30"/>
      <c r="J232" s="65"/>
      <c r="K232" s="83"/>
      <c r="L232" s="30"/>
      <c r="M232" s="39"/>
    </row>
    <row r="233" spans="1:13" x14ac:dyDescent="0.2">
      <c r="A233" s="30"/>
      <c r="B233" s="30"/>
      <c r="C233" s="30"/>
      <c r="D233" s="30"/>
      <c r="E233" s="30"/>
      <c r="F233" s="30"/>
      <c r="G233" s="30"/>
      <c r="H233" s="30"/>
      <c r="I233" s="30"/>
      <c r="J233" s="65"/>
      <c r="K233" s="83"/>
      <c r="L233" s="30"/>
      <c r="M233" s="39"/>
    </row>
    <row r="234" spans="1:13" x14ac:dyDescent="0.2">
      <c r="A234" s="30"/>
      <c r="B234" s="30"/>
      <c r="C234" s="30"/>
      <c r="D234" s="30"/>
      <c r="E234" s="30"/>
      <c r="F234" s="30"/>
      <c r="G234" s="30"/>
      <c r="H234" s="30"/>
      <c r="I234" s="30"/>
      <c r="J234" s="65"/>
      <c r="K234" s="83"/>
      <c r="L234" s="30"/>
      <c r="M234" s="39"/>
    </row>
    <row r="235" spans="1:13" x14ac:dyDescent="0.2">
      <c r="A235" s="30"/>
      <c r="B235" s="30"/>
      <c r="C235" s="30"/>
      <c r="D235" s="30"/>
      <c r="E235" s="30"/>
      <c r="F235" s="30"/>
      <c r="G235" s="30"/>
      <c r="H235" s="30"/>
      <c r="I235" s="30"/>
      <c r="J235" s="65"/>
      <c r="K235" s="83"/>
      <c r="L235" s="30"/>
      <c r="M235" s="39"/>
    </row>
    <row r="236" spans="1:13" x14ac:dyDescent="0.2">
      <c r="A236" s="30"/>
      <c r="B236" s="30"/>
      <c r="C236" s="30"/>
      <c r="D236" s="30"/>
      <c r="E236" s="30"/>
      <c r="F236" s="30"/>
      <c r="G236" s="30"/>
      <c r="H236" s="30"/>
      <c r="I236" s="30"/>
      <c r="J236" s="65"/>
      <c r="K236" s="83"/>
      <c r="L236" s="30"/>
      <c r="M236" s="39"/>
    </row>
    <row r="237" spans="1:13" x14ac:dyDescent="0.2">
      <c r="A237" s="30"/>
      <c r="B237" s="30"/>
      <c r="C237" s="30"/>
      <c r="D237" s="30"/>
      <c r="E237" s="30"/>
      <c r="F237" s="30"/>
      <c r="G237" s="30"/>
      <c r="H237" s="30"/>
      <c r="I237" s="30"/>
      <c r="J237" s="65"/>
      <c r="K237" s="83"/>
      <c r="L237" s="30"/>
      <c r="M237" s="39"/>
    </row>
    <row r="238" spans="1:13" x14ac:dyDescent="0.2">
      <c r="A238" s="30"/>
      <c r="B238" s="30"/>
      <c r="C238" s="30"/>
      <c r="D238" s="30"/>
      <c r="E238" s="30"/>
      <c r="F238" s="30"/>
      <c r="G238" s="30"/>
      <c r="H238" s="30"/>
      <c r="I238" s="30"/>
      <c r="J238" s="65"/>
      <c r="K238" s="83"/>
      <c r="L238" s="30"/>
      <c r="M238" s="39"/>
    </row>
    <row r="239" spans="1:13" x14ac:dyDescent="0.2">
      <c r="A239" s="30"/>
      <c r="B239" s="30"/>
      <c r="C239" s="30"/>
      <c r="D239" s="30"/>
      <c r="E239" s="30"/>
      <c r="F239" s="30"/>
      <c r="G239" s="30"/>
      <c r="H239" s="30"/>
      <c r="I239" s="30"/>
      <c r="J239" s="65"/>
      <c r="K239" s="83"/>
      <c r="L239" s="30"/>
      <c r="M239" s="39"/>
    </row>
    <row r="240" spans="1:13" x14ac:dyDescent="0.2">
      <c r="A240" s="30"/>
      <c r="B240" s="30"/>
      <c r="C240" s="30"/>
      <c r="D240" s="30"/>
      <c r="E240" s="30"/>
      <c r="F240" s="30"/>
      <c r="G240" s="30"/>
      <c r="H240" s="30"/>
      <c r="I240" s="30"/>
      <c r="J240" s="65"/>
      <c r="K240" s="83"/>
      <c r="L240" s="30"/>
      <c r="M240" s="39"/>
    </row>
    <row r="241" spans="1:13" x14ac:dyDescent="0.2">
      <c r="A241" s="30"/>
      <c r="B241" s="30"/>
      <c r="C241" s="30"/>
      <c r="D241" s="30"/>
      <c r="E241" s="30"/>
      <c r="F241" s="30"/>
      <c r="G241" s="30"/>
      <c r="H241" s="30"/>
      <c r="I241" s="30"/>
      <c r="J241" s="65"/>
      <c r="K241" s="83"/>
      <c r="L241" s="30"/>
      <c r="M241" s="39"/>
    </row>
    <row r="242" spans="1:13" x14ac:dyDescent="0.2">
      <c r="A242" s="30"/>
      <c r="B242" s="30"/>
      <c r="C242" s="30"/>
      <c r="D242" s="30"/>
      <c r="E242" s="30"/>
      <c r="F242" s="30"/>
      <c r="G242" s="30"/>
      <c r="H242" s="30"/>
      <c r="I242" s="30"/>
      <c r="J242" s="65"/>
      <c r="K242" s="83"/>
      <c r="L242" s="30"/>
      <c r="M242" s="39"/>
    </row>
    <row r="243" spans="1:13" x14ac:dyDescent="0.2">
      <c r="A243" s="30"/>
      <c r="B243" s="30"/>
      <c r="C243" s="30"/>
      <c r="D243" s="30"/>
      <c r="E243" s="30"/>
      <c r="F243" s="30"/>
      <c r="G243" s="30"/>
      <c r="H243" s="30"/>
      <c r="I243" s="30"/>
      <c r="J243" s="65"/>
      <c r="K243" s="83"/>
      <c r="L243" s="30"/>
      <c r="M243" s="39"/>
    </row>
    <row r="244" spans="1:13" x14ac:dyDescent="0.2">
      <c r="A244" s="30"/>
      <c r="B244" s="30"/>
      <c r="C244" s="30"/>
      <c r="D244" s="30"/>
      <c r="E244" s="30"/>
      <c r="F244" s="30"/>
      <c r="G244" s="30"/>
      <c r="H244" s="30"/>
      <c r="I244" s="30"/>
      <c r="J244" s="65"/>
      <c r="K244" s="83"/>
      <c r="L244" s="30"/>
      <c r="M244" s="39"/>
    </row>
    <row r="245" spans="1:13" x14ac:dyDescent="0.2">
      <c r="A245" s="30"/>
      <c r="B245" s="30"/>
      <c r="C245" s="30"/>
      <c r="D245" s="30"/>
      <c r="E245" s="30"/>
      <c r="F245" s="30"/>
      <c r="G245" s="30"/>
      <c r="H245" s="30"/>
      <c r="I245" s="30"/>
      <c r="J245" s="65"/>
      <c r="K245" s="83"/>
      <c r="L245" s="30"/>
      <c r="M245" s="39"/>
    </row>
    <row r="246" spans="1:13" x14ac:dyDescent="0.2">
      <c r="A246" s="30"/>
      <c r="B246" s="30"/>
      <c r="C246" s="30"/>
      <c r="D246" s="30"/>
      <c r="E246" s="30"/>
      <c r="F246" s="30"/>
      <c r="G246" s="30"/>
      <c r="H246" s="30"/>
      <c r="I246" s="30"/>
      <c r="J246" s="65"/>
      <c r="K246" s="83"/>
      <c r="L246" s="30"/>
      <c r="M246" s="39"/>
    </row>
    <row r="247" spans="1:13" x14ac:dyDescent="0.2">
      <c r="A247" s="30"/>
      <c r="B247" s="30"/>
      <c r="C247" s="30"/>
      <c r="D247" s="30"/>
      <c r="E247" s="30"/>
      <c r="F247" s="30"/>
      <c r="G247" s="30"/>
      <c r="H247" s="30"/>
      <c r="I247" s="30"/>
      <c r="J247" s="65"/>
      <c r="K247" s="83"/>
      <c r="L247" s="30"/>
      <c r="M247" s="39"/>
    </row>
    <row r="248" spans="1:13" x14ac:dyDescent="0.2">
      <c r="A248" s="30"/>
      <c r="B248" s="30"/>
      <c r="C248" s="30"/>
      <c r="D248" s="30"/>
      <c r="E248" s="30"/>
      <c r="F248" s="30"/>
      <c r="G248" s="30"/>
      <c r="H248" s="30"/>
      <c r="I248" s="30"/>
      <c r="J248" s="65"/>
      <c r="K248" s="83"/>
      <c r="L248" s="30"/>
      <c r="M248" s="39"/>
    </row>
    <row r="249" spans="1:13" x14ac:dyDescent="0.2">
      <c r="A249" s="30"/>
      <c r="B249" s="30"/>
      <c r="C249" s="30"/>
      <c r="D249" s="30"/>
      <c r="E249" s="30"/>
      <c r="F249" s="30"/>
      <c r="G249" s="30"/>
      <c r="H249" s="30"/>
      <c r="I249" s="30"/>
      <c r="J249" s="65"/>
      <c r="K249" s="83"/>
      <c r="L249" s="30"/>
      <c r="M249" s="39"/>
    </row>
    <row r="250" spans="1:13" x14ac:dyDescent="0.2">
      <c r="A250" s="30"/>
      <c r="B250" s="30"/>
      <c r="C250" s="30"/>
      <c r="D250" s="30"/>
      <c r="E250" s="30"/>
      <c r="F250" s="30"/>
      <c r="G250" s="30"/>
      <c r="H250" s="30"/>
      <c r="I250" s="30"/>
      <c r="J250" s="65"/>
      <c r="K250" s="83"/>
      <c r="L250" s="30"/>
      <c r="M250" s="39"/>
    </row>
    <row r="251" spans="1:13" x14ac:dyDescent="0.2">
      <c r="A251" s="30"/>
      <c r="B251" s="30"/>
      <c r="C251" s="30"/>
      <c r="D251" s="30"/>
      <c r="E251" s="30"/>
      <c r="F251" s="30"/>
      <c r="G251" s="30"/>
      <c r="H251" s="30"/>
      <c r="I251" s="30"/>
      <c r="J251" s="65"/>
      <c r="K251" s="83"/>
      <c r="L251" s="30"/>
      <c r="M251" s="39"/>
    </row>
    <row r="252" spans="1:13" x14ac:dyDescent="0.2">
      <c r="A252" s="30"/>
      <c r="B252" s="30"/>
      <c r="C252" s="30"/>
      <c r="D252" s="30"/>
      <c r="E252" s="30"/>
      <c r="F252" s="30"/>
      <c r="G252" s="30"/>
      <c r="H252" s="30"/>
      <c r="I252" s="30"/>
      <c r="J252" s="65"/>
      <c r="K252" s="83"/>
      <c r="L252" s="30"/>
      <c r="M252" s="39"/>
    </row>
    <row r="253" spans="1:13" x14ac:dyDescent="0.2">
      <c r="A253" s="30"/>
      <c r="B253" s="30"/>
      <c r="C253" s="30"/>
      <c r="D253" s="30"/>
      <c r="E253" s="30"/>
      <c r="F253" s="30"/>
      <c r="G253" s="30"/>
      <c r="H253" s="30"/>
      <c r="I253" s="30"/>
      <c r="J253" s="65"/>
      <c r="K253" s="83"/>
      <c r="L253" s="30"/>
      <c r="M253" s="39"/>
    </row>
    <row r="254" spans="1:13" x14ac:dyDescent="0.2">
      <c r="A254" s="30"/>
      <c r="B254" s="30"/>
      <c r="C254" s="30"/>
      <c r="D254" s="30"/>
      <c r="E254" s="30"/>
      <c r="F254" s="30"/>
      <c r="G254" s="30"/>
      <c r="H254" s="30"/>
      <c r="I254" s="30"/>
      <c r="J254" s="65"/>
      <c r="K254" s="83"/>
      <c r="L254" s="30"/>
      <c r="M254" s="39"/>
    </row>
    <row r="255" spans="1:13" x14ac:dyDescent="0.2">
      <c r="A255" s="30"/>
      <c r="B255" s="30"/>
      <c r="C255" s="30"/>
      <c r="D255" s="30"/>
      <c r="E255" s="30"/>
      <c r="F255" s="30"/>
      <c r="G255" s="30"/>
      <c r="H255" s="30"/>
      <c r="I255" s="30"/>
      <c r="J255" s="65"/>
      <c r="K255" s="83"/>
      <c r="L255" s="30"/>
      <c r="M255" s="39"/>
    </row>
    <row r="256" spans="1:13" x14ac:dyDescent="0.2">
      <c r="A256" s="30"/>
      <c r="B256" s="30"/>
      <c r="C256" s="30"/>
      <c r="D256" s="30"/>
      <c r="E256" s="30"/>
      <c r="F256" s="30"/>
      <c r="G256" s="30"/>
      <c r="H256" s="30"/>
      <c r="I256" s="30"/>
      <c r="J256" s="65"/>
      <c r="K256" s="83"/>
      <c r="L256" s="30"/>
      <c r="M256" s="39"/>
    </row>
    <row r="257" spans="1:13" x14ac:dyDescent="0.2">
      <c r="A257" s="30"/>
      <c r="B257" s="30"/>
      <c r="C257" s="30"/>
      <c r="D257" s="30"/>
      <c r="E257" s="30"/>
      <c r="F257" s="30"/>
      <c r="G257" s="30"/>
      <c r="H257" s="30"/>
      <c r="I257" s="30"/>
      <c r="J257" s="65"/>
      <c r="K257" s="83"/>
      <c r="L257" s="30"/>
      <c r="M257" s="39"/>
    </row>
    <row r="258" spans="1:13" x14ac:dyDescent="0.2">
      <c r="A258" s="30"/>
      <c r="B258" s="30"/>
      <c r="C258" s="30"/>
      <c r="D258" s="30"/>
      <c r="E258" s="30"/>
      <c r="F258" s="30"/>
      <c r="G258" s="30"/>
      <c r="H258" s="30"/>
      <c r="I258" s="30"/>
      <c r="J258" s="65"/>
      <c r="K258" s="83"/>
      <c r="L258" s="30"/>
      <c r="M258" s="39"/>
    </row>
    <row r="259" spans="1:13" x14ac:dyDescent="0.2">
      <c r="A259" s="30"/>
      <c r="B259" s="30"/>
      <c r="C259" s="30"/>
      <c r="D259" s="30"/>
      <c r="E259" s="30"/>
      <c r="F259" s="30"/>
      <c r="G259" s="30"/>
      <c r="H259" s="30"/>
      <c r="I259" s="30"/>
      <c r="J259" s="65"/>
      <c r="K259" s="83"/>
      <c r="L259" s="30"/>
      <c r="M259" s="39"/>
    </row>
    <row r="260" spans="1:13" x14ac:dyDescent="0.2">
      <c r="A260" s="30"/>
      <c r="B260" s="30"/>
      <c r="C260" s="30"/>
      <c r="D260" s="30"/>
      <c r="E260" s="30"/>
      <c r="F260" s="30"/>
      <c r="G260" s="30"/>
      <c r="H260" s="30"/>
      <c r="I260" s="30"/>
      <c r="J260" s="65"/>
      <c r="K260" s="83"/>
      <c r="L260" s="30"/>
      <c r="M260" s="39"/>
    </row>
    <row r="261" spans="1:13" x14ac:dyDescent="0.2">
      <c r="A261" s="30"/>
      <c r="B261" s="30"/>
      <c r="C261" s="30"/>
      <c r="D261" s="30"/>
      <c r="E261" s="30"/>
      <c r="F261" s="30"/>
      <c r="G261" s="30"/>
      <c r="H261" s="30"/>
      <c r="I261" s="30"/>
      <c r="J261" s="65"/>
      <c r="K261" s="83"/>
      <c r="L261" s="30"/>
      <c r="M261" s="39"/>
    </row>
    <row r="262" spans="1:13" x14ac:dyDescent="0.2">
      <c r="A262" s="30"/>
      <c r="B262" s="30"/>
      <c r="C262" s="30"/>
      <c r="D262" s="30"/>
      <c r="E262" s="30"/>
      <c r="F262" s="30"/>
      <c r="G262" s="30"/>
      <c r="H262" s="30"/>
      <c r="I262" s="30"/>
      <c r="J262" s="65"/>
      <c r="K262" s="83"/>
      <c r="L262" s="30"/>
      <c r="M262" s="39"/>
    </row>
    <row r="263" spans="1:13" x14ac:dyDescent="0.2">
      <c r="A263" s="30"/>
      <c r="B263" s="30"/>
      <c r="C263" s="30"/>
      <c r="D263" s="30"/>
      <c r="E263" s="30"/>
      <c r="F263" s="30"/>
      <c r="G263" s="30"/>
      <c r="H263" s="30"/>
      <c r="I263" s="30"/>
      <c r="J263" s="65"/>
      <c r="K263" s="83"/>
      <c r="L263" s="30"/>
      <c r="M263" s="39"/>
    </row>
    <row r="264" spans="1:13" x14ac:dyDescent="0.2">
      <c r="A264" s="30"/>
      <c r="B264" s="30"/>
      <c r="C264" s="30"/>
      <c r="D264" s="30"/>
      <c r="E264" s="30"/>
      <c r="F264" s="30"/>
      <c r="G264" s="30"/>
      <c r="H264" s="30"/>
      <c r="I264" s="30"/>
      <c r="J264" s="65"/>
      <c r="K264" s="83"/>
      <c r="L264" s="30"/>
      <c r="M264" s="39"/>
    </row>
    <row r="265" spans="1:13" x14ac:dyDescent="0.2">
      <c r="A265" s="30"/>
      <c r="B265" s="30"/>
      <c r="C265" s="30"/>
      <c r="D265" s="30"/>
      <c r="E265" s="30"/>
      <c r="F265" s="30"/>
      <c r="G265" s="30"/>
      <c r="H265" s="30"/>
      <c r="I265" s="30"/>
      <c r="J265" s="65"/>
      <c r="K265" s="83"/>
      <c r="L265" s="30"/>
      <c r="M265" s="39"/>
    </row>
    <row r="266" spans="1:13" x14ac:dyDescent="0.2">
      <c r="A266" s="30"/>
      <c r="B266" s="30"/>
      <c r="C266" s="30"/>
      <c r="D266" s="30"/>
      <c r="E266" s="30"/>
      <c r="F266" s="30"/>
      <c r="G266" s="30"/>
      <c r="H266" s="30"/>
      <c r="I266" s="30"/>
      <c r="J266" s="65"/>
      <c r="K266" s="83"/>
      <c r="L266" s="30"/>
      <c r="M266" s="39"/>
    </row>
    <row r="267" spans="1:13" x14ac:dyDescent="0.2">
      <c r="A267" s="30"/>
      <c r="B267" s="30"/>
      <c r="C267" s="30"/>
      <c r="D267" s="30"/>
      <c r="E267" s="30"/>
      <c r="F267" s="30"/>
      <c r="G267" s="30"/>
      <c r="H267" s="30"/>
      <c r="I267" s="30"/>
      <c r="J267" s="65"/>
      <c r="K267" s="83"/>
      <c r="L267" s="30"/>
      <c r="M267" s="39"/>
    </row>
    <row r="268" spans="1:13" x14ac:dyDescent="0.2">
      <c r="A268" s="30"/>
      <c r="B268" s="30"/>
      <c r="C268" s="30"/>
      <c r="D268" s="30"/>
      <c r="E268" s="30"/>
      <c r="F268" s="30"/>
      <c r="G268" s="30"/>
      <c r="H268" s="30"/>
      <c r="I268" s="30"/>
      <c r="J268" s="65"/>
      <c r="K268" s="83"/>
      <c r="L268" s="30"/>
      <c r="M268" s="39"/>
    </row>
    <row r="269" spans="1:13" x14ac:dyDescent="0.2">
      <c r="A269" s="30"/>
      <c r="B269" s="30"/>
      <c r="C269" s="30"/>
      <c r="D269" s="30"/>
      <c r="E269" s="30"/>
      <c r="F269" s="30"/>
      <c r="G269" s="30"/>
      <c r="H269" s="30"/>
      <c r="I269" s="30"/>
      <c r="J269" s="65"/>
      <c r="K269" s="83"/>
      <c r="L269" s="30"/>
      <c r="M269" s="39"/>
    </row>
    <row r="270" spans="1:13" x14ac:dyDescent="0.2">
      <c r="A270" s="30"/>
      <c r="B270" s="30"/>
      <c r="C270" s="30"/>
      <c r="D270" s="30"/>
      <c r="E270" s="30"/>
      <c r="F270" s="30"/>
      <c r="G270" s="30"/>
      <c r="H270" s="30"/>
      <c r="I270" s="30"/>
      <c r="J270" s="65"/>
      <c r="K270" s="83"/>
      <c r="L270" s="30"/>
      <c r="M270" s="39"/>
    </row>
    <row r="271" spans="1:13" x14ac:dyDescent="0.2">
      <c r="A271" s="30"/>
      <c r="B271" s="30"/>
      <c r="C271" s="30"/>
      <c r="D271" s="30"/>
      <c r="E271" s="30"/>
      <c r="F271" s="30"/>
      <c r="G271" s="30"/>
      <c r="H271" s="30"/>
      <c r="I271" s="30"/>
      <c r="J271" s="65"/>
      <c r="K271" s="83"/>
      <c r="L271" s="30"/>
      <c r="M271" s="39"/>
    </row>
    <row r="272" spans="1:13" x14ac:dyDescent="0.2">
      <c r="A272" s="30"/>
      <c r="B272" s="30"/>
      <c r="C272" s="30"/>
      <c r="D272" s="30"/>
      <c r="E272" s="30"/>
      <c r="F272" s="30"/>
      <c r="G272" s="30"/>
      <c r="H272" s="30"/>
      <c r="I272" s="30"/>
      <c r="J272" s="65"/>
      <c r="K272" s="83"/>
      <c r="L272" s="30"/>
      <c r="M272" s="39"/>
    </row>
    <row r="273" spans="1:13" x14ac:dyDescent="0.2">
      <c r="A273" s="30"/>
      <c r="B273" s="30"/>
      <c r="C273" s="30"/>
      <c r="D273" s="30"/>
      <c r="E273" s="30"/>
      <c r="F273" s="30"/>
      <c r="G273" s="30"/>
      <c r="H273" s="30"/>
      <c r="I273" s="30"/>
      <c r="J273" s="65"/>
      <c r="K273" s="83"/>
      <c r="L273" s="30"/>
      <c r="M273" s="39"/>
    </row>
    <row r="274" spans="1:13" x14ac:dyDescent="0.2">
      <c r="A274" s="30"/>
      <c r="B274" s="30"/>
      <c r="C274" s="30"/>
      <c r="D274" s="30"/>
      <c r="E274" s="30"/>
      <c r="F274" s="30"/>
      <c r="G274" s="30"/>
      <c r="H274" s="30"/>
      <c r="I274" s="30"/>
      <c r="J274" s="65"/>
      <c r="K274" s="83"/>
      <c r="L274" s="30"/>
      <c r="M274" s="39"/>
    </row>
    <row r="275" spans="1:13" x14ac:dyDescent="0.2">
      <c r="A275" s="30"/>
      <c r="B275" s="30"/>
      <c r="C275" s="30"/>
      <c r="D275" s="30"/>
      <c r="E275" s="30"/>
      <c r="F275" s="30"/>
      <c r="G275" s="30"/>
      <c r="H275" s="30"/>
      <c r="I275" s="30"/>
      <c r="J275" s="65"/>
      <c r="K275" s="83"/>
      <c r="L275" s="30"/>
      <c r="M275" s="39"/>
    </row>
    <row r="276" spans="1:13" x14ac:dyDescent="0.2">
      <c r="A276" s="30"/>
      <c r="B276" s="30"/>
      <c r="C276" s="30"/>
      <c r="D276" s="30"/>
      <c r="E276" s="30"/>
      <c r="F276" s="30"/>
      <c r="G276" s="30"/>
      <c r="H276" s="30"/>
      <c r="I276" s="30"/>
      <c r="J276" s="65"/>
      <c r="K276" s="83"/>
      <c r="L276" s="30"/>
      <c r="M276" s="39"/>
    </row>
    <row r="277" spans="1:13" x14ac:dyDescent="0.2">
      <c r="A277" s="30"/>
      <c r="B277" s="30"/>
      <c r="C277" s="30"/>
      <c r="D277" s="30"/>
      <c r="E277" s="30"/>
      <c r="F277" s="30"/>
      <c r="G277" s="30"/>
      <c r="H277" s="30"/>
      <c r="I277" s="30"/>
      <c r="J277" s="65"/>
      <c r="K277" s="83"/>
      <c r="L277" s="30"/>
      <c r="M277" s="39"/>
    </row>
    <row r="278" spans="1:13" x14ac:dyDescent="0.2">
      <c r="A278" s="30"/>
      <c r="B278" s="30"/>
      <c r="C278" s="30"/>
      <c r="D278" s="30"/>
      <c r="E278" s="30"/>
      <c r="F278" s="30"/>
      <c r="G278" s="30"/>
      <c r="H278" s="30"/>
      <c r="I278" s="30"/>
      <c r="J278" s="65"/>
      <c r="K278" s="83"/>
      <c r="L278" s="30"/>
      <c r="M278" s="39"/>
    </row>
    <row r="279" spans="1:13" x14ac:dyDescent="0.2">
      <c r="A279" s="30"/>
      <c r="B279" s="30"/>
      <c r="C279" s="30"/>
      <c r="D279" s="30"/>
      <c r="E279" s="30"/>
      <c r="F279" s="30"/>
      <c r="G279" s="30"/>
      <c r="H279" s="30"/>
      <c r="I279" s="30"/>
      <c r="J279" s="65"/>
      <c r="K279" s="83"/>
      <c r="L279" s="30"/>
      <c r="M279" s="39"/>
    </row>
    <row r="280" spans="1:13" x14ac:dyDescent="0.2">
      <c r="A280" s="30"/>
      <c r="B280" s="30"/>
      <c r="C280" s="30"/>
      <c r="D280" s="30"/>
      <c r="E280" s="30"/>
      <c r="F280" s="30"/>
      <c r="G280" s="30"/>
      <c r="H280" s="30"/>
      <c r="I280" s="30"/>
      <c r="J280" s="65"/>
      <c r="K280" s="83"/>
      <c r="L280" s="30"/>
      <c r="M280" s="39"/>
    </row>
    <row r="281" spans="1:13" x14ac:dyDescent="0.2">
      <c r="A281" s="30"/>
      <c r="B281" s="30"/>
      <c r="C281" s="30"/>
      <c r="D281" s="30"/>
      <c r="E281" s="30"/>
      <c r="F281" s="30"/>
      <c r="G281" s="30"/>
      <c r="H281" s="30"/>
      <c r="I281" s="30"/>
      <c r="J281" s="65"/>
      <c r="K281" s="83"/>
      <c r="L281" s="30"/>
      <c r="M281" s="39"/>
    </row>
    <row r="282" spans="1:13" x14ac:dyDescent="0.2">
      <c r="A282" s="30"/>
      <c r="B282" s="30"/>
      <c r="C282" s="30"/>
      <c r="D282" s="30"/>
      <c r="E282" s="30"/>
      <c r="F282" s="30"/>
      <c r="G282" s="30"/>
      <c r="H282" s="30"/>
      <c r="I282" s="30"/>
      <c r="J282" s="65"/>
      <c r="K282" s="83"/>
      <c r="L282" s="30"/>
      <c r="M282" s="39"/>
    </row>
    <row r="283" spans="1:13" x14ac:dyDescent="0.2">
      <c r="A283" s="30"/>
      <c r="B283" s="30"/>
      <c r="C283" s="30"/>
      <c r="D283" s="30"/>
      <c r="E283" s="30"/>
      <c r="F283" s="30"/>
      <c r="G283" s="30"/>
      <c r="H283" s="30"/>
      <c r="I283" s="30"/>
      <c r="J283" s="65"/>
      <c r="K283" s="83"/>
      <c r="L283" s="30"/>
      <c r="M283" s="39"/>
    </row>
    <row r="284" spans="1:13" x14ac:dyDescent="0.2">
      <c r="A284" s="30"/>
      <c r="B284" s="30"/>
      <c r="C284" s="30"/>
      <c r="D284" s="30"/>
      <c r="E284" s="30"/>
      <c r="F284" s="30"/>
      <c r="G284" s="30"/>
      <c r="H284" s="30"/>
      <c r="I284" s="30"/>
      <c r="J284" s="65"/>
      <c r="K284" s="83"/>
      <c r="L284" s="30"/>
      <c r="M284" s="39"/>
    </row>
    <row r="285" spans="1:13" x14ac:dyDescent="0.2">
      <c r="A285" s="30"/>
      <c r="B285" s="30"/>
      <c r="C285" s="30"/>
      <c r="D285" s="30"/>
      <c r="E285" s="30"/>
      <c r="F285" s="30"/>
      <c r="G285" s="30"/>
      <c r="H285" s="30"/>
      <c r="I285" s="30"/>
      <c r="J285" s="65"/>
      <c r="K285" s="83"/>
      <c r="L285" s="30"/>
      <c r="M285" s="39"/>
    </row>
    <row r="286" spans="1:13" x14ac:dyDescent="0.2">
      <c r="A286" s="30"/>
      <c r="B286" s="30"/>
      <c r="C286" s="30"/>
      <c r="D286" s="30"/>
      <c r="E286" s="30"/>
      <c r="F286" s="30"/>
      <c r="G286" s="30"/>
      <c r="H286" s="30"/>
      <c r="I286" s="30"/>
      <c r="J286" s="65"/>
      <c r="K286" s="83"/>
      <c r="L286" s="30"/>
      <c r="M286" s="39"/>
    </row>
    <row r="287" spans="1:13" x14ac:dyDescent="0.2">
      <c r="A287" s="30"/>
      <c r="B287" s="30"/>
      <c r="C287" s="30"/>
      <c r="D287" s="30"/>
      <c r="E287" s="30"/>
      <c r="F287" s="30"/>
      <c r="G287" s="30"/>
      <c r="H287" s="30"/>
      <c r="I287" s="30"/>
      <c r="J287" s="65"/>
      <c r="K287" s="83"/>
      <c r="L287" s="30"/>
      <c r="M287" s="39"/>
    </row>
    <row r="288" spans="1:13" x14ac:dyDescent="0.2">
      <c r="A288" s="30"/>
      <c r="B288" s="30"/>
      <c r="C288" s="30"/>
      <c r="D288" s="30"/>
      <c r="E288" s="30"/>
      <c r="F288" s="30"/>
      <c r="G288" s="30"/>
      <c r="H288" s="30"/>
      <c r="I288" s="30"/>
      <c r="J288" s="65"/>
      <c r="K288" s="83"/>
      <c r="L288" s="30"/>
      <c r="M288" s="39"/>
    </row>
    <row r="289" spans="1:13" x14ac:dyDescent="0.2">
      <c r="A289" s="30"/>
      <c r="B289" s="30"/>
      <c r="C289" s="30"/>
      <c r="D289" s="30"/>
      <c r="E289" s="30"/>
      <c r="F289" s="30"/>
      <c r="G289" s="30"/>
      <c r="H289" s="30"/>
      <c r="I289" s="30"/>
      <c r="J289" s="65"/>
      <c r="K289" s="83"/>
      <c r="L289" s="30"/>
      <c r="M289" s="39"/>
    </row>
    <row r="290" spans="1:13" x14ac:dyDescent="0.2">
      <c r="A290" s="30"/>
      <c r="B290" s="30"/>
      <c r="C290" s="30"/>
      <c r="D290" s="30"/>
      <c r="E290" s="30"/>
      <c r="F290" s="30"/>
      <c r="G290" s="30"/>
      <c r="H290" s="30"/>
      <c r="I290" s="30"/>
      <c r="J290" s="65"/>
      <c r="K290" s="83"/>
      <c r="L290" s="30"/>
      <c r="M290" s="39"/>
    </row>
    <row r="291" spans="1:13" x14ac:dyDescent="0.2">
      <c r="A291" s="30"/>
      <c r="B291" s="30"/>
      <c r="C291" s="30"/>
      <c r="D291" s="30"/>
      <c r="E291" s="30"/>
      <c r="F291" s="30"/>
      <c r="G291" s="30"/>
      <c r="H291" s="30"/>
      <c r="I291" s="30"/>
      <c r="J291" s="65"/>
      <c r="K291" s="83"/>
      <c r="L291" s="30"/>
      <c r="M291" s="39"/>
    </row>
    <row r="292" spans="1:13" x14ac:dyDescent="0.2">
      <c r="A292" s="30"/>
      <c r="B292" s="30"/>
      <c r="C292" s="30"/>
      <c r="D292" s="30"/>
      <c r="E292" s="30"/>
      <c r="F292" s="30"/>
      <c r="G292" s="30"/>
      <c r="H292" s="30"/>
      <c r="I292" s="30"/>
      <c r="J292" s="65"/>
      <c r="K292" s="83"/>
      <c r="L292" s="30"/>
      <c r="M292" s="39"/>
    </row>
    <row r="293" spans="1:13" x14ac:dyDescent="0.2">
      <c r="A293" s="30"/>
      <c r="B293" s="30"/>
      <c r="C293" s="30"/>
      <c r="D293" s="30"/>
      <c r="E293" s="30"/>
      <c r="F293" s="30"/>
      <c r="G293" s="30"/>
      <c r="H293" s="30"/>
      <c r="I293" s="30"/>
      <c r="J293" s="65"/>
      <c r="K293" s="83"/>
      <c r="L293" s="30"/>
      <c r="M293" s="39"/>
    </row>
    <row r="294" spans="1:13" x14ac:dyDescent="0.2">
      <c r="A294" s="30"/>
      <c r="B294" s="30"/>
      <c r="C294" s="30"/>
      <c r="D294" s="30"/>
      <c r="E294" s="30"/>
      <c r="F294" s="30"/>
      <c r="G294" s="30"/>
      <c r="H294" s="30"/>
      <c r="I294" s="30"/>
      <c r="J294" s="65"/>
      <c r="K294" s="83"/>
      <c r="L294" s="30"/>
      <c r="M294" s="39"/>
    </row>
    <row r="295" spans="1:13" x14ac:dyDescent="0.2">
      <c r="A295" s="30"/>
      <c r="B295" s="30"/>
      <c r="C295" s="30"/>
      <c r="D295" s="30"/>
      <c r="E295" s="30"/>
      <c r="F295" s="30"/>
      <c r="G295" s="30"/>
      <c r="H295" s="30"/>
      <c r="I295" s="30"/>
      <c r="J295" s="65"/>
      <c r="K295" s="83"/>
      <c r="L295" s="30"/>
      <c r="M295" s="39"/>
    </row>
    <row r="296" spans="1:13" x14ac:dyDescent="0.2">
      <c r="A296" s="30"/>
      <c r="B296" s="30"/>
      <c r="C296" s="30"/>
      <c r="D296" s="30"/>
      <c r="E296" s="30"/>
      <c r="F296" s="30"/>
      <c r="G296" s="30"/>
      <c r="H296" s="30"/>
      <c r="I296" s="30"/>
      <c r="J296" s="65"/>
      <c r="K296" s="83"/>
      <c r="L296" s="30"/>
      <c r="M296" s="39"/>
    </row>
    <row r="297" spans="1:13" x14ac:dyDescent="0.2">
      <c r="A297" s="30"/>
      <c r="B297" s="30"/>
      <c r="C297" s="30"/>
      <c r="D297" s="30"/>
      <c r="E297" s="30"/>
      <c r="F297" s="30"/>
      <c r="G297" s="30"/>
      <c r="H297" s="30"/>
      <c r="I297" s="30"/>
      <c r="J297" s="65"/>
      <c r="K297" s="83"/>
      <c r="L297" s="30"/>
      <c r="M297" s="39"/>
    </row>
    <row r="298" spans="1:13" x14ac:dyDescent="0.2">
      <c r="A298" s="30"/>
      <c r="B298" s="30"/>
      <c r="C298" s="30"/>
      <c r="D298" s="30"/>
      <c r="E298" s="30"/>
      <c r="F298" s="30"/>
      <c r="G298" s="30"/>
      <c r="H298" s="30"/>
      <c r="I298" s="30"/>
      <c r="J298" s="65"/>
      <c r="K298" s="83"/>
      <c r="L298" s="30"/>
      <c r="M298" s="39"/>
    </row>
    <row r="299" spans="1:13" x14ac:dyDescent="0.2">
      <c r="A299" s="30"/>
      <c r="B299" s="30"/>
      <c r="C299" s="30"/>
      <c r="D299" s="30"/>
      <c r="E299" s="30"/>
      <c r="F299" s="30"/>
      <c r="G299" s="30"/>
      <c r="H299" s="30"/>
      <c r="I299" s="30"/>
      <c r="J299" s="65"/>
      <c r="K299" s="83"/>
      <c r="L299" s="30"/>
      <c r="M299" s="39"/>
    </row>
    <row r="300" spans="1:13" x14ac:dyDescent="0.2">
      <c r="A300" s="30"/>
      <c r="B300" s="30"/>
      <c r="C300" s="30"/>
      <c r="D300" s="30"/>
      <c r="E300" s="30"/>
      <c r="F300" s="30"/>
      <c r="G300" s="30"/>
      <c r="H300" s="30"/>
      <c r="I300" s="30"/>
      <c r="J300" s="65"/>
      <c r="K300" s="83"/>
      <c r="L300" s="30"/>
      <c r="M300" s="39"/>
    </row>
    <row r="301" spans="1:13" x14ac:dyDescent="0.2">
      <c r="A301" s="30"/>
      <c r="B301" s="30"/>
      <c r="C301" s="30"/>
      <c r="D301" s="30"/>
      <c r="E301" s="30"/>
      <c r="F301" s="30"/>
      <c r="G301" s="30"/>
      <c r="H301" s="30"/>
      <c r="I301" s="30"/>
      <c r="J301" s="65"/>
      <c r="K301" s="83"/>
      <c r="L301" s="30"/>
      <c r="M301" s="39"/>
    </row>
    <row r="302" spans="1:13" x14ac:dyDescent="0.2">
      <c r="A302" s="30"/>
      <c r="B302" s="30"/>
      <c r="C302" s="30"/>
      <c r="D302" s="30"/>
      <c r="E302" s="30"/>
      <c r="F302" s="30"/>
      <c r="G302" s="30"/>
      <c r="H302" s="30"/>
      <c r="I302" s="30"/>
      <c r="J302" s="65"/>
      <c r="K302" s="83"/>
      <c r="L302" s="30"/>
      <c r="M302" s="39"/>
    </row>
    <row r="303" spans="1:13" x14ac:dyDescent="0.2">
      <c r="A303" s="30"/>
      <c r="B303" s="30"/>
      <c r="C303" s="30"/>
      <c r="D303" s="30"/>
      <c r="E303" s="30"/>
      <c r="F303" s="30"/>
      <c r="G303" s="30"/>
      <c r="H303" s="30"/>
      <c r="I303" s="30"/>
      <c r="J303" s="65"/>
      <c r="K303" s="83"/>
      <c r="L303" s="30"/>
      <c r="M303" s="39"/>
    </row>
    <row r="304" spans="1:13" x14ac:dyDescent="0.2">
      <c r="A304" s="30"/>
      <c r="B304" s="30"/>
      <c r="C304" s="30"/>
      <c r="D304" s="30"/>
      <c r="E304" s="30"/>
      <c r="F304" s="30"/>
      <c r="G304" s="30"/>
      <c r="H304" s="30"/>
      <c r="I304" s="30"/>
      <c r="J304" s="65"/>
      <c r="K304" s="83"/>
      <c r="L304" s="30"/>
      <c r="M304" s="39"/>
    </row>
    <row r="305" spans="1:13" x14ac:dyDescent="0.2">
      <c r="A305" s="30"/>
      <c r="B305" s="30"/>
      <c r="C305" s="30"/>
      <c r="D305" s="30"/>
      <c r="E305" s="30"/>
      <c r="F305" s="30"/>
      <c r="G305" s="30"/>
      <c r="H305" s="30"/>
      <c r="I305" s="30"/>
      <c r="J305" s="65"/>
      <c r="K305" s="83"/>
      <c r="L305" s="30"/>
      <c r="M305" s="39"/>
    </row>
    <row r="306" spans="1:13" x14ac:dyDescent="0.2">
      <c r="A306" s="30"/>
      <c r="B306" s="30"/>
      <c r="C306" s="30"/>
      <c r="D306" s="30"/>
      <c r="E306" s="30"/>
      <c r="F306" s="30"/>
      <c r="G306" s="30"/>
      <c r="H306" s="30"/>
      <c r="I306" s="30"/>
      <c r="J306" s="65"/>
      <c r="K306" s="83"/>
      <c r="L306" s="30"/>
      <c r="M306" s="39"/>
    </row>
    <row r="307" spans="1:13" x14ac:dyDescent="0.2">
      <c r="A307" s="30"/>
      <c r="B307" s="30"/>
      <c r="C307" s="30"/>
      <c r="D307" s="30"/>
      <c r="E307" s="30"/>
      <c r="F307" s="30"/>
      <c r="G307" s="30"/>
      <c r="H307" s="30"/>
      <c r="I307" s="30"/>
      <c r="J307" s="65"/>
      <c r="K307" s="83"/>
      <c r="L307" s="30"/>
      <c r="M307" s="39"/>
    </row>
    <row r="308" spans="1:13" x14ac:dyDescent="0.2">
      <c r="A308" s="30"/>
      <c r="B308" s="30"/>
      <c r="C308" s="30"/>
      <c r="D308" s="30"/>
      <c r="E308" s="30"/>
      <c r="F308" s="30"/>
      <c r="G308" s="30"/>
      <c r="H308" s="30"/>
      <c r="I308" s="30"/>
      <c r="J308" s="65"/>
      <c r="K308" s="83"/>
      <c r="L308" s="30"/>
      <c r="M308" s="39"/>
    </row>
    <row r="309" spans="1:13" x14ac:dyDescent="0.2">
      <c r="A309" s="30"/>
      <c r="B309" s="30"/>
      <c r="C309" s="30"/>
      <c r="D309" s="30"/>
      <c r="E309" s="30"/>
      <c r="F309" s="30"/>
      <c r="G309" s="30"/>
      <c r="H309" s="30"/>
      <c r="I309" s="30"/>
      <c r="J309" s="65"/>
      <c r="K309" s="83"/>
      <c r="L309" s="30"/>
      <c r="M309" s="39"/>
    </row>
    <row r="310" spans="1:13" x14ac:dyDescent="0.2">
      <c r="A310" s="30"/>
      <c r="B310" s="30"/>
      <c r="C310" s="30"/>
      <c r="D310" s="30"/>
      <c r="E310" s="30"/>
      <c r="F310" s="30"/>
      <c r="G310" s="30"/>
      <c r="H310" s="30"/>
      <c r="I310" s="30"/>
      <c r="J310" s="65"/>
      <c r="K310" s="83"/>
      <c r="L310" s="30"/>
      <c r="M310" s="39"/>
    </row>
    <row r="311" spans="1:13" x14ac:dyDescent="0.2">
      <c r="A311" s="30"/>
      <c r="B311" s="30"/>
      <c r="C311" s="30"/>
      <c r="D311" s="30"/>
      <c r="E311" s="30"/>
      <c r="F311" s="30"/>
      <c r="G311" s="30"/>
      <c r="H311" s="30"/>
      <c r="I311" s="30"/>
      <c r="J311" s="65"/>
      <c r="K311" s="83"/>
      <c r="L311" s="30"/>
      <c r="M311" s="39"/>
    </row>
    <row r="312" spans="1:13" x14ac:dyDescent="0.2">
      <c r="A312" s="30"/>
      <c r="B312" s="30"/>
      <c r="C312" s="30"/>
      <c r="D312" s="30"/>
      <c r="E312" s="30"/>
      <c r="F312" s="30"/>
      <c r="G312" s="30"/>
      <c r="H312" s="30"/>
      <c r="I312" s="30"/>
      <c r="J312" s="65"/>
      <c r="K312" s="83"/>
      <c r="L312" s="30"/>
      <c r="M312" s="39"/>
    </row>
    <row r="313" spans="1:13" x14ac:dyDescent="0.2">
      <c r="A313" s="30"/>
      <c r="B313" s="30"/>
      <c r="C313" s="30"/>
      <c r="D313" s="30"/>
      <c r="E313" s="30"/>
      <c r="F313" s="30"/>
      <c r="G313" s="30"/>
      <c r="H313" s="30"/>
      <c r="I313" s="30"/>
      <c r="J313" s="65"/>
      <c r="K313" s="83"/>
      <c r="L313" s="30"/>
      <c r="M313" s="39"/>
    </row>
    <row r="314" spans="1:13" x14ac:dyDescent="0.2">
      <c r="A314" s="30"/>
      <c r="B314" s="30"/>
      <c r="C314" s="30"/>
      <c r="D314" s="30"/>
      <c r="E314" s="30"/>
      <c r="F314" s="30"/>
      <c r="G314" s="30"/>
      <c r="H314" s="30"/>
      <c r="I314" s="30"/>
      <c r="J314" s="65"/>
      <c r="K314" s="83"/>
      <c r="L314" s="30"/>
      <c r="M314" s="39"/>
    </row>
    <row r="315" spans="1:13" x14ac:dyDescent="0.2">
      <c r="A315" s="30"/>
      <c r="B315" s="30"/>
      <c r="C315" s="30"/>
      <c r="D315" s="30"/>
      <c r="E315" s="30"/>
      <c r="F315" s="30"/>
      <c r="G315" s="30"/>
      <c r="H315" s="30"/>
      <c r="I315" s="30"/>
      <c r="J315" s="65"/>
      <c r="K315" s="83"/>
      <c r="L315" s="30"/>
      <c r="M315" s="39"/>
    </row>
    <row r="316" spans="1:13" x14ac:dyDescent="0.2">
      <c r="A316" s="30"/>
      <c r="B316" s="30"/>
      <c r="C316" s="30"/>
      <c r="D316" s="30"/>
      <c r="E316" s="30"/>
      <c r="F316" s="30"/>
      <c r="G316" s="30"/>
      <c r="H316" s="30"/>
      <c r="I316" s="30"/>
      <c r="J316" s="65"/>
      <c r="K316" s="83"/>
      <c r="L316" s="30"/>
      <c r="M316" s="39"/>
    </row>
    <row r="317" spans="1:13" x14ac:dyDescent="0.2">
      <c r="A317" s="30"/>
      <c r="B317" s="30"/>
      <c r="C317" s="30"/>
      <c r="D317" s="30"/>
      <c r="E317" s="30"/>
      <c r="F317" s="30"/>
      <c r="G317" s="30"/>
      <c r="H317" s="30"/>
      <c r="I317" s="30"/>
      <c r="J317" s="65"/>
      <c r="K317" s="83"/>
      <c r="L317" s="30"/>
      <c r="M317" s="39"/>
    </row>
    <row r="318" spans="1:13" x14ac:dyDescent="0.2">
      <c r="A318" s="30"/>
      <c r="B318" s="30"/>
      <c r="C318" s="30"/>
      <c r="D318" s="30"/>
      <c r="E318" s="30"/>
      <c r="F318" s="30"/>
      <c r="G318" s="30"/>
      <c r="H318" s="30"/>
      <c r="I318" s="30"/>
      <c r="J318" s="65"/>
      <c r="K318" s="83"/>
      <c r="L318" s="30"/>
      <c r="M318" s="39"/>
    </row>
    <row r="319" spans="1:13" x14ac:dyDescent="0.2">
      <c r="A319" s="30"/>
      <c r="B319" s="30"/>
      <c r="C319" s="30"/>
      <c r="D319" s="30"/>
      <c r="E319" s="30"/>
      <c r="F319" s="30"/>
      <c r="G319" s="30"/>
      <c r="H319" s="30"/>
      <c r="I319" s="30"/>
      <c r="J319" s="65"/>
      <c r="K319" s="83"/>
      <c r="L319" s="30"/>
      <c r="M319" s="39"/>
    </row>
    <row r="320" spans="1:13" x14ac:dyDescent="0.2">
      <c r="A320" s="30"/>
      <c r="B320" s="30"/>
      <c r="C320" s="30"/>
      <c r="D320" s="30"/>
      <c r="E320" s="30"/>
      <c r="F320" s="30"/>
      <c r="G320" s="30"/>
      <c r="H320" s="30"/>
      <c r="I320" s="30"/>
      <c r="J320" s="65"/>
      <c r="K320" s="83"/>
      <c r="L320" s="30"/>
      <c r="M320" s="39"/>
    </row>
    <row r="321" spans="1:13" x14ac:dyDescent="0.2">
      <c r="A321" s="30"/>
      <c r="B321" s="30"/>
      <c r="C321" s="30"/>
      <c r="D321" s="30"/>
      <c r="E321" s="30"/>
      <c r="F321" s="30"/>
      <c r="G321" s="30"/>
      <c r="H321" s="30"/>
      <c r="I321" s="30"/>
      <c r="J321" s="65"/>
      <c r="K321" s="83"/>
      <c r="L321" s="30"/>
      <c r="M321" s="39"/>
    </row>
    <row r="322" spans="1:13" x14ac:dyDescent="0.2">
      <c r="A322" s="30"/>
      <c r="B322" s="30"/>
      <c r="C322" s="30"/>
      <c r="D322" s="30"/>
      <c r="E322" s="30"/>
      <c r="F322" s="30"/>
      <c r="G322" s="30"/>
      <c r="H322" s="30"/>
      <c r="I322" s="30"/>
      <c r="J322" s="65"/>
      <c r="K322" s="83"/>
      <c r="L322" s="30"/>
      <c r="M322" s="39"/>
    </row>
    <row r="323" spans="1:13" x14ac:dyDescent="0.2">
      <c r="A323" s="30"/>
      <c r="B323" s="30"/>
      <c r="C323" s="30"/>
      <c r="D323" s="30"/>
      <c r="E323" s="30"/>
      <c r="F323" s="30"/>
      <c r="G323" s="30"/>
      <c r="H323" s="30"/>
      <c r="I323" s="30"/>
      <c r="J323" s="65"/>
      <c r="K323" s="83"/>
      <c r="L323" s="30"/>
      <c r="M323" s="39"/>
    </row>
    <row r="324" spans="1:13" x14ac:dyDescent="0.2">
      <c r="A324" s="30"/>
      <c r="B324" s="30"/>
      <c r="C324" s="30"/>
      <c r="D324" s="30"/>
      <c r="E324" s="30"/>
      <c r="F324" s="30"/>
      <c r="G324" s="30"/>
      <c r="H324" s="30"/>
      <c r="I324" s="30"/>
      <c r="J324" s="65"/>
      <c r="K324" s="83"/>
      <c r="L324" s="30"/>
      <c r="M324" s="39"/>
    </row>
    <row r="325" spans="1:13" x14ac:dyDescent="0.2">
      <c r="A325" s="30"/>
      <c r="B325" s="30"/>
      <c r="C325" s="30"/>
      <c r="D325" s="30"/>
      <c r="E325" s="30"/>
      <c r="F325" s="30"/>
      <c r="G325" s="30"/>
      <c r="H325" s="30"/>
      <c r="I325" s="30"/>
      <c r="J325" s="65"/>
      <c r="K325" s="83"/>
      <c r="L325" s="30"/>
      <c r="M325" s="39"/>
    </row>
    <row r="326" spans="1:13" x14ac:dyDescent="0.2">
      <c r="A326" s="30"/>
      <c r="B326" s="30"/>
      <c r="C326" s="30"/>
      <c r="D326" s="30"/>
      <c r="E326" s="30"/>
      <c r="F326" s="30"/>
      <c r="G326" s="30"/>
      <c r="H326" s="30"/>
      <c r="I326" s="30"/>
      <c r="J326" s="65"/>
      <c r="K326" s="83"/>
      <c r="L326" s="30"/>
      <c r="M326" s="39"/>
    </row>
    <row r="327" spans="1:13" x14ac:dyDescent="0.2">
      <c r="A327" s="30"/>
      <c r="B327" s="30"/>
      <c r="C327" s="30"/>
      <c r="D327" s="30"/>
      <c r="E327" s="30"/>
      <c r="F327" s="30"/>
      <c r="G327" s="30"/>
      <c r="H327" s="30"/>
      <c r="I327" s="30"/>
      <c r="J327" s="65"/>
      <c r="K327" s="83"/>
      <c r="L327" s="30"/>
      <c r="M327" s="39"/>
    </row>
    <row r="328" spans="1:13" x14ac:dyDescent="0.2">
      <c r="A328" s="30"/>
      <c r="B328" s="30"/>
      <c r="C328" s="30"/>
      <c r="D328" s="30"/>
      <c r="E328" s="30"/>
      <c r="F328" s="30"/>
      <c r="G328" s="30"/>
      <c r="H328" s="30"/>
      <c r="I328" s="30"/>
      <c r="J328" s="65"/>
      <c r="K328" s="83"/>
      <c r="L328" s="30"/>
      <c r="M328" s="39"/>
    </row>
    <row r="329" spans="1:13" x14ac:dyDescent="0.2">
      <c r="A329" s="30"/>
      <c r="B329" s="30"/>
      <c r="C329" s="30"/>
      <c r="D329" s="30"/>
      <c r="E329" s="30"/>
      <c r="F329" s="30"/>
      <c r="G329" s="30"/>
      <c r="H329" s="30"/>
      <c r="I329" s="30"/>
      <c r="J329" s="65"/>
      <c r="K329" s="83"/>
      <c r="L329" s="30"/>
      <c r="M329" s="39"/>
    </row>
    <row r="330" spans="1:13" x14ac:dyDescent="0.2">
      <c r="A330" s="30"/>
      <c r="B330" s="30"/>
      <c r="C330" s="30"/>
      <c r="D330" s="30"/>
      <c r="E330" s="30"/>
      <c r="F330" s="30"/>
      <c r="G330" s="30"/>
      <c r="H330" s="30"/>
      <c r="I330" s="30"/>
      <c r="J330" s="65"/>
      <c r="K330" s="83"/>
      <c r="L330" s="30"/>
      <c r="M330" s="39"/>
    </row>
    <row r="331" spans="1:13" x14ac:dyDescent="0.2">
      <c r="A331" s="30"/>
      <c r="B331" s="30"/>
      <c r="C331" s="30"/>
      <c r="D331" s="30"/>
      <c r="E331" s="30"/>
      <c r="F331" s="30"/>
      <c r="G331" s="30"/>
      <c r="H331" s="30"/>
      <c r="I331" s="30"/>
      <c r="J331" s="65"/>
      <c r="K331" s="83"/>
      <c r="L331" s="30"/>
      <c r="M331" s="39"/>
    </row>
    <row r="332" spans="1:13" x14ac:dyDescent="0.2">
      <c r="A332" s="30"/>
      <c r="B332" s="30"/>
      <c r="C332" s="30"/>
      <c r="D332" s="30"/>
      <c r="E332" s="30"/>
      <c r="F332" s="30"/>
      <c r="G332" s="30"/>
      <c r="H332" s="30"/>
      <c r="I332" s="30"/>
      <c r="J332" s="65"/>
      <c r="K332" s="83"/>
      <c r="L332" s="30"/>
      <c r="M332" s="39"/>
    </row>
    <row r="333" spans="1:13" x14ac:dyDescent="0.2">
      <c r="A333" s="30"/>
      <c r="B333" s="30"/>
      <c r="C333" s="30"/>
      <c r="D333" s="30"/>
      <c r="E333" s="30"/>
      <c r="F333" s="30"/>
      <c r="G333" s="30"/>
      <c r="H333" s="30"/>
      <c r="I333" s="30"/>
      <c r="J333" s="65"/>
      <c r="K333" s="83"/>
      <c r="L333" s="30"/>
      <c r="M333" s="39"/>
    </row>
    <row r="334" spans="1:13" x14ac:dyDescent="0.2">
      <c r="A334" s="30"/>
      <c r="B334" s="30"/>
      <c r="C334" s="30"/>
      <c r="D334" s="30"/>
      <c r="E334" s="30"/>
      <c r="F334" s="30"/>
      <c r="G334" s="30"/>
      <c r="H334" s="30"/>
      <c r="I334" s="30"/>
      <c r="J334" s="65"/>
      <c r="K334" s="83"/>
      <c r="L334" s="30"/>
      <c r="M334" s="39"/>
    </row>
    <row r="335" spans="1:13" x14ac:dyDescent="0.2">
      <c r="A335" s="30"/>
      <c r="B335" s="30"/>
      <c r="C335" s="30"/>
      <c r="D335" s="30"/>
      <c r="E335" s="30"/>
      <c r="F335" s="30"/>
      <c r="G335" s="30"/>
      <c r="H335" s="30"/>
      <c r="I335" s="30"/>
      <c r="J335" s="65"/>
      <c r="K335" s="83"/>
      <c r="L335" s="30"/>
      <c r="M335" s="39"/>
    </row>
    <row r="336" spans="1:13" x14ac:dyDescent="0.2">
      <c r="A336" s="30"/>
      <c r="B336" s="30"/>
      <c r="C336" s="30"/>
      <c r="D336" s="30"/>
      <c r="E336" s="30"/>
      <c r="F336" s="30"/>
      <c r="G336" s="30"/>
      <c r="H336" s="30"/>
      <c r="I336" s="30"/>
      <c r="J336" s="65"/>
      <c r="K336" s="83"/>
      <c r="L336" s="30"/>
      <c r="M336" s="39"/>
    </row>
    <row r="337" spans="1:13" x14ac:dyDescent="0.2">
      <c r="A337" s="30"/>
      <c r="B337" s="30"/>
      <c r="C337" s="30"/>
      <c r="D337" s="30"/>
      <c r="E337" s="30"/>
      <c r="F337" s="30"/>
      <c r="G337" s="30"/>
      <c r="H337" s="30"/>
      <c r="I337" s="30"/>
      <c r="J337" s="65"/>
      <c r="K337" s="83"/>
      <c r="L337" s="30"/>
      <c r="M337" s="39"/>
    </row>
    <row r="338" spans="1:13" x14ac:dyDescent="0.2">
      <c r="A338" s="30"/>
      <c r="B338" s="30"/>
      <c r="C338" s="30"/>
      <c r="D338" s="30"/>
      <c r="E338" s="30"/>
      <c r="F338" s="30"/>
      <c r="G338" s="30"/>
      <c r="H338" s="30"/>
      <c r="I338" s="30"/>
      <c r="J338" s="65"/>
      <c r="K338" s="83"/>
      <c r="L338" s="30"/>
      <c r="M338" s="39"/>
    </row>
    <row r="339" spans="1:13" x14ac:dyDescent="0.2">
      <c r="A339" s="30"/>
      <c r="B339" s="30"/>
      <c r="C339" s="30"/>
      <c r="D339" s="30"/>
      <c r="E339" s="30"/>
      <c r="F339" s="30"/>
      <c r="G339" s="30"/>
      <c r="H339" s="30"/>
      <c r="I339" s="30"/>
      <c r="J339" s="65"/>
      <c r="K339" s="83"/>
      <c r="L339" s="30"/>
      <c r="M339" s="39"/>
    </row>
    <row r="340" spans="1:13" x14ac:dyDescent="0.2">
      <c r="A340" s="30"/>
      <c r="B340" s="30"/>
      <c r="C340" s="30"/>
      <c r="D340" s="30"/>
      <c r="E340" s="30"/>
      <c r="F340" s="30"/>
      <c r="G340" s="30"/>
      <c r="H340" s="30"/>
      <c r="I340" s="30"/>
      <c r="J340" s="65"/>
      <c r="K340" s="83"/>
      <c r="L340" s="30"/>
      <c r="M340" s="39"/>
    </row>
    <row r="341" spans="1:13" x14ac:dyDescent="0.2">
      <c r="A341" s="30"/>
      <c r="B341" s="30"/>
      <c r="C341" s="30"/>
      <c r="D341" s="30"/>
      <c r="E341" s="30"/>
      <c r="F341" s="30"/>
      <c r="G341" s="30"/>
      <c r="H341" s="30"/>
      <c r="I341" s="30"/>
      <c r="J341" s="65"/>
      <c r="K341" s="83"/>
      <c r="L341" s="30"/>
      <c r="M341" s="39"/>
    </row>
    <row r="342" spans="1:13" x14ac:dyDescent="0.2">
      <c r="A342" s="30"/>
      <c r="B342" s="30"/>
      <c r="C342" s="30"/>
      <c r="D342" s="30"/>
      <c r="E342" s="30"/>
      <c r="F342" s="30"/>
      <c r="G342" s="30"/>
      <c r="H342" s="30"/>
      <c r="I342" s="30"/>
      <c r="J342" s="65"/>
      <c r="K342" s="83"/>
      <c r="L342" s="30"/>
      <c r="M342" s="39"/>
    </row>
    <row r="343" spans="1:13" x14ac:dyDescent="0.2">
      <c r="A343" s="30"/>
      <c r="B343" s="30"/>
      <c r="C343" s="30"/>
      <c r="D343" s="30"/>
      <c r="E343" s="30"/>
      <c r="F343" s="30"/>
      <c r="G343" s="30"/>
      <c r="H343" s="30"/>
      <c r="I343" s="30"/>
      <c r="J343" s="65"/>
      <c r="K343" s="83"/>
      <c r="L343" s="30"/>
      <c r="M343" s="39"/>
    </row>
    <row r="344" spans="1:13" x14ac:dyDescent="0.2">
      <c r="A344" s="30"/>
      <c r="B344" s="30"/>
      <c r="C344" s="30"/>
      <c r="D344" s="30"/>
      <c r="E344" s="30"/>
      <c r="F344" s="30"/>
      <c r="G344" s="30"/>
      <c r="H344" s="30"/>
      <c r="I344" s="30"/>
      <c r="J344" s="65"/>
      <c r="K344" s="83"/>
      <c r="L344" s="30"/>
      <c r="M344" s="39"/>
    </row>
    <row r="345" spans="1:13" x14ac:dyDescent="0.2">
      <c r="A345" s="30"/>
      <c r="B345" s="30"/>
      <c r="C345" s="30"/>
      <c r="D345" s="30"/>
      <c r="E345" s="30"/>
      <c r="F345" s="30"/>
      <c r="G345" s="30"/>
      <c r="H345" s="30"/>
      <c r="I345" s="30"/>
      <c r="J345" s="65"/>
      <c r="K345" s="83"/>
      <c r="L345" s="30"/>
      <c r="M345" s="39"/>
    </row>
    <row r="346" spans="1:13" x14ac:dyDescent="0.2">
      <c r="A346" s="30"/>
      <c r="B346" s="30"/>
      <c r="C346" s="30"/>
      <c r="D346" s="30"/>
      <c r="E346" s="30"/>
      <c r="F346" s="30"/>
      <c r="G346" s="30"/>
      <c r="H346" s="30"/>
      <c r="I346" s="30"/>
      <c r="J346" s="65"/>
      <c r="K346" s="83"/>
      <c r="L346" s="30"/>
      <c r="M346" s="39"/>
    </row>
    <row r="347" spans="1:13" x14ac:dyDescent="0.2">
      <c r="A347" s="30"/>
      <c r="B347" s="30"/>
      <c r="C347" s="30"/>
      <c r="D347" s="30"/>
      <c r="E347" s="30"/>
      <c r="F347" s="30"/>
      <c r="G347" s="30"/>
      <c r="H347" s="30"/>
      <c r="I347" s="30"/>
      <c r="J347" s="65"/>
      <c r="K347" s="83"/>
      <c r="L347" s="30"/>
      <c r="M347" s="39"/>
    </row>
    <row r="348" spans="1:13" x14ac:dyDescent="0.2">
      <c r="A348" s="30"/>
      <c r="B348" s="30"/>
      <c r="C348" s="30"/>
      <c r="D348" s="30"/>
      <c r="E348" s="30"/>
      <c r="F348" s="30"/>
      <c r="G348" s="30"/>
      <c r="H348" s="30"/>
      <c r="I348" s="30"/>
      <c r="J348" s="65"/>
      <c r="K348" s="83"/>
      <c r="L348" s="30"/>
      <c r="M348" s="39"/>
    </row>
    <row r="349" spans="1:13" x14ac:dyDescent="0.2">
      <c r="A349" s="30"/>
      <c r="B349" s="30"/>
      <c r="C349" s="30"/>
      <c r="D349" s="30"/>
      <c r="E349" s="30"/>
      <c r="F349" s="30"/>
      <c r="G349" s="30"/>
      <c r="H349" s="30"/>
      <c r="I349" s="30"/>
      <c r="J349" s="65"/>
      <c r="K349" s="83"/>
      <c r="L349" s="30"/>
      <c r="M349" s="39"/>
    </row>
    <row r="350" spans="1:13" x14ac:dyDescent="0.2">
      <c r="A350" s="30"/>
      <c r="B350" s="30"/>
      <c r="C350" s="30"/>
      <c r="D350" s="30"/>
      <c r="E350" s="30"/>
      <c r="F350" s="30"/>
      <c r="G350" s="30"/>
      <c r="H350" s="30"/>
      <c r="I350" s="30"/>
      <c r="J350" s="65"/>
      <c r="K350" s="83"/>
      <c r="L350" s="30"/>
      <c r="M350" s="39"/>
    </row>
    <row r="351" spans="1:13" x14ac:dyDescent="0.2">
      <c r="A351" s="30"/>
      <c r="B351" s="30"/>
      <c r="C351" s="30"/>
      <c r="D351" s="30"/>
      <c r="E351" s="30"/>
      <c r="F351" s="30"/>
      <c r="G351" s="30"/>
      <c r="H351" s="30"/>
      <c r="I351" s="30"/>
      <c r="J351" s="65"/>
      <c r="K351" s="83"/>
      <c r="L351" s="30"/>
      <c r="M351" s="39"/>
    </row>
    <row r="352" spans="1:13" x14ac:dyDescent="0.2">
      <c r="A352" s="30"/>
      <c r="B352" s="30"/>
      <c r="C352" s="30"/>
      <c r="D352" s="30"/>
      <c r="E352" s="30"/>
      <c r="F352" s="30"/>
      <c r="G352" s="30"/>
      <c r="H352" s="30"/>
      <c r="I352" s="30"/>
      <c r="J352" s="65"/>
      <c r="K352" s="83"/>
      <c r="L352" s="30"/>
      <c r="M352" s="39"/>
    </row>
    <row r="353" spans="1:13" x14ac:dyDescent="0.2">
      <c r="A353" s="30"/>
      <c r="B353" s="30"/>
      <c r="C353" s="30"/>
      <c r="D353" s="30"/>
      <c r="E353" s="30"/>
      <c r="F353" s="30"/>
      <c r="G353" s="30"/>
      <c r="H353" s="30"/>
      <c r="I353" s="30"/>
      <c r="J353" s="65"/>
      <c r="K353" s="83"/>
      <c r="L353" s="30"/>
      <c r="M353" s="39"/>
    </row>
    <row r="354" spans="1:13" x14ac:dyDescent="0.2">
      <c r="A354" s="30"/>
      <c r="B354" s="30"/>
      <c r="C354" s="30"/>
      <c r="D354" s="30"/>
      <c r="E354" s="30"/>
      <c r="F354" s="30"/>
      <c r="G354" s="30"/>
      <c r="H354" s="30"/>
      <c r="I354" s="30"/>
      <c r="J354" s="65"/>
      <c r="K354" s="83"/>
      <c r="L354" s="30"/>
      <c r="M354" s="39"/>
    </row>
    <row r="355" spans="1:13" x14ac:dyDescent="0.2">
      <c r="A355" s="30"/>
      <c r="B355" s="30"/>
      <c r="C355" s="30"/>
      <c r="D355" s="30"/>
      <c r="E355" s="30"/>
      <c r="F355" s="30"/>
      <c r="G355" s="30"/>
      <c r="H355" s="30"/>
      <c r="I355" s="30"/>
      <c r="J355" s="65"/>
      <c r="K355" s="83"/>
      <c r="L355" s="30"/>
      <c r="M355" s="39"/>
    </row>
    <row r="356" spans="1:13" x14ac:dyDescent="0.2">
      <c r="A356" s="30"/>
      <c r="B356" s="30"/>
      <c r="C356" s="30"/>
      <c r="D356" s="30"/>
      <c r="E356" s="30"/>
      <c r="F356" s="30"/>
      <c r="G356" s="30"/>
      <c r="H356" s="30"/>
      <c r="I356" s="30"/>
      <c r="J356" s="65"/>
      <c r="K356" s="83"/>
      <c r="L356" s="30"/>
      <c r="M356" s="39"/>
    </row>
    <row r="357" spans="1:13" x14ac:dyDescent="0.2">
      <c r="A357" s="30"/>
      <c r="B357" s="30"/>
      <c r="C357" s="30"/>
      <c r="D357" s="30"/>
      <c r="E357" s="30"/>
      <c r="F357" s="30"/>
      <c r="G357" s="30"/>
      <c r="H357" s="30"/>
      <c r="I357" s="30"/>
      <c r="J357" s="65"/>
      <c r="K357" s="83"/>
      <c r="L357" s="30"/>
      <c r="M357" s="39"/>
    </row>
    <row r="358" spans="1:13" x14ac:dyDescent="0.2">
      <c r="A358" s="30"/>
      <c r="B358" s="30"/>
      <c r="C358" s="30"/>
      <c r="D358" s="30"/>
      <c r="E358" s="30"/>
      <c r="F358" s="30"/>
      <c r="G358" s="30"/>
      <c r="H358" s="30"/>
      <c r="I358" s="30"/>
      <c r="J358" s="65"/>
      <c r="K358" s="83"/>
      <c r="L358" s="30"/>
      <c r="M358" s="39"/>
    </row>
    <row r="359" spans="1:13" x14ac:dyDescent="0.2">
      <c r="A359" s="30"/>
      <c r="B359" s="30"/>
      <c r="C359" s="30"/>
      <c r="D359" s="30"/>
      <c r="E359" s="30"/>
      <c r="F359" s="30"/>
      <c r="G359" s="30"/>
      <c r="H359" s="30"/>
      <c r="I359" s="30"/>
      <c r="J359" s="65"/>
      <c r="K359" s="83"/>
      <c r="L359" s="30"/>
      <c r="M359" s="39"/>
    </row>
    <row r="360" spans="1:13" x14ac:dyDescent="0.2">
      <c r="A360" s="30"/>
      <c r="B360" s="30"/>
      <c r="C360" s="30"/>
      <c r="D360" s="30"/>
      <c r="E360" s="30"/>
      <c r="F360" s="30"/>
      <c r="G360" s="30"/>
      <c r="H360" s="30"/>
      <c r="I360" s="30"/>
      <c r="J360" s="65"/>
      <c r="K360" s="83"/>
      <c r="L360" s="30"/>
      <c r="M360" s="39"/>
    </row>
    <row r="361" spans="1:13" x14ac:dyDescent="0.2">
      <c r="A361" s="30"/>
      <c r="B361" s="30"/>
      <c r="C361" s="30"/>
      <c r="D361" s="30"/>
      <c r="E361" s="30"/>
      <c r="F361" s="30"/>
      <c r="G361" s="30"/>
      <c r="H361" s="30"/>
      <c r="I361" s="30"/>
      <c r="J361" s="65"/>
      <c r="K361" s="83"/>
      <c r="L361" s="30"/>
      <c r="M361" s="39"/>
    </row>
    <row r="362" spans="1:13" x14ac:dyDescent="0.2">
      <c r="A362" s="30"/>
      <c r="B362" s="30"/>
      <c r="C362" s="30"/>
      <c r="D362" s="30"/>
      <c r="E362" s="30"/>
      <c r="F362" s="30"/>
      <c r="G362" s="30"/>
      <c r="H362" s="30"/>
      <c r="I362" s="30"/>
      <c r="J362" s="65"/>
      <c r="K362" s="83"/>
      <c r="L362" s="30"/>
      <c r="M362" s="39"/>
    </row>
    <row r="363" spans="1:13" x14ac:dyDescent="0.2">
      <c r="A363" s="30"/>
      <c r="B363" s="30"/>
      <c r="C363" s="30"/>
      <c r="D363" s="30"/>
      <c r="E363" s="30"/>
      <c r="F363" s="30"/>
      <c r="G363" s="30"/>
      <c r="H363" s="30"/>
      <c r="I363" s="30"/>
      <c r="J363" s="65"/>
      <c r="K363" s="83"/>
      <c r="L363" s="30"/>
      <c r="M363" s="39"/>
    </row>
    <row r="364" spans="1:13" x14ac:dyDescent="0.2">
      <c r="A364" s="30"/>
      <c r="B364" s="30"/>
      <c r="C364" s="30"/>
      <c r="D364" s="30"/>
      <c r="E364" s="30"/>
      <c r="F364" s="30"/>
      <c r="G364" s="30"/>
      <c r="H364" s="30"/>
      <c r="I364" s="30"/>
      <c r="J364" s="65"/>
      <c r="K364" s="83"/>
      <c r="L364" s="30"/>
      <c r="M364" s="39"/>
    </row>
    <row r="365" spans="1:13" x14ac:dyDescent="0.2">
      <c r="A365" s="30"/>
      <c r="B365" s="30"/>
      <c r="C365" s="30"/>
      <c r="D365" s="30"/>
      <c r="E365" s="30"/>
      <c r="F365" s="30"/>
      <c r="G365" s="30"/>
      <c r="H365" s="30"/>
      <c r="I365" s="30"/>
      <c r="J365" s="65"/>
      <c r="K365" s="83"/>
      <c r="L365" s="30"/>
      <c r="M365" s="39"/>
    </row>
    <row r="366" spans="1:13" x14ac:dyDescent="0.2">
      <c r="A366" s="30"/>
      <c r="B366" s="30"/>
      <c r="C366" s="30"/>
      <c r="D366" s="30"/>
      <c r="E366" s="30"/>
      <c r="F366" s="30"/>
      <c r="G366" s="30"/>
      <c r="H366" s="30"/>
      <c r="I366" s="30"/>
      <c r="J366" s="65"/>
      <c r="K366" s="83"/>
      <c r="L366" s="30"/>
      <c r="M366" s="39"/>
    </row>
    <row r="367" spans="1:13" x14ac:dyDescent="0.2">
      <c r="A367" s="30"/>
      <c r="B367" s="30"/>
      <c r="C367" s="30"/>
      <c r="D367" s="30"/>
      <c r="E367" s="30"/>
      <c r="F367" s="30"/>
      <c r="G367" s="30"/>
      <c r="H367" s="30"/>
      <c r="I367" s="30"/>
      <c r="J367" s="65"/>
      <c r="K367" s="83"/>
      <c r="L367" s="30"/>
      <c r="M367" s="39"/>
    </row>
    <row r="368" spans="1:13" x14ac:dyDescent="0.2">
      <c r="A368" s="30"/>
      <c r="B368" s="30"/>
      <c r="C368" s="30"/>
      <c r="D368" s="30"/>
      <c r="E368" s="30"/>
      <c r="F368" s="30"/>
      <c r="G368" s="30"/>
      <c r="H368" s="30"/>
      <c r="I368" s="30"/>
      <c r="J368" s="65"/>
      <c r="K368" s="83"/>
      <c r="L368" s="30"/>
      <c r="M368" s="39"/>
    </row>
    <row r="369" spans="1:13" x14ac:dyDescent="0.2">
      <c r="A369" s="30"/>
      <c r="B369" s="30"/>
      <c r="C369" s="30"/>
      <c r="D369" s="30"/>
      <c r="E369" s="30"/>
      <c r="F369" s="30"/>
      <c r="G369" s="30"/>
      <c r="H369" s="30"/>
      <c r="I369" s="30"/>
      <c r="J369" s="65"/>
      <c r="K369" s="83"/>
      <c r="L369" s="30"/>
      <c r="M369" s="39"/>
    </row>
    <row r="370" spans="1:13" x14ac:dyDescent="0.2">
      <c r="A370" s="30"/>
      <c r="B370" s="30"/>
      <c r="C370" s="30"/>
      <c r="D370" s="30"/>
      <c r="E370" s="30"/>
      <c r="F370" s="30"/>
      <c r="G370" s="30"/>
      <c r="H370" s="30"/>
      <c r="I370" s="30"/>
      <c r="J370" s="65"/>
      <c r="K370" s="83"/>
      <c r="L370" s="30"/>
      <c r="M370" s="39"/>
    </row>
    <row r="371" spans="1:13" x14ac:dyDescent="0.2">
      <c r="A371" s="30"/>
      <c r="B371" s="30"/>
      <c r="C371" s="30"/>
      <c r="D371" s="30"/>
      <c r="E371" s="30"/>
      <c r="F371" s="30"/>
      <c r="G371" s="30"/>
      <c r="H371" s="30"/>
      <c r="I371" s="30"/>
      <c r="J371" s="65"/>
      <c r="K371" s="83"/>
      <c r="L371" s="30"/>
      <c r="M371" s="39"/>
    </row>
    <row r="372" spans="1:13" x14ac:dyDescent="0.2">
      <c r="A372" s="30"/>
      <c r="B372" s="30"/>
      <c r="C372" s="30"/>
      <c r="D372" s="30"/>
      <c r="E372" s="30"/>
      <c r="F372" s="30"/>
      <c r="G372" s="30"/>
      <c r="H372" s="30"/>
      <c r="I372" s="30"/>
      <c r="J372" s="65"/>
      <c r="K372" s="83"/>
      <c r="L372" s="30"/>
      <c r="M372" s="39"/>
    </row>
    <row r="373" spans="1:13" x14ac:dyDescent="0.2">
      <c r="A373" s="30"/>
      <c r="B373" s="30"/>
      <c r="C373" s="30"/>
      <c r="D373" s="30"/>
      <c r="E373" s="30"/>
      <c r="F373" s="30"/>
      <c r="G373" s="30"/>
      <c r="H373" s="30"/>
      <c r="I373" s="30"/>
      <c r="J373" s="65"/>
      <c r="K373" s="83"/>
      <c r="L373" s="30"/>
      <c r="M373" s="39"/>
    </row>
    <row r="374" spans="1:13" x14ac:dyDescent="0.2">
      <c r="A374" s="30"/>
      <c r="B374" s="30"/>
      <c r="C374" s="30"/>
      <c r="D374" s="30"/>
      <c r="E374" s="30"/>
      <c r="F374" s="30"/>
      <c r="G374" s="30"/>
      <c r="H374" s="30"/>
      <c r="I374" s="30"/>
      <c r="J374" s="65"/>
      <c r="K374" s="83"/>
      <c r="L374" s="30"/>
      <c r="M374" s="39"/>
    </row>
    <row r="375" spans="1:13" x14ac:dyDescent="0.2">
      <c r="A375" s="30"/>
      <c r="B375" s="30"/>
      <c r="C375" s="30"/>
      <c r="D375" s="30"/>
      <c r="E375" s="30"/>
      <c r="F375" s="30"/>
      <c r="G375" s="30"/>
      <c r="H375" s="30"/>
      <c r="I375" s="30"/>
      <c r="J375" s="65"/>
      <c r="K375" s="83"/>
      <c r="L375" s="30"/>
      <c r="M375" s="39"/>
    </row>
    <row r="376" spans="1:13" x14ac:dyDescent="0.2">
      <c r="A376" s="30"/>
      <c r="B376" s="30"/>
      <c r="C376" s="30"/>
      <c r="D376" s="30"/>
      <c r="E376" s="30"/>
      <c r="F376" s="30"/>
      <c r="G376" s="30"/>
      <c r="H376" s="30"/>
      <c r="I376" s="30"/>
      <c r="J376" s="65"/>
      <c r="K376" s="83"/>
      <c r="L376" s="30"/>
      <c r="M376" s="39"/>
    </row>
    <row r="377" spans="1:13" x14ac:dyDescent="0.2">
      <c r="A377" s="30"/>
      <c r="B377" s="30"/>
      <c r="C377" s="30"/>
      <c r="D377" s="30"/>
      <c r="E377" s="30"/>
      <c r="F377" s="30"/>
      <c r="G377" s="30"/>
      <c r="H377" s="30"/>
      <c r="I377" s="30"/>
      <c r="J377" s="65"/>
      <c r="K377" s="83"/>
      <c r="L377" s="30"/>
      <c r="M377" s="39"/>
    </row>
    <row r="378" spans="1:13" x14ac:dyDescent="0.2">
      <c r="A378" s="30"/>
      <c r="B378" s="30"/>
      <c r="C378" s="30"/>
      <c r="D378" s="30"/>
      <c r="E378" s="30"/>
      <c r="F378" s="30"/>
      <c r="G378" s="30"/>
      <c r="H378" s="30"/>
      <c r="I378" s="30"/>
      <c r="J378" s="65"/>
      <c r="K378" s="83"/>
      <c r="L378" s="30"/>
      <c r="M378" s="39"/>
    </row>
    <row r="379" spans="1:13" x14ac:dyDescent="0.2">
      <c r="A379" s="30"/>
      <c r="B379" s="30"/>
      <c r="C379" s="30"/>
      <c r="D379" s="30"/>
      <c r="E379" s="30"/>
      <c r="F379" s="30"/>
      <c r="G379" s="30"/>
      <c r="H379" s="30"/>
      <c r="I379" s="30"/>
      <c r="J379" s="65"/>
      <c r="K379" s="83"/>
      <c r="L379" s="30"/>
      <c r="M379" s="39"/>
    </row>
    <row r="380" spans="1:13" x14ac:dyDescent="0.2">
      <c r="A380" s="30"/>
      <c r="B380" s="30"/>
      <c r="C380" s="30"/>
      <c r="D380" s="30"/>
      <c r="E380" s="30"/>
      <c r="F380" s="30"/>
      <c r="G380" s="30"/>
      <c r="H380" s="30"/>
      <c r="I380" s="30"/>
      <c r="J380" s="65"/>
      <c r="K380" s="83"/>
      <c r="L380" s="30"/>
      <c r="M380" s="39"/>
    </row>
    <row r="381" spans="1:13" x14ac:dyDescent="0.2">
      <c r="A381" s="30"/>
      <c r="B381" s="30"/>
      <c r="C381" s="30"/>
      <c r="D381" s="30"/>
      <c r="E381" s="30"/>
      <c r="F381" s="30"/>
      <c r="G381" s="30"/>
      <c r="H381" s="30"/>
      <c r="I381" s="30"/>
      <c r="J381" s="65"/>
      <c r="K381" s="83"/>
      <c r="L381" s="30"/>
      <c r="M381" s="39"/>
    </row>
    <row r="382" spans="1:13" x14ac:dyDescent="0.2">
      <c r="A382" s="30"/>
      <c r="B382" s="30"/>
      <c r="C382" s="30"/>
      <c r="D382" s="30"/>
      <c r="E382" s="30"/>
      <c r="F382" s="30"/>
      <c r="G382" s="30"/>
      <c r="H382" s="30"/>
      <c r="I382" s="30"/>
      <c r="J382" s="65"/>
      <c r="K382" s="83"/>
      <c r="L382" s="30"/>
      <c r="M382" s="39"/>
    </row>
    <row r="383" spans="1:13" x14ac:dyDescent="0.2">
      <c r="A383" s="30"/>
      <c r="B383" s="30"/>
      <c r="C383" s="30"/>
      <c r="D383" s="30"/>
      <c r="E383" s="30"/>
      <c r="F383" s="30"/>
      <c r="G383" s="30"/>
      <c r="H383" s="30"/>
      <c r="I383" s="30"/>
      <c r="J383" s="65"/>
      <c r="K383" s="83"/>
      <c r="L383" s="30"/>
      <c r="M383" s="39"/>
    </row>
    <row r="384" spans="1:13" x14ac:dyDescent="0.2">
      <c r="A384" s="30"/>
      <c r="B384" s="30"/>
      <c r="C384" s="30"/>
      <c r="D384" s="30"/>
      <c r="E384" s="30"/>
      <c r="F384" s="30"/>
      <c r="G384" s="30"/>
      <c r="H384" s="30"/>
      <c r="I384" s="30"/>
      <c r="J384" s="65"/>
      <c r="K384" s="83"/>
      <c r="L384" s="30"/>
      <c r="M384" s="39"/>
    </row>
    <row r="385" spans="1:13" x14ac:dyDescent="0.2">
      <c r="A385" s="30"/>
      <c r="B385" s="30"/>
      <c r="C385" s="30"/>
      <c r="D385" s="30"/>
      <c r="E385" s="30"/>
      <c r="F385" s="30"/>
      <c r="G385" s="30"/>
      <c r="H385" s="30"/>
      <c r="I385" s="30"/>
      <c r="J385" s="65"/>
      <c r="K385" s="83"/>
      <c r="L385" s="30"/>
      <c r="M385" s="39"/>
    </row>
    <row r="386" spans="1:13" x14ac:dyDescent="0.2">
      <c r="A386" s="30"/>
      <c r="B386" s="30"/>
      <c r="C386" s="30"/>
      <c r="D386" s="30"/>
      <c r="E386" s="30"/>
      <c r="F386" s="30"/>
      <c r="G386" s="30"/>
      <c r="H386" s="30"/>
      <c r="I386" s="30"/>
      <c r="J386" s="65"/>
      <c r="K386" s="83"/>
      <c r="L386" s="30"/>
      <c r="M386" s="39"/>
    </row>
    <row r="387" spans="1:13" x14ac:dyDescent="0.2">
      <c r="A387" s="30"/>
      <c r="B387" s="30"/>
      <c r="C387" s="30"/>
      <c r="D387" s="30"/>
      <c r="E387" s="30"/>
      <c r="F387" s="30"/>
      <c r="G387" s="30"/>
      <c r="H387" s="30"/>
      <c r="I387" s="30"/>
      <c r="J387" s="65"/>
      <c r="K387" s="83"/>
      <c r="L387" s="30"/>
      <c r="M387" s="39"/>
    </row>
    <row r="388" spans="1:13" x14ac:dyDescent="0.2">
      <c r="A388" s="30"/>
      <c r="B388" s="30"/>
      <c r="C388" s="30"/>
      <c r="D388" s="30"/>
      <c r="E388" s="30"/>
      <c r="F388" s="30"/>
      <c r="G388" s="30"/>
      <c r="H388" s="30"/>
      <c r="I388" s="30"/>
      <c r="J388" s="65"/>
      <c r="K388" s="83"/>
      <c r="L388" s="30"/>
      <c r="M388" s="39"/>
    </row>
    <row r="389" spans="1:13" x14ac:dyDescent="0.2">
      <c r="A389" s="30"/>
      <c r="B389" s="30"/>
      <c r="C389" s="30"/>
      <c r="D389" s="30"/>
      <c r="E389" s="30"/>
      <c r="F389" s="30"/>
      <c r="G389" s="30"/>
      <c r="H389" s="30"/>
      <c r="I389" s="30"/>
      <c r="J389" s="65"/>
      <c r="K389" s="83"/>
      <c r="L389" s="30"/>
      <c r="M389" s="39"/>
    </row>
    <row r="390" spans="1:13" x14ac:dyDescent="0.2">
      <c r="A390" s="30"/>
      <c r="B390" s="30"/>
      <c r="C390" s="30"/>
      <c r="D390" s="30"/>
      <c r="E390" s="30"/>
      <c r="F390" s="30"/>
      <c r="G390" s="30"/>
      <c r="H390" s="30"/>
      <c r="I390" s="30"/>
      <c r="J390" s="65"/>
      <c r="K390" s="83"/>
      <c r="L390" s="30"/>
      <c r="M390" s="39"/>
    </row>
    <row r="391" spans="1:13" x14ac:dyDescent="0.2">
      <c r="A391" s="30"/>
      <c r="B391" s="30"/>
      <c r="C391" s="30"/>
      <c r="D391" s="30"/>
      <c r="E391" s="30"/>
      <c r="F391" s="30"/>
      <c r="G391" s="30"/>
      <c r="H391" s="30"/>
      <c r="I391" s="30"/>
      <c r="J391" s="65"/>
      <c r="K391" s="83"/>
      <c r="L391" s="30"/>
      <c r="M391" s="39"/>
    </row>
    <row r="392" spans="1:13" x14ac:dyDescent="0.2">
      <c r="A392" s="30"/>
      <c r="B392" s="30"/>
      <c r="C392" s="30"/>
      <c r="D392" s="30"/>
      <c r="E392" s="30"/>
      <c r="F392" s="30"/>
      <c r="G392" s="30"/>
      <c r="H392" s="30"/>
      <c r="I392" s="30"/>
      <c r="J392" s="65"/>
      <c r="K392" s="83"/>
      <c r="L392" s="30"/>
      <c r="M392" s="39"/>
    </row>
    <row r="393" spans="1:13" x14ac:dyDescent="0.2">
      <c r="A393" s="30"/>
      <c r="B393" s="30"/>
      <c r="C393" s="30"/>
      <c r="D393" s="30"/>
      <c r="E393" s="30"/>
      <c r="F393" s="30"/>
      <c r="G393" s="30"/>
      <c r="H393" s="30"/>
      <c r="I393" s="30"/>
      <c r="J393" s="65"/>
      <c r="K393" s="83"/>
      <c r="L393" s="30"/>
      <c r="M393" s="39"/>
    </row>
    <row r="394" spans="1:13" x14ac:dyDescent="0.2">
      <c r="A394" s="30"/>
      <c r="B394" s="30"/>
      <c r="C394" s="30"/>
      <c r="D394" s="30"/>
      <c r="E394" s="30"/>
      <c r="F394" s="30"/>
      <c r="G394" s="30"/>
      <c r="H394" s="30"/>
      <c r="I394" s="30"/>
      <c r="J394" s="65"/>
      <c r="K394" s="83"/>
      <c r="L394" s="30"/>
      <c r="M394" s="39"/>
    </row>
    <row r="395" spans="1:13" x14ac:dyDescent="0.2">
      <c r="A395" s="30"/>
      <c r="B395" s="30"/>
      <c r="C395" s="30"/>
      <c r="D395" s="30"/>
      <c r="E395" s="30"/>
      <c r="F395" s="30"/>
      <c r="G395" s="30"/>
      <c r="H395" s="30"/>
      <c r="I395" s="30"/>
      <c r="J395" s="65"/>
      <c r="K395" s="83"/>
      <c r="L395" s="30"/>
      <c r="M395" s="39"/>
    </row>
    <row r="396" spans="1:13" x14ac:dyDescent="0.2">
      <c r="A396" s="30"/>
      <c r="B396" s="30"/>
      <c r="C396" s="30"/>
      <c r="D396" s="30"/>
      <c r="E396" s="30"/>
      <c r="F396" s="30"/>
      <c r="G396" s="30"/>
      <c r="H396" s="30"/>
      <c r="I396" s="30"/>
      <c r="J396" s="65"/>
      <c r="K396" s="83"/>
      <c r="L396" s="30"/>
      <c r="M396" s="39"/>
    </row>
    <row r="397" spans="1:13" x14ac:dyDescent="0.2">
      <c r="A397" s="30"/>
      <c r="B397" s="30"/>
      <c r="C397" s="30"/>
      <c r="D397" s="30"/>
      <c r="E397" s="30"/>
      <c r="F397" s="30"/>
      <c r="G397" s="30"/>
      <c r="H397" s="30"/>
      <c r="I397" s="30"/>
      <c r="J397" s="65"/>
      <c r="K397" s="83"/>
      <c r="L397" s="30"/>
      <c r="M397" s="39"/>
    </row>
    <row r="398" spans="1:13" x14ac:dyDescent="0.2">
      <c r="A398" s="30"/>
      <c r="B398" s="30"/>
      <c r="C398" s="30"/>
      <c r="D398" s="30"/>
      <c r="E398" s="30"/>
      <c r="F398" s="30"/>
      <c r="G398" s="30"/>
      <c r="H398" s="30"/>
      <c r="I398" s="30"/>
      <c r="J398" s="65"/>
      <c r="K398" s="83"/>
      <c r="L398" s="30"/>
      <c r="M398" s="39"/>
    </row>
    <row r="399" spans="1:13" x14ac:dyDescent="0.2">
      <c r="A399" s="30"/>
      <c r="B399" s="30"/>
      <c r="C399" s="30"/>
      <c r="D399" s="30"/>
      <c r="E399" s="30"/>
      <c r="F399" s="30"/>
      <c r="G399" s="30"/>
      <c r="H399" s="30"/>
      <c r="I399" s="30"/>
      <c r="J399" s="65"/>
      <c r="K399" s="83"/>
      <c r="L399" s="30"/>
      <c r="M399" s="39"/>
    </row>
    <row r="400" spans="1:13" x14ac:dyDescent="0.2">
      <c r="A400" s="30"/>
      <c r="B400" s="30"/>
      <c r="C400" s="30"/>
      <c r="D400" s="30"/>
      <c r="E400" s="30"/>
      <c r="F400" s="30"/>
      <c r="G400" s="30"/>
      <c r="H400" s="30"/>
      <c r="I400" s="30"/>
      <c r="J400" s="65"/>
      <c r="K400" s="83"/>
      <c r="L400" s="30"/>
      <c r="M400" s="39"/>
    </row>
    <row r="401" spans="1:13" x14ac:dyDescent="0.2">
      <c r="A401" s="30"/>
      <c r="B401" s="30"/>
      <c r="C401" s="30"/>
      <c r="D401" s="30"/>
      <c r="E401" s="30"/>
      <c r="F401" s="30"/>
      <c r="G401" s="30"/>
      <c r="H401" s="30"/>
      <c r="I401" s="30"/>
      <c r="J401" s="65"/>
      <c r="K401" s="83"/>
      <c r="L401" s="30"/>
      <c r="M401" s="39"/>
    </row>
    <row r="402" spans="1:13" x14ac:dyDescent="0.2">
      <c r="A402" s="30"/>
      <c r="B402" s="30"/>
      <c r="C402" s="30"/>
      <c r="D402" s="30"/>
      <c r="E402" s="30"/>
      <c r="F402" s="30"/>
      <c r="G402" s="30"/>
      <c r="H402" s="30"/>
      <c r="I402" s="30"/>
      <c r="J402" s="65"/>
      <c r="K402" s="83"/>
      <c r="L402" s="30"/>
      <c r="M402" s="39"/>
    </row>
    <row r="403" spans="1:13" x14ac:dyDescent="0.2">
      <c r="A403" s="30"/>
      <c r="B403" s="30"/>
      <c r="C403" s="30"/>
      <c r="D403" s="30"/>
      <c r="E403" s="30"/>
      <c r="F403" s="30"/>
      <c r="G403" s="30"/>
      <c r="H403" s="30"/>
      <c r="I403" s="30"/>
      <c r="J403" s="65"/>
      <c r="K403" s="83"/>
      <c r="L403" s="30"/>
      <c r="M403" s="39"/>
    </row>
    <row r="404" spans="1:13" x14ac:dyDescent="0.2">
      <c r="A404" s="30"/>
      <c r="B404" s="30"/>
      <c r="C404" s="30"/>
      <c r="D404" s="30"/>
      <c r="E404" s="30"/>
      <c r="F404" s="30"/>
      <c r="G404" s="30"/>
      <c r="H404" s="30"/>
      <c r="I404" s="30"/>
      <c r="J404" s="65"/>
      <c r="K404" s="83"/>
      <c r="L404" s="30"/>
      <c r="M404" s="39"/>
    </row>
    <row r="405" spans="1:13" x14ac:dyDescent="0.2">
      <c r="A405" s="30"/>
      <c r="B405" s="30"/>
      <c r="C405" s="30"/>
      <c r="D405" s="30"/>
      <c r="E405" s="30"/>
      <c r="F405" s="30"/>
      <c r="G405" s="30"/>
      <c r="H405" s="30"/>
      <c r="I405" s="30"/>
      <c r="J405" s="65"/>
      <c r="K405" s="83"/>
      <c r="L405" s="30"/>
      <c r="M405" s="39"/>
    </row>
    <row r="406" spans="1:13" x14ac:dyDescent="0.2">
      <c r="A406" s="30"/>
      <c r="B406" s="30"/>
      <c r="C406" s="30"/>
      <c r="D406" s="30"/>
      <c r="E406" s="30"/>
      <c r="F406" s="30"/>
      <c r="G406" s="30"/>
      <c r="H406" s="30"/>
      <c r="I406" s="30"/>
      <c r="J406" s="65"/>
      <c r="K406" s="83"/>
      <c r="L406" s="30"/>
      <c r="M406" s="39"/>
    </row>
    <row r="407" spans="1:13" x14ac:dyDescent="0.2">
      <c r="A407" s="30"/>
      <c r="B407" s="30"/>
      <c r="C407" s="30"/>
      <c r="D407" s="30"/>
      <c r="E407" s="30"/>
      <c r="F407" s="30"/>
      <c r="G407" s="30"/>
      <c r="H407" s="30"/>
      <c r="I407" s="30"/>
      <c r="J407" s="65"/>
      <c r="K407" s="83"/>
      <c r="L407" s="30"/>
      <c r="M407" s="39"/>
    </row>
    <row r="408" spans="1:13" x14ac:dyDescent="0.2">
      <c r="A408" s="30"/>
      <c r="B408" s="30"/>
      <c r="C408" s="30"/>
      <c r="D408" s="30"/>
      <c r="E408" s="30"/>
      <c r="F408" s="30"/>
      <c r="G408" s="30"/>
      <c r="H408" s="30"/>
      <c r="I408" s="30"/>
      <c r="J408" s="65"/>
      <c r="K408" s="83"/>
      <c r="L408" s="30"/>
      <c r="M408" s="39"/>
    </row>
    <row r="409" spans="1:13" x14ac:dyDescent="0.2">
      <c r="A409" s="30"/>
      <c r="B409" s="30"/>
      <c r="C409" s="30"/>
      <c r="D409" s="30"/>
      <c r="E409" s="30"/>
      <c r="F409" s="30"/>
      <c r="G409" s="30"/>
      <c r="H409" s="30"/>
      <c r="I409" s="30"/>
      <c r="J409" s="65"/>
      <c r="K409" s="83"/>
      <c r="L409" s="30"/>
      <c r="M409" s="39"/>
    </row>
    <row r="410" spans="1:13" x14ac:dyDescent="0.2">
      <c r="A410" s="30"/>
      <c r="B410" s="30"/>
      <c r="C410" s="30"/>
      <c r="D410" s="30"/>
      <c r="E410" s="30"/>
      <c r="F410" s="30"/>
      <c r="G410" s="30"/>
      <c r="H410" s="30"/>
      <c r="I410" s="30"/>
      <c r="J410" s="65"/>
      <c r="K410" s="83"/>
      <c r="L410" s="30"/>
      <c r="M410" s="39"/>
    </row>
    <row r="411" spans="1:13" x14ac:dyDescent="0.2">
      <c r="A411" s="30"/>
      <c r="B411" s="30"/>
      <c r="C411" s="30"/>
      <c r="D411" s="30"/>
      <c r="E411" s="30"/>
      <c r="F411" s="30"/>
      <c r="G411" s="30"/>
      <c r="H411" s="30"/>
      <c r="I411" s="30"/>
      <c r="J411" s="65"/>
      <c r="K411" s="83"/>
      <c r="L411" s="30"/>
      <c r="M411" s="39"/>
    </row>
    <row r="412" spans="1:13" x14ac:dyDescent="0.2">
      <c r="A412" s="30"/>
      <c r="B412" s="30"/>
      <c r="C412" s="30"/>
      <c r="D412" s="30"/>
      <c r="E412" s="30"/>
      <c r="F412" s="30"/>
      <c r="G412" s="30"/>
      <c r="H412" s="30"/>
      <c r="I412" s="30"/>
      <c r="J412" s="65"/>
      <c r="K412" s="83"/>
      <c r="L412" s="30"/>
      <c r="M412" s="39"/>
    </row>
    <row r="413" spans="1:13" x14ac:dyDescent="0.2">
      <c r="A413" s="30"/>
      <c r="B413" s="30"/>
      <c r="C413" s="30"/>
      <c r="D413" s="30"/>
      <c r="E413" s="30"/>
      <c r="F413" s="30"/>
      <c r="G413" s="30"/>
      <c r="H413" s="30"/>
      <c r="I413" s="30"/>
      <c r="J413" s="65"/>
      <c r="K413" s="83"/>
      <c r="L413" s="30"/>
      <c r="M413" s="39"/>
    </row>
    <row r="414" spans="1:13" x14ac:dyDescent="0.2">
      <c r="A414" s="30"/>
      <c r="B414" s="30"/>
      <c r="C414" s="30"/>
      <c r="D414" s="30"/>
      <c r="E414" s="30"/>
      <c r="F414" s="30"/>
      <c r="G414" s="30"/>
      <c r="H414" s="30"/>
      <c r="I414" s="30"/>
      <c r="J414" s="65"/>
      <c r="K414" s="83"/>
      <c r="L414" s="30"/>
      <c r="M414" s="39"/>
    </row>
    <row r="415" spans="1:13" x14ac:dyDescent="0.2">
      <c r="A415" s="30"/>
      <c r="B415" s="30"/>
      <c r="C415" s="30"/>
      <c r="D415" s="30"/>
      <c r="E415" s="30"/>
      <c r="F415" s="30"/>
      <c r="G415" s="30"/>
      <c r="H415" s="30"/>
      <c r="I415" s="30"/>
      <c r="J415" s="65"/>
      <c r="K415" s="83"/>
      <c r="L415" s="30"/>
      <c r="M415" s="39"/>
    </row>
    <row r="416" spans="1:13" x14ac:dyDescent="0.2">
      <c r="A416" s="30"/>
      <c r="B416" s="30"/>
      <c r="C416" s="30"/>
      <c r="D416" s="30"/>
      <c r="E416" s="30"/>
      <c r="F416" s="30"/>
      <c r="G416" s="30"/>
      <c r="H416" s="30"/>
      <c r="I416" s="30"/>
      <c r="J416" s="65"/>
      <c r="K416" s="83"/>
      <c r="L416" s="30"/>
      <c r="M416" s="39"/>
    </row>
    <row r="417" spans="1:13" x14ac:dyDescent="0.2">
      <c r="A417" s="30"/>
      <c r="B417" s="30"/>
      <c r="C417" s="30"/>
      <c r="D417" s="30"/>
      <c r="E417" s="30"/>
      <c r="F417" s="30"/>
      <c r="G417" s="30"/>
      <c r="H417" s="30"/>
      <c r="I417" s="30"/>
      <c r="J417" s="65"/>
      <c r="K417" s="83"/>
      <c r="L417" s="30"/>
      <c r="M417" s="39"/>
    </row>
    <row r="418" spans="1:13" x14ac:dyDescent="0.2">
      <c r="A418" s="30"/>
      <c r="B418" s="30"/>
      <c r="C418" s="30"/>
      <c r="D418" s="30"/>
      <c r="E418" s="30"/>
      <c r="F418" s="30"/>
      <c r="G418" s="30"/>
      <c r="H418" s="30"/>
      <c r="I418" s="30"/>
      <c r="J418" s="65"/>
      <c r="K418" s="83"/>
      <c r="L418" s="30"/>
      <c r="M418" s="39"/>
    </row>
    <row r="419" spans="1:13" x14ac:dyDescent="0.2">
      <c r="A419" s="30"/>
      <c r="B419" s="30"/>
      <c r="C419" s="30"/>
      <c r="D419" s="30"/>
      <c r="E419" s="30"/>
      <c r="F419" s="30"/>
      <c r="G419" s="30"/>
      <c r="H419" s="30"/>
      <c r="I419" s="30"/>
      <c r="J419" s="65"/>
      <c r="K419" s="83"/>
      <c r="L419" s="30"/>
      <c r="M419" s="39"/>
    </row>
    <row r="420" spans="1:13" x14ac:dyDescent="0.2">
      <c r="A420" s="30"/>
      <c r="B420" s="30"/>
      <c r="C420" s="30"/>
      <c r="D420" s="30"/>
      <c r="E420" s="30"/>
      <c r="F420" s="30"/>
      <c r="G420" s="30"/>
      <c r="H420" s="30"/>
      <c r="I420" s="30"/>
      <c r="J420" s="65"/>
      <c r="K420" s="83"/>
      <c r="L420" s="30"/>
      <c r="M420" s="39"/>
    </row>
    <row r="421" spans="1:13" x14ac:dyDescent="0.2">
      <c r="A421" s="30"/>
      <c r="B421" s="30"/>
      <c r="C421" s="30"/>
      <c r="D421" s="30"/>
      <c r="E421" s="30"/>
      <c r="F421" s="30"/>
      <c r="G421" s="30"/>
      <c r="H421" s="30"/>
      <c r="I421" s="30"/>
      <c r="J421" s="65"/>
      <c r="K421" s="83"/>
      <c r="L421" s="30"/>
      <c r="M421" s="39"/>
    </row>
    <row r="422" spans="1:13" x14ac:dyDescent="0.2">
      <c r="A422" s="30"/>
      <c r="B422" s="30"/>
      <c r="C422" s="30"/>
      <c r="D422" s="30"/>
      <c r="E422" s="30"/>
      <c r="F422" s="30"/>
      <c r="G422" s="30"/>
      <c r="H422" s="30"/>
      <c r="I422" s="30"/>
      <c r="J422" s="65"/>
      <c r="K422" s="83"/>
      <c r="L422" s="30"/>
      <c r="M422" s="39"/>
    </row>
    <row r="423" spans="1:13" x14ac:dyDescent="0.2">
      <c r="A423" s="30"/>
      <c r="B423" s="30"/>
      <c r="C423" s="30"/>
      <c r="D423" s="30"/>
      <c r="E423" s="30"/>
      <c r="F423" s="30"/>
      <c r="G423" s="30"/>
      <c r="H423" s="30"/>
      <c r="I423" s="30"/>
      <c r="J423" s="65"/>
      <c r="K423" s="83"/>
      <c r="L423" s="30"/>
      <c r="M423" s="39"/>
    </row>
    <row r="424" spans="1:13" x14ac:dyDescent="0.2">
      <c r="A424" s="30"/>
      <c r="B424" s="30"/>
      <c r="C424" s="30"/>
      <c r="D424" s="30"/>
      <c r="E424" s="30"/>
      <c r="F424" s="30"/>
      <c r="G424" s="30"/>
      <c r="H424" s="30"/>
      <c r="I424" s="30"/>
      <c r="J424" s="65"/>
      <c r="K424" s="83"/>
      <c r="L424" s="30"/>
      <c r="M424" s="39"/>
    </row>
    <row r="425" spans="1:13" x14ac:dyDescent="0.2">
      <c r="A425" s="30"/>
      <c r="B425" s="30"/>
      <c r="C425" s="30"/>
      <c r="D425" s="30"/>
      <c r="E425" s="30"/>
      <c r="F425" s="30"/>
      <c r="G425" s="30"/>
      <c r="H425" s="30"/>
      <c r="I425" s="30"/>
      <c r="J425" s="65"/>
      <c r="K425" s="83"/>
      <c r="L425" s="30"/>
      <c r="M425" s="39"/>
    </row>
    <row r="426" spans="1:13" x14ac:dyDescent="0.2">
      <c r="A426" s="30"/>
      <c r="B426" s="30"/>
      <c r="C426" s="30"/>
      <c r="D426" s="30"/>
      <c r="E426" s="30"/>
      <c r="F426" s="30"/>
      <c r="G426" s="30"/>
      <c r="H426" s="30"/>
      <c r="I426" s="30"/>
      <c r="J426" s="65"/>
      <c r="K426" s="83"/>
      <c r="L426" s="30"/>
      <c r="M426" s="39"/>
    </row>
    <row r="427" spans="1:13" x14ac:dyDescent="0.2">
      <c r="A427" s="30"/>
      <c r="B427" s="30"/>
      <c r="C427" s="30"/>
      <c r="D427" s="30"/>
      <c r="E427" s="30"/>
      <c r="F427" s="30"/>
      <c r="G427" s="30"/>
      <c r="H427" s="30"/>
      <c r="I427" s="30"/>
      <c r="J427" s="65"/>
      <c r="K427" s="83"/>
      <c r="L427" s="30"/>
      <c r="M427" s="39"/>
    </row>
    <row r="428" spans="1:13" x14ac:dyDescent="0.2">
      <c r="A428" s="30"/>
      <c r="B428" s="30"/>
      <c r="C428" s="30"/>
      <c r="D428" s="30"/>
      <c r="E428" s="30"/>
      <c r="F428" s="30"/>
      <c r="G428" s="30"/>
      <c r="H428" s="30"/>
      <c r="I428" s="30"/>
      <c r="J428" s="65"/>
      <c r="K428" s="83"/>
      <c r="L428" s="30"/>
      <c r="M428" s="39"/>
    </row>
    <row r="429" spans="1:13" x14ac:dyDescent="0.2">
      <c r="A429" s="30"/>
      <c r="B429" s="30"/>
      <c r="C429" s="30"/>
      <c r="D429" s="30"/>
      <c r="E429" s="30"/>
      <c r="F429" s="30"/>
      <c r="G429" s="30"/>
      <c r="H429" s="30"/>
      <c r="I429" s="30"/>
      <c r="J429" s="65"/>
      <c r="K429" s="83"/>
      <c r="L429" s="30"/>
      <c r="M429" s="39"/>
    </row>
    <row r="430" spans="1:13" x14ac:dyDescent="0.2">
      <c r="A430" s="30"/>
      <c r="B430" s="30"/>
      <c r="C430" s="30"/>
      <c r="D430" s="30"/>
      <c r="E430" s="30"/>
      <c r="F430" s="30"/>
      <c r="G430" s="30"/>
      <c r="H430" s="30"/>
      <c r="I430" s="30"/>
      <c r="J430" s="65"/>
      <c r="K430" s="83"/>
      <c r="L430" s="30"/>
      <c r="M430" s="39"/>
    </row>
    <row r="431" spans="1:13" x14ac:dyDescent="0.2">
      <c r="A431" s="30"/>
      <c r="B431" s="30"/>
      <c r="C431" s="30"/>
      <c r="D431" s="30"/>
      <c r="E431" s="30"/>
      <c r="F431" s="30"/>
      <c r="G431" s="30"/>
      <c r="H431" s="30"/>
      <c r="I431" s="30"/>
      <c r="J431" s="65"/>
      <c r="K431" s="83"/>
      <c r="L431" s="30"/>
      <c r="M431" s="39"/>
    </row>
    <row r="432" spans="1:13" x14ac:dyDescent="0.2">
      <c r="A432" s="30"/>
      <c r="B432" s="30"/>
      <c r="C432" s="30"/>
      <c r="D432" s="30"/>
      <c r="E432" s="30"/>
      <c r="F432" s="30"/>
      <c r="G432" s="30"/>
      <c r="H432" s="30"/>
      <c r="I432" s="30"/>
      <c r="J432" s="65"/>
      <c r="K432" s="83"/>
      <c r="L432" s="30"/>
      <c r="M432" s="39"/>
    </row>
    <row r="433" spans="1:13" x14ac:dyDescent="0.2">
      <c r="A433" s="30"/>
      <c r="B433" s="30"/>
      <c r="C433" s="30"/>
      <c r="D433" s="30"/>
      <c r="E433" s="30"/>
      <c r="F433" s="30"/>
      <c r="G433" s="30"/>
      <c r="H433" s="30"/>
      <c r="I433" s="30"/>
      <c r="J433" s="65"/>
      <c r="K433" s="83"/>
      <c r="L433" s="30"/>
      <c r="M433" s="39"/>
    </row>
    <row r="434" spans="1:13" x14ac:dyDescent="0.2">
      <c r="A434" s="30"/>
      <c r="B434" s="30"/>
      <c r="C434" s="30"/>
      <c r="D434" s="30"/>
      <c r="E434" s="30"/>
      <c r="F434" s="30"/>
      <c r="G434" s="30"/>
      <c r="H434" s="30"/>
      <c r="I434" s="30"/>
      <c r="J434" s="65"/>
      <c r="K434" s="83"/>
      <c r="L434" s="30"/>
      <c r="M434" s="39"/>
    </row>
    <row r="435" spans="1:13" x14ac:dyDescent="0.2">
      <c r="A435" s="30"/>
      <c r="B435" s="30"/>
      <c r="C435" s="30"/>
      <c r="D435" s="30"/>
      <c r="E435" s="30"/>
      <c r="F435" s="30"/>
      <c r="G435" s="30"/>
      <c r="H435" s="30"/>
      <c r="I435" s="30"/>
      <c r="J435" s="65"/>
      <c r="K435" s="83"/>
      <c r="L435" s="30"/>
      <c r="M435" s="39"/>
    </row>
    <row r="436" spans="1:13" x14ac:dyDescent="0.2">
      <c r="A436" s="30"/>
      <c r="B436" s="30"/>
      <c r="C436" s="30"/>
      <c r="D436" s="30"/>
      <c r="E436" s="30"/>
      <c r="F436" s="30"/>
      <c r="G436" s="30"/>
      <c r="H436" s="30"/>
      <c r="I436" s="30"/>
      <c r="J436" s="65"/>
      <c r="K436" s="83"/>
      <c r="L436" s="30"/>
      <c r="M436" s="39"/>
    </row>
    <row r="437" spans="1:13" x14ac:dyDescent="0.2">
      <c r="A437" s="30"/>
      <c r="B437" s="30"/>
      <c r="C437" s="30"/>
      <c r="D437" s="30"/>
      <c r="E437" s="30"/>
      <c r="F437" s="30"/>
      <c r="G437" s="30"/>
      <c r="H437" s="30"/>
      <c r="I437" s="30"/>
      <c r="J437" s="65"/>
      <c r="K437" s="83"/>
      <c r="L437" s="30"/>
      <c r="M437" s="39"/>
    </row>
    <row r="438" spans="1:13" x14ac:dyDescent="0.2">
      <c r="A438" s="30"/>
      <c r="B438" s="30"/>
      <c r="C438" s="30"/>
      <c r="D438" s="30"/>
      <c r="E438" s="30"/>
      <c r="F438" s="30"/>
      <c r="G438" s="30"/>
      <c r="H438" s="30"/>
      <c r="I438" s="30"/>
      <c r="J438" s="65"/>
      <c r="K438" s="83"/>
      <c r="L438" s="30"/>
      <c r="M438" s="39"/>
    </row>
    <row r="439" spans="1:13" x14ac:dyDescent="0.2">
      <c r="A439" s="30"/>
      <c r="B439" s="30"/>
      <c r="C439" s="30"/>
      <c r="D439" s="30"/>
      <c r="E439" s="30"/>
      <c r="F439" s="30"/>
      <c r="G439" s="30"/>
      <c r="H439" s="30"/>
      <c r="I439" s="30"/>
      <c r="J439" s="65"/>
      <c r="K439" s="83"/>
      <c r="L439" s="30"/>
      <c r="M439" s="39"/>
    </row>
    <row r="440" spans="1:13" x14ac:dyDescent="0.2">
      <c r="A440" s="30"/>
      <c r="B440" s="30"/>
      <c r="C440" s="30"/>
      <c r="D440" s="30"/>
      <c r="E440" s="30"/>
      <c r="F440" s="30"/>
      <c r="G440" s="30"/>
      <c r="H440" s="30"/>
      <c r="I440" s="30"/>
      <c r="J440" s="65"/>
      <c r="K440" s="83"/>
      <c r="L440" s="30"/>
      <c r="M440" s="39"/>
    </row>
    <row r="441" spans="1:13" x14ac:dyDescent="0.2">
      <c r="A441" s="30"/>
      <c r="B441" s="30"/>
      <c r="C441" s="30"/>
      <c r="D441" s="30"/>
      <c r="E441" s="30"/>
      <c r="F441" s="30"/>
      <c r="G441" s="30"/>
      <c r="H441" s="30"/>
      <c r="I441" s="30"/>
      <c r="J441" s="65"/>
      <c r="K441" s="83"/>
      <c r="L441" s="30"/>
      <c r="M441" s="39"/>
    </row>
    <row r="442" spans="1:13" x14ac:dyDescent="0.2">
      <c r="A442" s="30"/>
      <c r="B442" s="30"/>
      <c r="C442" s="30"/>
      <c r="D442" s="30"/>
      <c r="E442" s="30"/>
      <c r="F442" s="30"/>
      <c r="G442" s="30"/>
      <c r="H442" s="30"/>
      <c r="I442" s="30"/>
      <c r="J442" s="65"/>
      <c r="K442" s="83"/>
      <c r="L442" s="30"/>
      <c r="M442" s="39"/>
    </row>
    <row r="443" spans="1:13" x14ac:dyDescent="0.2">
      <c r="A443" s="30"/>
      <c r="B443" s="30"/>
      <c r="C443" s="30"/>
      <c r="D443" s="30"/>
      <c r="E443" s="30"/>
      <c r="F443" s="30"/>
      <c r="G443" s="30"/>
      <c r="H443" s="30"/>
      <c r="I443" s="30"/>
      <c r="J443" s="65"/>
      <c r="K443" s="83"/>
      <c r="L443" s="30"/>
      <c r="M443" s="39"/>
    </row>
    <row r="444" spans="1:13" x14ac:dyDescent="0.2">
      <c r="A444" s="30"/>
      <c r="B444" s="30"/>
      <c r="C444" s="30"/>
      <c r="D444" s="30"/>
      <c r="E444" s="30"/>
      <c r="F444" s="30"/>
      <c r="G444" s="30"/>
      <c r="H444" s="30"/>
      <c r="I444" s="30"/>
      <c r="J444" s="65"/>
      <c r="K444" s="83"/>
      <c r="L444" s="30"/>
      <c r="M444" s="39"/>
    </row>
    <row r="445" spans="1:13" x14ac:dyDescent="0.2">
      <c r="A445" s="30"/>
      <c r="B445" s="30"/>
      <c r="C445" s="30"/>
      <c r="D445" s="30"/>
      <c r="E445" s="30"/>
      <c r="F445" s="30"/>
      <c r="G445" s="30"/>
      <c r="H445" s="30"/>
      <c r="I445" s="30"/>
      <c r="J445" s="65"/>
      <c r="K445" s="83"/>
      <c r="L445" s="30"/>
      <c r="M445" s="39"/>
    </row>
    <row r="446" spans="1:13" x14ac:dyDescent="0.2">
      <c r="A446" s="30"/>
      <c r="B446" s="30"/>
      <c r="C446" s="30"/>
      <c r="D446" s="30"/>
      <c r="E446" s="30"/>
      <c r="F446" s="30"/>
      <c r="G446" s="30"/>
      <c r="H446" s="30"/>
      <c r="I446" s="30"/>
      <c r="J446" s="65"/>
      <c r="K446" s="83"/>
      <c r="L446" s="30"/>
      <c r="M446" s="39"/>
    </row>
    <row r="447" spans="1:13" x14ac:dyDescent="0.2">
      <c r="A447" s="30"/>
      <c r="B447" s="30"/>
      <c r="C447" s="30"/>
      <c r="D447" s="30"/>
      <c r="E447" s="30"/>
      <c r="F447" s="30"/>
      <c r="G447" s="30"/>
      <c r="H447" s="30"/>
      <c r="I447" s="30"/>
      <c r="J447" s="65"/>
      <c r="K447" s="83"/>
      <c r="L447" s="30"/>
      <c r="M447" s="39"/>
    </row>
    <row r="448" spans="1:13" x14ac:dyDescent="0.2">
      <c r="A448" s="30"/>
      <c r="B448" s="30"/>
      <c r="C448" s="30"/>
      <c r="D448" s="30"/>
      <c r="E448" s="30"/>
      <c r="F448" s="30"/>
      <c r="G448" s="30"/>
      <c r="H448" s="30"/>
      <c r="I448" s="30"/>
      <c r="J448" s="65"/>
      <c r="K448" s="83"/>
      <c r="L448" s="30"/>
      <c r="M448" s="39"/>
    </row>
    <row r="449" spans="1:13" x14ac:dyDescent="0.2">
      <c r="A449" s="30"/>
      <c r="B449" s="30"/>
      <c r="C449" s="30"/>
      <c r="D449" s="30"/>
      <c r="E449" s="30"/>
      <c r="F449" s="30"/>
      <c r="G449" s="30"/>
      <c r="H449" s="30"/>
      <c r="I449" s="30"/>
      <c r="J449" s="65"/>
      <c r="K449" s="83"/>
      <c r="L449" s="30"/>
      <c r="M449" s="39"/>
    </row>
    <row r="450" spans="1:13" x14ac:dyDescent="0.2">
      <c r="A450" s="30"/>
      <c r="B450" s="30"/>
      <c r="C450" s="30"/>
      <c r="D450" s="30"/>
      <c r="E450" s="30"/>
      <c r="F450" s="30"/>
      <c r="G450" s="30"/>
      <c r="H450" s="30"/>
      <c r="I450" s="30"/>
      <c r="J450" s="65"/>
      <c r="K450" s="83"/>
      <c r="L450" s="30"/>
      <c r="M450" s="39"/>
    </row>
    <row r="451" spans="1:13" x14ac:dyDescent="0.2">
      <c r="A451" s="30"/>
      <c r="B451" s="30"/>
      <c r="C451" s="30"/>
      <c r="D451" s="30"/>
      <c r="E451" s="30"/>
      <c r="F451" s="30"/>
      <c r="G451" s="30"/>
      <c r="H451" s="30"/>
      <c r="I451" s="30"/>
      <c r="J451" s="65"/>
      <c r="K451" s="83"/>
      <c r="L451" s="30"/>
      <c r="M451" s="39"/>
    </row>
    <row r="452" spans="1:13" x14ac:dyDescent="0.2">
      <c r="A452" s="30"/>
      <c r="B452" s="30"/>
      <c r="C452" s="30"/>
      <c r="D452" s="30"/>
      <c r="E452" s="30"/>
      <c r="F452" s="30"/>
      <c r="G452" s="30"/>
      <c r="H452" s="30"/>
      <c r="I452" s="30"/>
      <c r="J452" s="65"/>
      <c r="K452" s="83"/>
      <c r="L452" s="30"/>
      <c r="M452" s="39"/>
    </row>
    <row r="453" spans="1:13" x14ac:dyDescent="0.2">
      <c r="A453" s="30"/>
      <c r="B453" s="30"/>
      <c r="C453" s="30"/>
      <c r="D453" s="30"/>
      <c r="E453" s="30"/>
      <c r="F453" s="30"/>
      <c r="G453" s="30"/>
      <c r="H453" s="30"/>
      <c r="I453" s="30"/>
      <c r="J453" s="65"/>
      <c r="K453" s="83"/>
      <c r="L453" s="30"/>
      <c r="M453" s="39"/>
    </row>
    <row r="454" spans="1:13" x14ac:dyDescent="0.2">
      <c r="A454" s="30"/>
      <c r="B454" s="30"/>
      <c r="C454" s="30"/>
      <c r="D454" s="30"/>
      <c r="E454" s="30"/>
      <c r="F454" s="30"/>
      <c r="G454" s="30"/>
      <c r="H454" s="30"/>
      <c r="I454" s="30"/>
      <c r="J454" s="65"/>
      <c r="K454" s="83"/>
      <c r="L454" s="30"/>
      <c r="M454" s="39"/>
    </row>
    <row r="455" spans="1:13" x14ac:dyDescent="0.2">
      <c r="A455" s="30"/>
      <c r="B455" s="30"/>
      <c r="C455" s="30"/>
      <c r="D455" s="30"/>
      <c r="E455" s="30"/>
      <c r="F455" s="30"/>
      <c r="G455" s="30"/>
      <c r="H455" s="30"/>
      <c r="I455" s="30"/>
      <c r="J455" s="65"/>
      <c r="K455" s="83"/>
      <c r="L455" s="30"/>
      <c r="M455" s="39"/>
    </row>
    <row r="456" spans="1:13" x14ac:dyDescent="0.2">
      <c r="A456" s="30"/>
      <c r="B456" s="30"/>
      <c r="C456" s="30"/>
      <c r="D456" s="30"/>
      <c r="E456" s="30"/>
      <c r="F456" s="30"/>
      <c r="G456" s="30"/>
      <c r="H456" s="30"/>
      <c r="I456" s="30"/>
      <c r="J456" s="65"/>
      <c r="K456" s="83"/>
      <c r="L456" s="30"/>
      <c r="M456" s="39"/>
    </row>
    <row r="457" spans="1:13" x14ac:dyDescent="0.2">
      <c r="A457" s="30"/>
      <c r="B457" s="30"/>
      <c r="C457" s="30"/>
      <c r="D457" s="30"/>
      <c r="E457" s="30"/>
      <c r="F457" s="30"/>
      <c r="G457" s="30"/>
      <c r="H457" s="30"/>
      <c r="I457" s="30"/>
      <c r="J457" s="65"/>
      <c r="K457" s="83"/>
      <c r="L457" s="30"/>
      <c r="M457" s="39"/>
    </row>
    <row r="458" spans="1:13" x14ac:dyDescent="0.2">
      <c r="A458" s="30"/>
      <c r="B458" s="30"/>
      <c r="C458" s="30"/>
      <c r="D458" s="30"/>
      <c r="E458" s="30"/>
      <c r="F458" s="30"/>
      <c r="G458" s="30"/>
      <c r="H458" s="30"/>
      <c r="I458" s="30"/>
      <c r="J458" s="65"/>
      <c r="K458" s="83"/>
      <c r="L458" s="30"/>
      <c r="M458" s="39"/>
    </row>
    <row r="459" spans="1:13" x14ac:dyDescent="0.2">
      <c r="A459" s="30"/>
      <c r="B459" s="30"/>
      <c r="C459" s="30"/>
      <c r="D459" s="30"/>
      <c r="E459" s="30"/>
      <c r="F459" s="30"/>
      <c r="G459" s="30"/>
      <c r="H459" s="30"/>
      <c r="I459" s="30"/>
      <c r="J459" s="65"/>
      <c r="K459" s="83"/>
      <c r="L459" s="30"/>
      <c r="M459" s="39"/>
    </row>
    <row r="460" spans="1:13" x14ac:dyDescent="0.2">
      <c r="A460" s="30"/>
      <c r="B460" s="30"/>
      <c r="C460" s="30"/>
      <c r="D460" s="30"/>
      <c r="E460" s="30"/>
      <c r="F460" s="30"/>
      <c r="G460" s="30"/>
      <c r="H460" s="30"/>
      <c r="I460" s="30"/>
      <c r="J460" s="65"/>
      <c r="K460" s="83"/>
      <c r="L460" s="30"/>
      <c r="M460" s="39"/>
    </row>
    <row r="461" spans="1:13" x14ac:dyDescent="0.2">
      <c r="A461" s="30"/>
      <c r="B461" s="30"/>
      <c r="C461" s="30"/>
      <c r="D461" s="30"/>
      <c r="E461" s="30"/>
      <c r="F461" s="30"/>
      <c r="G461" s="30"/>
      <c r="H461" s="30"/>
      <c r="I461" s="30"/>
      <c r="J461" s="65"/>
      <c r="K461" s="83"/>
      <c r="L461" s="30"/>
      <c r="M461" s="39"/>
    </row>
    <row r="462" spans="1:13" x14ac:dyDescent="0.2">
      <c r="A462" s="30"/>
      <c r="B462" s="30"/>
      <c r="C462" s="30"/>
      <c r="D462" s="30"/>
      <c r="E462" s="30"/>
      <c r="F462" s="30"/>
      <c r="G462" s="30"/>
      <c r="H462" s="30"/>
      <c r="I462" s="30"/>
      <c r="J462" s="65"/>
      <c r="K462" s="83"/>
      <c r="L462" s="30"/>
      <c r="M462" s="39"/>
    </row>
    <row r="463" spans="1:13" x14ac:dyDescent="0.2">
      <c r="A463" s="30"/>
      <c r="B463" s="30"/>
      <c r="C463" s="30"/>
      <c r="D463" s="30"/>
      <c r="E463" s="30"/>
      <c r="F463" s="30"/>
      <c r="G463" s="30"/>
      <c r="H463" s="30"/>
      <c r="I463" s="30"/>
      <c r="J463" s="65"/>
      <c r="K463" s="83"/>
      <c r="L463" s="30"/>
      <c r="M463" s="39"/>
    </row>
    <row r="464" spans="1:13" x14ac:dyDescent="0.2">
      <c r="A464" s="30"/>
      <c r="B464" s="30"/>
      <c r="C464" s="30"/>
      <c r="D464" s="30"/>
      <c r="E464" s="30"/>
      <c r="F464" s="30"/>
      <c r="G464" s="30"/>
      <c r="H464" s="30"/>
      <c r="I464" s="30"/>
      <c r="J464" s="65"/>
      <c r="K464" s="83"/>
      <c r="L464" s="30"/>
      <c r="M464" s="39"/>
    </row>
    <row r="465" spans="1:13" x14ac:dyDescent="0.2">
      <c r="A465" s="30"/>
      <c r="B465" s="30"/>
      <c r="C465" s="30"/>
      <c r="D465" s="30"/>
      <c r="E465" s="30"/>
      <c r="F465" s="30"/>
      <c r="G465" s="30"/>
      <c r="H465" s="30"/>
      <c r="I465" s="30"/>
      <c r="J465" s="65"/>
      <c r="K465" s="83"/>
      <c r="L465" s="30"/>
      <c r="M465" s="39"/>
    </row>
    <row r="466" spans="1:13" x14ac:dyDescent="0.2">
      <c r="A466" s="30"/>
      <c r="B466" s="30"/>
      <c r="C466" s="30"/>
      <c r="D466" s="30"/>
      <c r="E466" s="30"/>
      <c r="F466" s="30"/>
      <c r="G466" s="30"/>
      <c r="H466" s="30"/>
      <c r="I466" s="30"/>
      <c r="J466" s="65"/>
      <c r="K466" s="83"/>
      <c r="L466" s="30"/>
      <c r="M466" s="39"/>
    </row>
    <row r="467" spans="1:13" x14ac:dyDescent="0.2">
      <c r="A467" s="30"/>
      <c r="B467" s="30"/>
      <c r="C467" s="30"/>
      <c r="D467" s="30"/>
      <c r="E467" s="30"/>
      <c r="F467" s="30"/>
      <c r="G467" s="30"/>
      <c r="H467" s="30"/>
      <c r="I467" s="30"/>
      <c r="J467" s="65"/>
      <c r="K467" s="83"/>
      <c r="L467" s="30"/>
      <c r="M467" s="39"/>
    </row>
    <row r="468" spans="1:13" x14ac:dyDescent="0.2">
      <c r="A468" s="30"/>
      <c r="B468" s="30"/>
      <c r="C468" s="30"/>
      <c r="D468" s="30"/>
      <c r="E468" s="30"/>
      <c r="F468" s="30"/>
      <c r="G468" s="30"/>
      <c r="H468" s="30"/>
      <c r="I468" s="30"/>
      <c r="J468" s="65"/>
      <c r="K468" s="83"/>
      <c r="L468" s="30"/>
      <c r="M468" s="39"/>
    </row>
    <row r="469" spans="1:13" x14ac:dyDescent="0.2">
      <c r="A469" s="30"/>
      <c r="B469" s="30"/>
      <c r="C469" s="30"/>
      <c r="D469" s="30"/>
      <c r="E469" s="30"/>
      <c r="F469" s="30"/>
      <c r="G469" s="30"/>
      <c r="H469" s="30"/>
      <c r="I469" s="30"/>
      <c r="J469" s="65"/>
      <c r="K469" s="83"/>
      <c r="L469" s="30"/>
      <c r="M469" s="39"/>
    </row>
    <row r="470" spans="1:13" x14ac:dyDescent="0.2">
      <c r="A470" s="30"/>
      <c r="B470" s="30"/>
      <c r="C470" s="30"/>
      <c r="D470" s="30"/>
      <c r="E470" s="30"/>
      <c r="F470" s="30"/>
      <c r="G470" s="30"/>
      <c r="H470" s="30"/>
      <c r="I470" s="30"/>
      <c r="J470" s="65"/>
      <c r="K470" s="83"/>
      <c r="L470" s="30"/>
      <c r="M470" s="39"/>
    </row>
    <row r="471" spans="1:13" x14ac:dyDescent="0.2">
      <c r="A471" s="30"/>
      <c r="B471" s="30"/>
      <c r="C471" s="30"/>
      <c r="D471" s="30"/>
      <c r="E471" s="30"/>
      <c r="F471" s="30"/>
      <c r="G471" s="30"/>
      <c r="H471" s="30"/>
      <c r="I471" s="30"/>
      <c r="J471" s="65"/>
      <c r="K471" s="83"/>
      <c r="L471" s="30"/>
      <c r="M471" s="39"/>
    </row>
    <row r="472" spans="1:13" x14ac:dyDescent="0.2">
      <c r="A472" s="30"/>
      <c r="B472" s="30"/>
      <c r="C472" s="30"/>
      <c r="D472" s="30"/>
      <c r="E472" s="30"/>
      <c r="F472" s="30"/>
      <c r="G472" s="30"/>
      <c r="H472" s="30"/>
      <c r="I472" s="30"/>
      <c r="J472" s="65"/>
      <c r="K472" s="83"/>
      <c r="L472" s="30"/>
      <c r="M472" s="39"/>
    </row>
    <row r="473" spans="1:13" x14ac:dyDescent="0.2">
      <c r="A473" s="30"/>
      <c r="B473" s="30"/>
      <c r="C473" s="30"/>
      <c r="D473" s="30"/>
      <c r="E473" s="30"/>
      <c r="F473" s="30"/>
      <c r="G473" s="30"/>
      <c r="H473" s="30"/>
      <c r="I473" s="30"/>
      <c r="J473" s="65"/>
      <c r="K473" s="83"/>
      <c r="L473" s="30"/>
      <c r="M473" s="39"/>
    </row>
    <row r="474" spans="1:13" x14ac:dyDescent="0.2">
      <c r="A474" s="30"/>
      <c r="B474" s="30"/>
      <c r="C474" s="30"/>
      <c r="D474" s="30"/>
      <c r="E474" s="30"/>
      <c r="F474" s="30"/>
      <c r="G474" s="30"/>
      <c r="H474" s="30"/>
      <c r="I474" s="30"/>
      <c r="J474" s="65"/>
      <c r="K474" s="83"/>
      <c r="L474" s="30"/>
      <c r="M474" s="39"/>
    </row>
    <row r="475" spans="1:13" x14ac:dyDescent="0.2">
      <c r="A475" s="30"/>
      <c r="B475" s="30"/>
      <c r="C475" s="30"/>
      <c r="D475" s="30"/>
      <c r="E475" s="30"/>
      <c r="F475" s="30"/>
      <c r="G475" s="30"/>
      <c r="H475" s="30"/>
      <c r="I475" s="30"/>
      <c r="J475" s="65"/>
      <c r="K475" s="83"/>
      <c r="L475" s="30"/>
      <c r="M475" s="39"/>
    </row>
    <row r="476" spans="1:13" x14ac:dyDescent="0.2">
      <c r="A476" s="30"/>
      <c r="B476" s="30"/>
      <c r="C476" s="30"/>
      <c r="D476" s="30"/>
      <c r="E476" s="30"/>
      <c r="F476" s="30"/>
      <c r="G476" s="30"/>
      <c r="H476" s="30"/>
      <c r="I476" s="30"/>
      <c r="J476" s="65"/>
      <c r="K476" s="83"/>
      <c r="L476" s="30"/>
      <c r="M476" s="39"/>
    </row>
    <row r="477" spans="1:13" x14ac:dyDescent="0.2">
      <c r="A477" s="30"/>
      <c r="B477" s="30"/>
      <c r="C477" s="30"/>
      <c r="D477" s="30"/>
      <c r="E477" s="30"/>
      <c r="F477" s="30"/>
      <c r="G477" s="30"/>
      <c r="H477" s="30"/>
      <c r="I477" s="30"/>
      <c r="J477" s="65"/>
      <c r="K477" s="83"/>
      <c r="L477" s="30"/>
      <c r="M477" s="39"/>
    </row>
    <row r="478" spans="1:13" x14ac:dyDescent="0.2">
      <c r="A478" s="30"/>
      <c r="B478" s="30"/>
      <c r="C478" s="30"/>
      <c r="D478" s="30"/>
      <c r="E478" s="30"/>
      <c r="F478" s="30"/>
      <c r="G478" s="30"/>
      <c r="H478" s="30"/>
      <c r="I478" s="30"/>
      <c r="J478" s="65"/>
      <c r="K478" s="83"/>
      <c r="L478" s="30"/>
      <c r="M478" s="39"/>
    </row>
    <row r="479" spans="1:13" x14ac:dyDescent="0.2">
      <c r="A479" s="30"/>
      <c r="B479" s="30"/>
      <c r="C479" s="30"/>
      <c r="D479" s="30"/>
      <c r="E479" s="30"/>
      <c r="F479" s="30"/>
      <c r="G479" s="30"/>
      <c r="H479" s="30"/>
      <c r="I479" s="30"/>
      <c r="J479" s="65"/>
      <c r="K479" s="83"/>
      <c r="L479" s="30"/>
      <c r="M479" s="39"/>
    </row>
    <row r="480" spans="1:13" x14ac:dyDescent="0.2">
      <c r="A480" s="30"/>
      <c r="B480" s="30"/>
      <c r="C480" s="30"/>
      <c r="D480" s="30"/>
      <c r="E480" s="30"/>
      <c r="F480" s="30"/>
      <c r="G480" s="30"/>
      <c r="H480" s="30"/>
      <c r="I480" s="30"/>
      <c r="J480" s="65"/>
      <c r="K480" s="83"/>
      <c r="L480" s="30"/>
      <c r="M480" s="39"/>
    </row>
    <row r="481" spans="1:13" x14ac:dyDescent="0.2">
      <c r="A481" s="30"/>
      <c r="B481" s="30"/>
      <c r="C481" s="30"/>
      <c r="D481" s="30"/>
      <c r="E481" s="30"/>
      <c r="F481" s="30"/>
      <c r="G481" s="30"/>
      <c r="H481" s="30"/>
      <c r="I481" s="30"/>
      <c r="J481" s="65"/>
      <c r="K481" s="83"/>
      <c r="L481" s="30"/>
      <c r="M481" s="39"/>
    </row>
    <row r="482" spans="1:13" x14ac:dyDescent="0.2">
      <c r="A482" s="30"/>
      <c r="B482" s="30"/>
      <c r="C482" s="30"/>
      <c r="D482" s="30"/>
      <c r="E482" s="30"/>
      <c r="F482" s="30"/>
      <c r="G482" s="30"/>
      <c r="H482" s="30"/>
      <c r="I482" s="30"/>
      <c r="J482" s="65"/>
      <c r="K482" s="83"/>
      <c r="L482" s="30"/>
      <c r="M482" s="39"/>
    </row>
    <row r="483" spans="1:13" x14ac:dyDescent="0.2">
      <c r="A483" s="30"/>
      <c r="B483" s="30"/>
      <c r="C483" s="30"/>
      <c r="D483" s="30"/>
      <c r="E483" s="30"/>
      <c r="F483" s="30"/>
      <c r="G483" s="30"/>
      <c r="H483" s="30"/>
      <c r="I483" s="30"/>
      <c r="J483" s="65"/>
      <c r="K483" s="83"/>
      <c r="L483" s="30"/>
      <c r="M483" s="39"/>
    </row>
    <row r="484" spans="1:13" x14ac:dyDescent="0.2">
      <c r="A484" s="30"/>
      <c r="B484" s="30"/>
      <c r="C484" s="30"/>
      <c r="D484" s="30"/>
      <c r="E484" s="30"/>
      <c r="F484" s="30"/>
      <c r="G484" s="30"/>
      <c r="H484" s="30"/>
      <c r="I484" s="30"/>
      <c r="J484" s="65"/>
      <c r="K484" s="83"/>
      <c r="L484" s="30"/>
      <c r="M484" s="39"/>
    </row>
    <row r="485" spans="1:13" x14ac:dyDescent="0.2">
      <c r="A485" s="30"/>
      <c r="B485" s="30"/>
      <c r="C485" s="30"/>
      <c r="D485" s="30"/>
      <c r="E485" s="30"/>
      <c r="F485" s="30"/>
      <c r="G485" s="30"/>
      <c r="H485" s="30"/>
      <c r="I485" s="30"/>
      <c r="J485" s="65"/>
      <c r="K485" s="83"/>
      <c r="L485" s="30"/>
      <c r="M485" s="39"/>
    </row>
    <row r="486" spans="1:13" x14ac:dyDescent="0.2">
      <c r="A486" s="30"/>
      <c r="B486" s="30"/>
      <c r="C486" s="30"/>
      <c r="D486" s="30"/>
      <c r="E486" s="30"/>
      <c r="F486" s="30"/>
      <c r="G486" s="30"/>
      <c r="H486" s="30"/>
      <c r="I486" s="30"/>
      <c r="J486" s="65"/>
      <c r="K486" s="83"/>
      <c r="L486" s="30"/>
      <c r="M486" s="39"/>
    </row>
    <row r="487" spans="1:13" x14ac:dyDescent="0.2">
      <c r="A487" s="30"/>
      <c r="B487" s="30"/>
      <c r="C487" s="30"/>
      <c r="D487" s="30"/>
      <c r="E487" s="30"/>
      <c r="F487" s="30"/>
      <c r="G487" s="30"/>
      <c r="H487" s="30"/>
      <c r="I487" s="30"/>
      <c r="J487" s="65"/>
      <c r="K487" s="83"/>
      <c r="L487" s="30"/>
      <c r="M487" s="39"/>
    </row>
    <row r="488" spans="1:13" x14ac:dyDescent="0.2">
      <c r="A488" s="30"/>
      <c r="B488" s="30"/>
      <c r="C488" s="30"/>
      <c r="D488" s="30"/>
      <c r="E488" s="30"/>
      <c r="F488" s="30"/>
      <c r="G488" s="30"/>
      <c r="H488" s="30"/>
      <c r="I488" s="30"/>
      <c r="J488" s="65"/>
      <c r="K488" s="83"/>
      <c r="L488" s="30"/>
      <c r="M488" s="39"/>
    </row>
    <row r="489" spans="1:13" x14ac:dyDescent="0.2">
      <c r="A489" s="30"/>
      <c r="B489" s="30"/>
      <c r="C489" s="30"/>
      <c r="D489" s="30"/>
      <c r="E489" s="30"/>
      <c r="F489" s="30"/>
      <c r="G489" s="30"/>
      <c r="H489" s="30"/>
      <c r="I489" s="30"/>
      <c r="J489" s="65"/>
      <c r="K489" s="83"/>
      <c r="L489" s="30"/>
      <c r="M489" s="39"/>
    </row>
    <row r="490" spans="1:13" x14ac:dyDescent="0.2">
      <c r="A490" s="30"/>
      <c r="B490" s="30"/>
      <c r="C490" s="30"/>
      <c r="D490" s="30"/>
      <c r="E490" s="30"/>
      <c r="F490" s="30"/>
      <c r="G490" s="30"/>
      <c r="H490" s="30"/>
      <c r="I490" s="30"/>
      <c r="J490" s="65"/>
      <c r="K490" s="83"/>
      <c r="L490" s="30"/>
      <c r="M490" s="39"/>
    </row>
    <row r="491" spans="1:13" x14ac:dyDescent="0.2">
      <c r="A491" s="30"/>
      <c r="B491" s="30"/>
      <c r="C491" s="30"/>
      <c r="D491" s="30"/>
      <c r="E491" s="30"/>
      <c r="F491" s="30"/>
      <c r="G491" s="30"/>
      <c r="H491" s="30"/>
      <c r="I491" s="30"/>
      <c r="J491" s="65"/>
      <c r="K491" s="83"/>
      <c r="L491" s="30"/>
      <c r="M491" s="39"/>
    </row>
    <row r="492" spans="1:13" x14ac:dyDescent="0.2">
      <c r="A492" s="30"/>
      <c r="B492" s="30"/>
      <c r="C492" s="30"/>
      <c r="D492" s="30"/>
      <c r="E492" s="30"/>
      <c r="F492" s="30"/>
      <c r="G492" s="30"/>
      <c r="H492" s="30"/>
      <c r="I492" s="30"/>
      <c r="J492" s="65"/>
      <c r="K492" s="83"/>
      <c r="L492" s="30"/>
      <c r="M492" s="39"/>
    </row>
    <row r="493" spans="1:13" x14ac:dyDescent="0.2">
      <c r="A493" s="30"/>
      <c r="B493" s="30"/>
      <c r="C493" s="30"/>
      <c r="D493" s="30"/>
      <c r="E493" s="30"/>
      <c r="F493" s="30"/>
      <c r="G493" s="30"/>
      <c r="H493" s="30"/>
      <c r="I493" s="30"/>
      <c r="J493" s="65"/>
      <c r="K493" s="83"/>
      <c r="L493" s="30"/>
      <c r="M493" s="39"/>
    </row>
    <row r="494" spans="1:13" x14ac:dyDescent="0.2">
      <c r="A494" s="30"/>
      <c r="B494" s="30"/>
      <c r="C494" s="30"/>
      <c r="D494" s="30"/>
      <c r="E494" s="30"/>
      <c r="F494" s="30"/>
      <c r="G494" s="30"/>
      <c r="H494" s="30"/>
      <c r="I494" s="30"/>
      <c r="J494" s="65"/>
      <c r="K494" s="83"/>
      <c r="L494" s="30"/>
      <c r="M494" s="39"/>
    </row>
    <row r="495" spans="1:13" x14ac:dyDescent="0.2">
      <c r="A495" s="30"/>
      <c r="B495" s="30"/>
      <c r="C495" s="30"/>
      <c r="D495" s="30"/>
      <c r="E495" s="30"/>
      <c r="F495" s="30"/>
      <c r="G495" s="30"/>
      <c r="H495" s="30"/>
      <c r="I495" s="30"/>
      <c r="J495" s="65"/>
      <c r="K495" s="83"/>
      <c r="L495" s="30"/>
      <c r="M495" s="39"/>
    </row>
    <row r="496" spans="1:13" x14ac:dyDescent="0.2">
      <c r="A496" s="30"/>
      <c r="B496" s="30"/>
      <c r="C496" s="30"/>
      <c r="D496" s="30"/>
      <c r="E496" s="30"/>
      <c r="F496" s="30"/>
      <c r="G496" s="30"/>
      <c r="H496" s="30"/>
      <c r="I496" s="30"/>
      <c r="J496" s="65"/>
      <c r="K496" s="83"/>
      <c r="L496" s="30"/>
      <c r="M496" s="39"/>
    </row>
    <row r="497" spans="1:13" x14ac:dyDescent="0.2">
      <c r="A497" s="30"/>
      <c r="B497" s="30"/>
      <c r="C497" s="30"/>
      <c r="D497" s="30"/>
      <c r="E497" s="30"/>
      <c r="F497" s="30"/>
      <c r="G497" s="30"/>
      <c r="H497" s="30"/>
      <c r="I497" s="30"/>
      <c r="J497" s="65"/>
      <c r="K497" s="83"/>
      <c r="L497" s="30"/>
      <c r="M497" s="39"/>
    </row>
    <row r="498" spans="1:13" x14ac:dyDescent="0.2">
      <c r="A498" s="30"/>
      <c r="B498" s="30"/>
      <c r="C498" s="30"/>
      <c r="D498" s="30"/>
      <c r="E498" s="30"/>
      <c r="F498" s="30"/>
      <c r="G498" s="30"/>
      <c r="H498" s="30"/>
      <c r="I498" s="30"/>
      <c r="J498" s="65"/>
      <c r="K498" s="83"/>
      <c r="L498" s="30"/>
      <c r="M498" s="39"/>
    </row>
    <row r="499" spans="1:13" x14ac:dyDescent="0.2">
      <c r="A499" s="30"/>
      <c r="B499" s="30"/>
      <c r="C499" s="30"/>
      <c r="D499" s="30"/>
      <c r="E499" s="30"/>
      <c r="F499" s="30"/>
      <c r="G499" s="30"/>
      <c r="H499" s="30"/>
      <c r="I499" s="30"/>
      <c r="J499" s="65"/>
      <c r="K499" s="83"/>
      <c r="L499" s="30"/>
      <c r="M499" s="39"/>
    </row>
    <row r="500" spans="1:13" x14ac:dyDescent="0.2">
      <c r="A500" s="30"/>
      <c r="B500" s="30"/>
      <c r="C500" s="30"/>
      <c r="D500" s="30"/>
      <c r="E500" s="30"/>
      <c r="F500" s="30"/>
      <c r="G500" s="30"/>
      <c r="H500" s="30"/>
      <c r="I500" s="30"/>
      <c r="J500" s="65"/>
      <c r="K500" s="83"/>
      <c r="L500" s="30"/>
      <c r="M500" s="39"/>
    </row>
    <row r="501" spans="1:13" x14ac:dyDescent="0.2">
      <c r="A501" s="30"/>
      <c r="B501" s="30"/>
      <c r="C501" s="30"/>
      <c r="D501" s="30"/>
      <c r="E501" s="30"/>
      <c r="F501" s="30"/>
      <c r="G501" s="30"/>
      <c r="H501" s="30"/>
      <c r="I501" s="30"/>
      <c r="J501" s="65"/>
      <c r="K501" s="83"/>
      <c r="L501" s="30"/>
      <c r="M501" s="39"/>
    </row>
    <row r="502" spans="1:13" x14ac:dyDescent="0.2">
      <c r="A502" s="30"/>
      <c r="B502" s="30"/>
      <c r="C502" s="30"/>
      <c r="D502" s="30"/>
      <c r="E502" s="30"/>
      <c r="F502" s="30"/>
      <c r="G502" s="30"/>
      <c r="H502" s="30"/>
      <c r="I502" s="30"/>
      <c r="J502" s="65"/>
      <c r="K502" s="83"/>
      <c r="L502" s="30"/>
      <c r="M502" s="39"/>
    </row>
    <row r="503" spans="1:13" x14ac:dyDescent="0.2">
      <c r="A503" s="30"/>
      <c r="B503" s="30"/>
      <c r="C503" s="30"/>
      <c r="D503" s="30"/>
      <c r="E503" s="30"/>
      <c r="F503" s="30"/>
      <c r="G503" s="30"/>
      <c r="H503" s="30"/>
      <c r="I503" s="30"/>
      <c r="J503" s="65"/>
      <c r="K503" s="83"/>
      <c r="L503" s="30"/>
      <c r="M503" s="39"/>
    </row>
    <row r="504" spans="1:13" x14ac:dyDescent="0.2">
      <c r="A504" s="30"/>
      <c r="B504" s="30"/>
      <c r="C504" s="30"/>
      <c r="D504" s="30"/>
      <c r="E504" s="30"/>
      <c r="F504" s="30"/>
      <c r="G504" s="30"/>
      <c r="H504" s="30"/>
      <c r="I504" s="30"/>
      <c r="J504" s="65"/>
      <c r="K504" s="83"/>
      <c r="L504" s="30"/>
      <c r="M504" s="39"/>
    </row>
    <row r="505" spans="1:13" x14ac:dyDescent="0.2">
      <c r="A505" s="30"/>
      <c r="B505" s="30"/>
      <c r="C505" s="30"/>
      <c r="D505" s="30"/>
      <c r="E505" s="30"/>
      <c r="F505" s="30"/>
      <c r="G505" s="30"/>
      <c r="H505" s="30"/>
      <c r="I505" s="30"/>
      <c r="J505" s="65"/>
      <c r="K505" s="83"/>
      <c r="L505" s="30"/>
      <c r="M505" s="39"/>
    </row>
    <row r="506" spans="1:13" x14ac:dyDescent="0.2">
      <c r="A506" s="30"/>
      <c r="B506" s="30"/>
      <c r="C506" s="30"/>
      <c r="D506" s="30"/>
      <c r="E506" s="30"/>
      <c r="F506" s="30"/>
      <c r="G506" s="30"/>
      <c r="H506" s="30"/>
      <c r="I506" s="30"/>
      <c r="J506" s="65"/>
      <c r="K506" s="83"/>
      <c r="L506" s="30"/>
      <c r="M506" s="39"/>
    </row>
    <row r="507" spans="1:13" x14ac:dyDescent="0.2">
      <c r="A507" s="30"/>
      <c r="B507" s="30"/>
      <c r="C507" s="30"/>
      <c r="D507" s="30"/>
      <c r="E507" s="30"/>
      <c r="F507" s="30"/>
      <c r="G507" s="30"/>
      <c r="H507" s="30"/>
      <c r="I507" s="30"/>
      <c r="J507" s="65"/>
      <c r="K507" s="83"/>
      <c r="L507" s="30"/>
      <c r="M507" s="39"/>
    </row>
    <row r="508" spans="1:13" x14ac:dyDescent="0.2">
      <c r="A508" s="30"/>
      <c r="B508" s="30"/>
      <c r="C508" s="30"/>
      <c r="D508" s="30"/>
      <c r="E508" s="30"/>
      <c r="F508" s="30"/>
      <c r="G508" s="30"/>
      <c r="H508" s="30"/>
      <c r="I508" s="30"/>
      <c r="J508" s="65"/>
      <c r="K508" s="83"/>
      <c r="L508" s="30"/>
      <c r="M508" s="39"/>
    </row>
    <row r="509" spans="1:13" x14ac:dyDescent="0.2">
      <c r="A509" s="30"/>
      <c r="B509" s="30"/>
      <c r="C509" s="30"/>
      <c r="D509" s="30"/>
      <c r="E509" s="30"/>
      <c r="F509" s="30"/>
      <c r="G509" s="30"/>
      <c r="H509" s="30"/>
      <c r="I509" s="30"/>
      <c r="J509" s="65"/>
      <c r="K509" s="83"/>
      <c r="L509" s="30"/>
      <c r="M509" s="39"/>
    </row>
    <row r="510" spans="1:13" x14ac:dyDescent="0.2">
      <c r="A510" s="30"/>
      <c r="B510" s="30"/>
      <c r="C510" s="30"/>
      <c r="D510" s="30"/>
      <c r="E510" s="30"/>
      <c r="F510" s="30"/>
      <c r="G510" s="30"/>
      <c r="H510" s="30"/>
      <c r="I510" s="30"/>
      <c r="J510" s="65"/>
      <c r="K510" s="83"/>
      <c r="L510" s="30"/>
      <c r="M510" s="39"/>
    </row>
    <row r="511" spans="1:13" x14ac:dyDescent="0.2">
      <c r="A511" s="30"/>
      <c r="B511" s="30"/>
      <c r="C511" s="30"/>
      <c r="D511" s="30"/>
      <c r="E511" s="30"/>
      <c r="F511" s="30"/>
      <c r="G511" s="30"/>
      <c r="H511" s="30"/>
      <c r="I511" s="30"/>
      <c r="J511" s="65"/>
      <c r="K511" s="83"/>
      <c r="L511" s="30"/>
      <c r="M511" s="39"/>
    </row>
    <row r="512" spans="1:13" x14ac:dyDescent="0.2">
      <c r="A512" s="30"/>
      <c r="B512" s="30"/>
      <c r="C512" s="30"/>
      <c r="D512" s="30"/>
      <c r="E512" s="30"/>
      <c r="F512" s="30"/>
      <c r="G512" s="30"/>
      <c r="H512" s="30"/>
      <c r="I512" s="30"/>
      <c r="J512" s="65"/>
      <c r="K512" s="83"/>
      <c r="L512" s="30"/>
      <c r="M512" s="39"/>
    </row>
    <row r="513" spans="1:13" x14ac:dyDescent="0.2">
      <c r="A513" s="30"/>
      <c r="B513" s="30"/>
      <c r="C513" s="30"/>
      <c r="D513" s="30"/>
      <c r="E513" s="30"/>
      <c r="F513" s="30"/>
      <c r="G513" s="30"/>
      <c r="H513" s="30"/>
      <c r="I513" s="30"/>
      <c r="J513" s="65"/>
      <c r="K513" s="83"/>
      <c r="L513" s="30"/>
      <c r="M513" s="39"/>
    </row>
    <row r="514" spans="1:13" x14ac:dyDescent="0.2">
      <c r="A514" s="30"/>
      <c r="B514" s="30"/>
      <c r="C514" s="30"/>
      <c r="D514" s="30"/>
      <c r="E514" s="30"/>
      <c r="F514" s="30"/>
      <c r="G514" s="30"/>
      <c r="H514" s="30"/>
      <c r="I514" s="30"/>
      <c r="J514" s="65"/>
      <c r="K514" s="83"/>
      <c r="L514" s="30"/>
      <c r="M514" s="39"/>
    </row>
    <row r="515" spans="1:13" x14ac:dyDescent="0.2">
      <c r="A515" s="30"/>
      <c r="B515" s="30"/>
      <c r="C515" s="30"/>
      <c r="D515" s="30"/>
      <c r="E515" s="30"/>
      <c r="F515" s="30"/>
      <c r="G515" s="30"/>
      <c r="H515" s="30"/>
      <c r="I515" s="30"/>
      <c r="J515" s="65"/>
      <c r="K515" s="83"/>
      <c r="L515" s="30"/>
      <c r="M515" s="39"/>
    </row>
    <row r="516" spans="1:13" x14ac:dyDescent="0.2">
      <c r="A516" s="30"/>
      <c r="B516" s="30"/>
      <c r="C516" s="30"/>
      <c r="D516" s="30"/>
      <c r="E516" s="30"/>
      <c r="F516" s="30"/>
      <c r="G516" s="30"/>
      <c r="H516" s="30"/>
      <c r="I516" s="30"/>
      <c r="J516" s="65"/>
      <c r="K516" s="83"/>
      <c r="L516" s="30"/>
      <c r="M516" s="39"/>
    </row>
    <row r="517" spans="1:13" x14ac:dyDescent="0.2">
      <c r="A517" s="30"/>
      <c r="B517" s="30"/>
      <c r="C517" s="30"/>
      <c r="D517" s="30"/>
      <c r="E517" s="30"/>
      <c r="F517" s="30"/>
      <c r="G517" s="30"/>
      <c r="H517" s="30"/>
      <c r="I517" s="30"/>
      <c r="J517" s="65"/>
      <c r="K517" s="83"/>
      <c r="L517" s="30"/>
      <c r="M517" s="39"/>
    </row>
    <row r="518" spans="1:13" x14ac:dyDescent="0.2">
      <c r="A518" s="30"/>
      <c r="B518" s="30"/>
      <c r="C518" s="30"/>
      <c r="D518" s="30"/>
      <c r="E518" s="30"/>
      <c r="F518" s="30"/>
      <c r="G518" s="30"/>
      <c r="H518" s="30"/>
      <c r="I518" s="30"/>
      <c r="J518" s="65"/>
      <c r="K518" s="83"/>
      <c r="L518" s="30"/>
      <c r="M518" s="39"/>
    </row>
    <row r="519" spans="1:13" x14ac:dyDescent="0.2">
      <c r="A519" s="30"/>
      <c r="B519" s="30"/>
      <c r="C519" s="30"/>
      <c r="D519" s="30"/>
      <c r="E519" s="30"/>
      <c r="F519" s="30"/>
      <c r="G519" s="30"/>
      <c r="H519" s="30"/>
      <c r="I519" s="30"/>
      <c r="J519" s="65"/>
      <c r="K519" s="83"/>
      <c r="L519" s="30"/>
      <c r="M519" s="39"/>
    </row>
    <row r="520" spans="1:13" x14ac:dyDescent="0.2">
      <c r="A520" s="30"/>
      <c r="B520" s="30"/>
      <c r="C520" s="30"/>
      <c r="D520" s="30"/>
      <c r="E520" s="30"/>
      <c r="F520" s="30"/>
      <c r="G520" s="30"/>
      <c r="H520" s="30"/>
      <c r="I520" s="30"/>
      <c r="J520" s="65"/>
      <c r="K520" s="83"/>
      <c r="L520" s="30"/>
      <c r="M520" s="39"/>
    </row>
    <row r="521" spans="1:13" x14ac:dyDescent="0.2">
      <c r="A521" s="30"/>
      <c r="B521" s="30"/>
      <c r="C521" s="30"/>
      <c r="D521" s="30"/>
      <c r="E521" s="30"/>
      <c r="F521" s="30"/>
      <c r="G521" s="30"/>
      <c r="H521" s="30"/>
      <c r="I521" s="30"/>
      <c r="J521" s="65"/>
      <c r="K521" s="83"/>
      <c r="L521" s="30"/>
      <c r="M521" s="39"/>
    </row>
    <row r="522" spans="1:13" x14ac:dyDescent="0.2">
      <c r="A522" s="30"/>
      <c r="B522" s="30"/>
      <c r="C522" s="30"/>
      <c r="D522" s="30"/>
      <c r="E522" s="30"/>
      <c r="F522" s="30"/>
      <c r="G522" s="30"/>
      <c r="H522" s="30"/>
      <c r="I522" s="30"/>
      <c r="J522" s="65"/>
      <c r="K522" s="83"/>
      <c r="L522" s="30"/>
      <c r="M522" s="39"/>
    </row>
    <row r="523" spans="1:13" x14ac:dyDescent="0.2">
      <c r="A523" s="30"/>
      <c r="B523" s="30"/>
      <c r="C523" s="30"/>
      <c r="D523" s="30"/>
      <c r="E523" s="30"/>
      <c r="F523" s="30"/>
      <c r="G523" s="30"/>
      <c r="H523" s="30"/>
      <c r="I523" s="30"/>
      <c r="J523" s="65"/>
      <c r="K523" s="83"/>
      <c r="L523" s="30"/>
      <c r="M523" s="39"/>
    </row>
    <row r="524" spans="1:13" x14ac:dyDescent="0.2">
      <c r="A524" s="30"/>
      <c r="B524" s="30"/>
      <c r="C524" s="30"/>
      <c r="D524" s="30"/>
      <c r="E524" s="30"/>
      <c r="F524" s="30"/>
      <c r="G524" s="30"/>
      <c r="H524" s="30"/>
      <c r="I524" s="30"/>
      <c r="J524" s="65"/>
      <c r="K524" s="83"/>
      <c r="L524" s="30"/>
      <c r="M524" s="39"/>
    </row>
    <row r="525" spans="1:13" x14ac:dyDescent="0.2">
      <c r="A525" s="30"/>
      <c r="B525" s="30"/>
      <c r="C525" s="30"/>
      <c r="D525" s="30"/>
      <c r="E525" s="30"/>
      <c r="F525" s="30"/>
      <c r="G525" s="30"/>
      <c r="H525" s="30"/>
      <c r="I525" s="30"/>
      <c r="J525" s="65"/>
      <c r="K525" s="83"/>
      <c r="L525" s="30"/>
      <c r="M525" s="39"/>
    </row>
    <row r="526" spans="1:13" x14ac:dyDescent="0.2">
      <c r="A526" s="30"/>
      <c r="B526" s="30"/>
      <c r="C526" s="30"/>
      <c r="D526" s="30"/>
      <c r="E526" s="30"/>
      <c r="F526" s="30"/>
      <c r="G526" s="30"/>
      <c r="H526" s="30"/>
      <c r="I526" s="30"/>
      <c r="J526" s="65"/>
      <c r="K526" s="83"/>
      <c r="L526" s="30"/>
      <c r="M526" s="39"/>
    </row>
    <row r="527" spans="1:13" x14ac:dyDescent="0.2">
      <c r="A527" s="30"/>
      <c r="B527" s="30"/>
      <c r="C527" s="30"/>
      <c r="D527" s="30"/>
      <c r="E527" s="30"/>
      <c r="F527" s="30"/>
      <c r="G527" s="30"/>
      <c r="H527" s="30"/>
      <c r="I527" s="30"/>
      <c r="J527" s="65"/>
      <c r="K527" s="83"/>
      <c r="L527" s="30"/>
      <c r="M527" s="39"/>
    </row>
    <row r="528" spans="1:13" x14ac:dyDescent="0.2">
      <c r="A528" s="30"/>
      <c r="B528" s="30"/>
      <c r="C528" s="30"/>
      <c r="D528" s="30"/>
      <c r="E528" s="30"/>
      <c r="F528" s="30"/>
      <c r="G528" s="30"/>
      <c r="H528" s="30"/>
      <c r="I528" s="30"/>
      <c r="J528" s="65"/>
      <c r="K528" s="83"/>
      <c r="L528" s="30"/>
      <c r="M528" s="39"/>
    </row>
    <row r="529" spans="1:13" x14ac:dyDescent="0.2">
      <c r="A529" s="30"/>
      <c r="B529" s="30"/>
      <c r="C529" s="30"/>
      <c r="D529" s="30"/>
      <c r="E529" s="30"/>
      <c r="F529" s="30"/>
      <c r="G529" s="30"/>
      <c r="H529" s="30"/>
      <c r="I529" s="30"/>
      <c r="J529" s="65"/>
      <c r="K529" s="83"/>
      <c r="L529" s="30"/>
      <c r="M529" s="39"/>
    </row>
    <row r="530" spans="1:13" x14ac:dyDescent="0.2">
      <c r="A530" s="30"/>
      <c r="B530" s="30"/>
      <c r="C530" s="30"/>
      <c r="D530" s="30"/>
      <c r="E530" s="30"/>
      <c r="F530" s="30"/>
      <c r="G530" s="30"/>
      <c r="H530" s="30"/>
      <c r="I530" s="30"/>
      <c r="J530" s="65"/>
      <c r="K530" s="83"/>
      <c r="L530" s="30"/>
      <c r="M530" s="39"/>
    </row>
    <row r="531" spans="1:13" x14ac:dyDescent="0.2">
      <c r="A531" s="30"/>
      <c r="B531" s="30"/>
      <c r="C531" s="30"/>
      <c r="D531" s="30"/>
      <c r="E531" s="30"/>
      <c r="F531" s="30"/>
      <c r="G531" s="30"/>
      <c r="H531" s="30"/>
      <c r="I531" s="30"/>
      <c r="J531" s="65"/>
      <c r="K531" s="83"/>
      <c r="L531" s="30"/>
      <c r="M531" s="39"/>
    </row>
    <row r="532" spans="1:13" x14ac:dyDescent="0.2">
      <c r="A532" s="30"/>
      <c r="B532" s="30"/>
      <c r="C532" s="30"/>
      <c r="D532" s="30"/>
      <c r="E532" s="30"/>
      <c r="F532" s="30"/>
      <c r="G532" s="30"/>
      <c r="H532" s="30"/>
      <c r="I532" s="30"/>
      <c r="J532" s="65"/>
      <c r="K532" s="83"/>
      <c r="L532" s="30"/>
      <c r="M532" s="39"/>
    </row>
    <row r="533" spans="1:13" x14ac:dyDescent="0.2">
      <c r="A533" s="30"/>
      <c r="B533" s="30"/>
      <c r="C533" s="30"/>
      <c r="D533" s="30"/>
      <c r="E533" s="30"/>
      <c r="F533" s="30"/>
      <c r="G533" s="30"/>
      <c r="H533" s="30"/>
      <c r="I533" s="30"/>
      <c r="J533" s="65"/>
      <c r="K533" s="83"/>
      <c r="L533" s="30"/>
      <c r="M533" s="39"/>
    </row>
    <row r="534" spans="1:13" x14ac:dyDescent="0.2">
      <c r="A534" s="30"/>
      <c r="B534" s="30"/>
      <c r="C534" s="30"/>
      <c r="D534" s="30"/>
      <c r="E534" s="30"/>
      <c r="F534" s="30"/>
      <c r="G534" s="30"/>
      <c r="H534" s="30"/>
      <c r="I534" s="30"/>
      <c r="J534" s="65"/>
      <c r="K534" s="83"/>
      <c r="L534" s="30"/>
      <c r="M534" s="39"/>
    </row>
    <row r="535" spans="1:13" x14ac:dyDescent="0.2">
      <c r="A535" s="30"/>
      <c r="B535" s="30"/>
      <c r="C535" s="30"/>
      <c r="D535" s="30"/>
      <c r="E535" s="30"/>
      <c r="F535" s="30"/>
      <c r="G535" s="30"/>
      <c r="H535" s="30"/>
      <c r="I535" s="30"/>
      <c r="J535" s="65"/>
      <c r="K535" s="83"/>
      <c r="L535" s="30"/>
      <c r="M535" s="39"/>
    </row>
    <row r="536" spans="1:13" x14ac:dyDescent="0.2">
      <c r="A536" s="30"/>
      <c r="B536" s="30"/>
      <c r="C536" s="30"/>
      <c r="D536" s="30"/>
      <c r="E536" s="30"/>
      <c r="F536" s="30"/>
      <c r="G536" s="30"/>
      <c r="H536" s="30"/>
      <c r="I536" s="30"/>
      <c r="J536" s="65"/>
      <c r="K536" s="83"/>
      <c r="L536" s="30"/>
      <c r="M536" s="39"/>
    </row>
    <row r="537" spans="1:13" x14ac:dyDescent="0.2">
      <c r="A537" s="30"/>
      <c r="B537" s="30"/>
      <c r="C537" s="30"/>
      <c r="D537" s="30"/>
      <c r="E537" s="30"/>
      <c r="F537" s="30"/>
      <c r="G537" s="30"/>
      <c r="H537" s="30"/>
      <c r="I537" s="30"/>
      <c r="J537" s="65"/>
      <c r="K537" s="83"/>
      <c r="L537" s="30"/>
      <c r="M537" s="39"/>
    </row>
    <row r="538" spans="1:13" x14ac:dyDescent="0.2">
      <c r="A538" s="30"/>
      <c r="B538" s="30"/>
      <c r="C538" s="30"/>
      <c r="D538" s="30"/>
      <c r="E538" s="30"/>
      <c r="F538" s="30"/>
      <c r="G538" s="30"/>
      <c r="H538" s="30"/>
      <c r="I538" s="30"/>
      <c r="J538" s="65"/>
      <c r="K538" s="83"/>
      <c r="L538" s="30"/>
      <c r="M538" s="39"/>
    </row>
    <row r="539" spans="1:13" x14ac:dyDescent="0.2">
      <c r="A539" s="30"/>
      <c r="B539" s="30"/>
      <c r="C539" s="30"/>
      <c r="D539" s="30"/>
      <c r="E539" s="30"/>
      <c r="F539" s="30"/>
      <c r="G539" s="30"/>
      <c r="H539" s="30"/>
      <c r="I539" s="30"/>
      <c r="J539" s="65"/>
      <c r="K539" s="83"/>
      <c r="L539" s="30"/>
      <c r="M539" s="39"/>
    </row>
    <row r="540" spans="1:13" x14ac:dyDescent="0.2">
      <c r="A540" s="30"/>
      <c r="B540" s="30"/>
      <c r="C540" s="30"/>
      <c r="D540" s="30"/>
      <c r="E540" s="30"/>
      <c r="F540" s="30"/>
      <c r="G540" s="30"/>
      <c r="H540" s="30"/>
      <c r="I540" s="30"/>
      <c r="J540" s="65"/>
      <c r="K540" s="83"/>
      <c r="L540" s="30"/>
      <c r="M540" s="39"/>
    </row>
    <row r="541" spans="1:13" x14ac:dyDescent="0.2">
      <c r="A541" s="30"/>
      <c r="B541" s="30"/>
      <c r="C541" s="30"/>
      <c r="D541" s="30"/>
      <c r="E541" s="30"/>
      <c r="F541" s="30"/>
      <c r="G541" s="30"/>
      <c r="H541" s="30"/>
      <c r="I541" s="30"/>
      <c r="J541" s="65"/>
      <c r="K541" s="83"/>
      <c r="L541" s="30"/>
      <c r="M541" s="39"/>
    </row>
    <row r="542" spans="1:13" x14ac:dyDescent="0.2">
      <c r="A542" s="30"/>
      <c r="B542" s="30"/>
      <c r="C542" s="30"/>
      <c r="D542" s="30"/>
      <c r="E542" s="30"/>
      <c r="F542" s="30"/>
      <c r="G542" s="30"/>
      <c r="H542" s="30"/>
      <c r="I542" s="30"/>
      <c r="J542" s="65"/>
      <c r="K542" s="83"/>
      <c r="L542" s="30"/>
      <c r="M542" s="39"/>
    </row>
    <row r="543" spans="1:13" x14ac:dyDescent="0.2">
      <c r="A543" s="30"/>
      <c r="B543" s="30"/>
      <c r="C543" s="30"/>
      <c r="D543" s="30"/>
      <c r="E543" s="30"/>
      <c r="F543" s="30"/>
      <c r="G543" s="30"/>
      <c r="H543" s="30"/>
      <c r="I543" s="30"/>
      <c r="J543" s="65"/>
      <c r="K543" s="83"/>
      <c r="L543" s="30"/>
      <c r="M543" s="39"/>
    </row>
    <row r="544" spans="1:13" x14ac:dyDescent="0.2">
      <c r="A544" s="30"/>
      <c r="B544" s="30"/>
      <c r="C544" s="30"/>
      <c r="D544" s="30"/>
      <c r="E544" s="30"/>
      <c r="F544" s="30"/>
      <c r="G544" s="30"/>
      <c r="H544" s="30"/>
      <c r="I544" s="30"/>
      <c r="J544" s="65"/>
      <c r="K544" s="83"/>
      <c r="L544" s="30"/>
      <c r="M544" s="39"/>
    </row>
    <row r="545" spans="1:13" x14ac:dyDescent="0.2">
      <c r="A545" s="30"/>
      <c r="B545" s="30"/>
      <c r="C545" s="30"/>
      <c r="D545" s="30"/>
      <c r="E545" s="30"/>
      <c r="F545" s="30"/>
      <c r="G545" s="30"/>
      <c r="H545" s="30"/>
      <c r="I545" s="30"/>
      <c r="J545" s="65"/>
      <c r="K545" s="83"/>
      <c r="L545" s="30"/>
      <c r="M545" s="39"/>
    </row>
    <row r="546" spans="1:13" x14ac:dyDescent="0.2">
      <c r="A546" s="30"/>
      <c r="B546" s="30"/>
      <c r="C546" s="30"/>
      <c r="D546" s="30"/>
      <c r="E546" s="30"/>
      <c r="F546" s="30"/>
      <c r="G546" s="30"/>
      <c r="H546" s="30"/>
      <c r="I546" s="30"/>
      <c r="J546" s="65"/>
      <c r="K546" s="83"/>
      <c r="L546" s="30"/>
      <c r="M546" s="39"/>
    </row>
    <row r="547" spans="1:13" x14ac:dyDescent="0.2">
      <c r="A547" s="30"/>
      <c r="B547" s="30"/>
      <c r="C547" s="30"/>
      <c r="D547" s="30"/>
      <c r="E547" s="30"/>
      <c r="F547" s="30"/>
      <c r="G547" s="30"/>
      <c r="H547" s="30"/>
      <c r="I547" s="30"/>
      <c r="J547" s="65"/>
      <c r="K547" s="83"/>
      <c r="L547" s="30"/>
      <c r="M547" s="39"/>
    </row>
    <row r="548" spans="1:13" x14ac:dyDescent="0.2">
      <c r="A548" s="30"/>
      <c r="B548" s="30"/>
      <c r="C548" s="30"/>
      <c r="D548" s="30"/>
      <c r="E548" s="30"/>
      <c r="F548" s="30"/>
      <c r="G548" s="30"/>
      <c r="H548" s="30"/>
      <c r="I548" s="30"/>
      <c r="J548" s="65"/>
      <c r="K548" s="83"/>
      <c r="L548" s="30"/>
      <c r="M548" s="39"/>
    </row>
    <row r="549" spans="1:13" x14ac:dyDescent="0.2">
      <c r="A549" s="30"/>
      <c r="B549" s="30"/>
      <c r="C549" s="30"/>
      <c r="D549" s="30"/>
      <c r="E549" s="30"/>
      <c r="F549" s="30"/>
      <c r="G549" s="30"/>
      <c r="H549" s="30"/>
      <c r="I549" s="30"/>
      <c r="J549" s="65"/>
      <c r="K549" s="83"/>
      <c r="L549" s="30"/>
      <c r="M549" s="39"/>
    </row>
    <row r="550" spans="1:13" x14ac:dyDescent="0.2">
      <c r="A550" s="30"/>
      <c r="B550" s="30"/>
      <c r="C550" s="30"/>
      <c r="D550" s="30"/>
      <c r="E550" s="30"/>
      <c r="F550" s="30"/>
      <c r="G550" s="30"/>
      <c r="H550" s="30"/>
      <c r="I550" s="30"/>
      <c r="J550" s="65"/>
      <c r="K550" s="83"/>
      <c r="L550" s="30"/>
      <c r="M550" s="39"/>
    </row>
    <row r="551" spans="1:13" x14ac:dyDescent="0.2">
      <c r="A551" s="30"/>
      <c r="B551" s="30"/>
      <c r="C551" s="30"/>
      <c r="D551" s="30"/>
      <c r="E551" s="30"/>
      <c r="F551" s="30"/>
      <c r="G551" s="30"/>
      <c r="H551" s="30"/>
      <c r="I551" s="30"/>
      <c r="J551" s="65"/>
      <c r="K551" s="83"/>
      <c r="L551" s="30"/>
      <c r="M551" s="39"/>
    </row>
    <row r="552" spans="1:13" x14ac:dyDescent="0.2">
      <c r="A552" s="30"/>
      <c r="B552" s="30"/>
      <c r="C552" s="30"/>
      <c r="D552" s="30"/>
      <c r="E552" s="30"/>
      <c r="F552" s="30"/>
      <c r="G552" s="30"/>
      <c r="H552" s="30"/>
      <c r="I552" s="30"/>
      <c r="J552" s="65"/>
      <c r="K552" s="83"/>
      <c r="L552" s="30"/>
      <c r="M552" s="39"/>
    </row>
    <row r="553" spans="1:13" x14ac:dyDescent="0.2">
      <c r="A553" s="30"/>
      <c r="B553" s="30"/>
      <c r="C553" s="30"/>
      <c r="D553" s="30"/>
      <c r="E553" s="30"/>
      <c r="F553" s="30"/>
      <c r="G553" s="30"/>
      <c r="H553" s="30"/>
      <c r="I553" s="30"/>
      <c r="J553" s="65"/>
      <c r="K553" s="83"/>
      <c r="L553" s="30"/>
      <c r="M553" s="39"/>
    </row>
    <row r="554" spans="1:13" x14ac:dyDescent="0.2">
      <c r="A554" s="30"/>
      <c r="B554" s="30"/>
      <c r="C554" s="30"/>
      <c r="D554" s="30"/>
      <c r="E554" s="30"/>
      <c r="F554" s="30"/>
      <c r="G554" s="30"/>
      <c r="H554" s="30"/>
      <c r="I554" s="30"/>
      <c r="J554" s="65"/>
      <c r="K554" s="83"/>
      <c r="L554" s="30"/>
      <c r="M554" s="39"/>
    </row>
    <row r="555" spans="1:13" x14ac:dyDescent="0.2">
      <c r="A555" s="30"/>
      <c r="B555" s="30"/>
      <c r="C555" s="30"/>
      <c r="D555" s="30"/>
      <c r="E555" s="30"/>
      <c r="F555" s="30"/>
      <c r="G555" s="30"/>
      <c r="H555" s="30"/>
      <c r="I555" s="30"/>
      <c r="J555" s="65"/>
      <c r="K555" s="83"/>
      <c r="L555" s="30"/>
      <c r="M555" s="39"/>
    </row>
    <row r="556" spans="1:13" x14ac:dyDescent="0.2">
      <c r="A556" s="30"/>
      <c r="B556" s="30"/>
      <c r="C556" s="30"/>
      <c r="D556" s="30"/>
      <c r="E556" s="30"/>
      <c r="F556" s="30"/>
      <c r="G556" s="30"/>
      <c r="H556" s="30"/>
      <c r="I556" s="30"/>
      <c r="J556" s="65"/>
      <c r="K556" s="83"/>
      <c r="L556" s="30"/>
      <c r="M556" s="39"/>
    </row>
    <row r="557" spans="1:13" x14ac:dyDescent="0.2">
      <c r="A557" s="30"/>
      <c r="B557" s="30"/>
      <c r="C557" s="30"/>
      <c r="D557" s="30"/>
      <c r="E557" s="30"/>
      <c r="F557" s="30"/>
      <c r="G557" s="30"/>
      <c r="H557" s="30"/>
      <c r="I557" s="30"/>
      <c r="J557" s="65"/>
      <c r="K557" s="83"/>
      <c r="L557" s="30"/>
      <c r="M557" s="39"/>
    </row>
    <row r="558" spans="1:13" x14ac:dyDescent="0.2">
      <c r="A558" s="30"/>
      <c r="B558" s="30"/>
      <c r="C558" s="30"/>
      <c r="D558" s="30"/>
      <c r="E558" s="30"/>
      <c r="F558" s="30"/>
      <c r="G558" s="30"/>
      <c r="H558" s="30"/>
      <c r="I558" s="30"/>
      <c r="J558" s="65"/>
      <c r="K558" s="83"/>
      <c r="L558" s="30"/>
      <c r="M558" s="39"/>
    </row>
    <row r="559" spans="1:13" x14ac:dyDescent="0.2">
      <c r="A559" s="30"/>
      <c r="B559" s="30"/>
      <c r="C559" s="30"/>
      <c r="D559" s="30"/>
      <c r="E559" s="30"/>
      <c r="F559" s="30"/>
      <c r="G559" s="30"/>
      <c r="H559" s="30"/>
      <c r="I559" s="30"/>
      <c r="J559" s="65"/>
      <c r="K559" s="83"/>
      <c r="L559" s="30"/>
      <c r="M559" s="39"/>
    </row>
    <row r="560" spans="1:13" x14ac:dyDescent="0.2">
      <c r="A560" s="30"/>
      <c r="B560" s="30"/>
      <c r="C560" s="30"/>
      <c r="D560" s="30"/>
      <c r="E560" s="30"/>
      <c r="F560" s="30"/>
      <c r="G560" s="30"/>
      <c r="H560" s="30"/>
      <c r="I560" s="30"/>
      <c r="J560" s="65"/>
      <c r="K560" s="83"/>
      <c r="L560" s="30"/>
      <c r="M560" s="39"/>
    </row>
    <row r="561" spans="1:13" x14ac:dyDescent="0.2">
      <c r="A561" s="30"/>
      <c r="B561" s="30"/>
      <c r="C561" s="30"/>
      <c r="D561" s="30"/>
      <c r="E561" s="30"/>
      <c r="F561" s="30"/>
      <c r="G561" s="30"/>
      <c r="H561" s="30"/>
      <c r="I561" s="30"/>
      <c r="J561" s="65"/>
      <c r="K561" s="83"/>
      <c r="L561" s="30"/>
      <c r="M561" s="39"/>
    </row>
    <row r="562" spans="1:13" x14ac:dyDescent="0.2">
      <c r="A562" s="30"/>
      <c r="B562" s="30"/>
      <c r="C562" s="30"/>
      <c r="D562" s="30"/>
      <c r="E562" s="30"/>
      <c r="F562" s="30"/>
      <c r="G562" s="30"/>
      <c r="H562" s="30"/>
      <c r="I562" s="30"/>
      <c r="J562" s="65"/>
      <c r="K562" s="83"/>
      <c r="L562" s="30"/>
      <c r="M562" s="39"/>
    </row>
    <row r="563" spans="1:13" x14ac:dyDescent="0.2">
      <c r="A563" s="30"/>
      <c r="B563" s="30"/>
      <c r="C563" s="30"/>
      <c r="D563" s="30"/>
      <c r="E563" s="30"/>
      <c r="F563" s="30"/>
      <c r="G563" s="30"/>
      <c r="H563" s="30"/>
      <c r="I563" s="30"/>
      <c r="J563" s="65"/>
      <c r="K563" s="83"/>
      <c r="L563" s="30"/>
      <c r="M563" s="39"/>
    </row>
    <row r="564" spans="1:13" x14ac:dyDescent="0.2">
      <c r="A564" s="30"/>
      <c r="B564" s="30"/>
      <c r="C564" s="30"/>
      <c r="D564" s="30"/>
      <c r="E564" s="30"/>
      <c r="F564" s="30"/>
      <c r="G564" s="30"/>
      <c r="H564" s="30"/>
      <c r="I564" s="30"/>
      <c r="J564" s="65"/>
      <c r="K564" s="83"/>
      <c r="L564" s="30"/>
      <c r="M564" s="39"/>
    </row>
    <row r="565" spans="1:13" x14ac:dyDescent="0.2">
      <c r="A565" s="30"/>
      <c r="B565" s="30"/>
      <c r="C565" s="30"/>
      <c r="D565" s="30"/>
      <c r="E565" s="30"/>
      <c r="F565" s="30"/>
      <c r="G565" s="30"/>
      <c r="H565" s="30"/>
      <c r="I565" s="30"/>
      <c r="J565" s="65"/>
      <c r="K565" s="83"/>
      <c r="L565" s="30"/>
      <c r="M565" s="39"/>
    </row>
    <row r="566" spans="1:13" x14ac:dyDescent="0.2">
      <c r="A566" s="30"/>
      <c r="B566" s="30"/>
      <c r="C566" s="30"/>
      <c r="D566" s="30"/>
      <c r="E566" s="30"/>
      <c r="F566" s="30"/>
      <c r="G566" s="30"/>
      <c r="H566" s="30"/>
      <c r="I566" s="30"/>
      <c r="J566" s="65"/>
      <c r="K566" s="83"/>
      <c r="L566" s="30"/>
      <c r="M566" s="39"/>
    </row>
    <row r="567" spans="1:13" x14ac:dyDescent="0.2">
      <c r="A567" s="30"/>
      <c r="B567" s="30"/>
      <c r="C567" s="30"/>
      <c r="D567" s="30"/>
      <c r="E567" s="30"/>
      <c r="F567" s="30"/>
      <c r="G567" s="30"/>
      <c r="H567" s="30"/>
      <c r="I567" s="30"/>
      <c r="J567" s="65"/>
      <c r="K567" s="83"/>
      <c r="L567" s="30"/>
      <c r="M567" s="39"/>
    </row>
    <row r="568" spans="1:13" x14ac:dyDescent="0.2">
      <c r="A568" s="30"/>
      <c r="B568" s="30"/>
      <c r="C568" s="30"/>
      <c r="D568" s="30"/>
      <c r="E568" s="30"/>
      <c r="F568" s="30"/>
      <c r="G568" s="30"/>
      <c r="H568" s="30"/>
      <c r="I568" s="30"/>
      <c r="J568" s="65"/>
      <c r="K568" s="83"/>
      <c r="L568" s="30"/>
      <c r="M568" s="39"/>
    </row>
    <row r="569" spans="1:13" x14ac:dyDescent="0.2">
      <c r="A569" s="30"/>
      <c r="B569" s="30"/>
      <c r="C569" s="30"/>
      <c r="D569" s="30"/>
      <c r="E569" s="30"/>
      <c r="F569" s="30"/>
      <c r="G569" s="30"/>
      <c r="H569" s="30"/>
      <c r="I569" s="30"/>
      <c r="J569" s="65"/>
      <c r="K569" s="83"/>
      <c r="L569" s="30"/>
      <c r="M569" s="39"/>
    </row>
    <row r="570" spans="1:13" x14ac:dyDescent="0.2">
      <c r="A570" s="30"/>
      <c r="B570" s="30"/>
      <c r="C570" s="30"/>
      <c r="D570" s="30"/>
      <c r="E570" s="30"/>
      <c r="F570" s="30"/>
      <c r="G570" s="30"/>
      <c r="H570" s="30"/>
      <c r="I570" s="30"/>
      <c r="J570" s="65"/>
      <c r="K570" s="83"/>
      <c r="L570" s="30"/>
      <c r="M570" s="39"/>
    </row>
    <row r="571" spans="1:13" x14ac:dyDescent="0.2">
      <c r="A571" s="30"/>
      <c r="B571" s="30"/>
      <c r="C571" s="30"/>
      <c r="D571" s="30"/>
      <c r="E571" s="30"/>
      <c r="F571" s="30"/>
      <c r="G571" s="30"/>
      <c r="H571" s="30"/>
      <c r="I571" s="30"/>
      <c r="J571" s="65"/>
      <c r="K571" s="83"/>
      <c r="L571" s="30"/>
      <c r="M571" s="39"/>
    </row>
    <row r="572" spans="1:13" x14ac:dyDescent="0.2">
      <c r="A572" s="30"/>
      <c r="B572" s="30"/>
      <c r="C572" s="30"/>
      <c r="D572" s="30"/>
      <c r="E572" s="30"/>
      <c r="F572" s="30"/>
      <c r="G572" s="30"/>
      <c r="H572" s="30"/>
      <c r="I572" s="30"/>
      <c r="J572" s="65"/>
      <c r="K572" s="83"/>
      <c r="L572" s="30"/>
      <c r="M572" s="39"/>
    </row>
    <row r="573" spans="1:13" x14ac:dyDescent="0.2">
      <c r="A573" s="30"/>
      <c r="B573" s="30"/>
      <c r="C573" s="30"/>
      <c r="D573" s="30"/>
      <c r="E573" s="30"/>
      <c r="F573" s="30"/>
      <c r="G573" s="30"/>
      <c r="H573" s="30"/>
      <c r="I573" s="30"/>
      <c r="J573" s="65"/>
      <c r="K573" s="83"/>
      <c r="L573" s="30"/>
      <c r="M573" s="39"/>
    </row>
    <row r="574" spans="1:13" x14ac:dyDescent="0.2">
      <c r="A574" s="30"/>
      <c r="B574" s="30"/>
      <c r="C574" s="30"/>
      <c r="D574" s="30"/>
      <c r="E574" s="30"/>
      <c r="F574" s="30"/>
      <c r="G574" s="30"/>
      <c r="H574" s="30"/>
      <c r="I574" s="30"/>
      <c r="J574" s="65"/>
      <c r="K574" s="83"/>
      <c r="L574" s="30"/>
      <c r="M574" s="39"/>
    </row>
    <row r="575" spans="1:13" x14ac:dyDescent="0.2">
      <c r="A575" s="30"/>
      <c r="B575" s="30"/>
      <c r="C575" s="30"/>
      <c r="D575" s="30"/>
      <c r="E575" s="30"/>
      <c r="F575" s="30"/>
      <c r="G575" s="30"/>
      <c r="H575" s="30"/>
      <c r="I575" s="30"/>
      <c r="J575" s="65"/>
      <c r="K575" s="83"/>
      <c r="L575" s="30"/>
      <c r="M575" s="39"/>
    </row>
    <row r="576" spans="1:13" x14ac:dyDescent="0.2">
      <c r="A576" s="30"/>
      <c r="B576" s="30"/>
      <c r="C576" s="30"/>
      <c r="D576" s="30"/>
      <c r="E576" s="30"/>
      <c r="F576" s="30"/>
      <c r="G576" s="30"/>
      <c r="H576" s="30"/>
      <c r="I576" s="30"/>
      <c r="J576" s="65"/>
      <c r="K576" s="83"/>
      <c r="L576" s="30"/>
      <c r="M576" s="39"/>
    </row>
    <row r="577" spans="1:13" x14ac:dyDescent="0.2">
      <c r="A577" s="30"/>
      <c r="B577" s="30"/>
      <c r="C577" s="30"/>
      <c r="D577" s="30"/>
      <c r="E577" s="30"/>
      <c r="F577" s="30"/>
      <c r="G577" s="30"/>
      <c r="H577" s="30"/>
      <c r="I577" s="30"/>
      <c r="J577" s="65"/>
      <c r="K577" s="83"/>
      <c r="L577" s="30"/>
      <c r="M577" s="39"/>
    </row>
    <row r="578" spans="1:13" x14ac:dyDescent="0.2">
      <c r="A578" s="30"/>
      <c r="B578" s="30"/>
      <c r="C578" s="30"/>
      <c r="D578" s="30"/>
      <c r="E578" s="30"/>
      <c r="F578" s="30"/>
      <c r="G578" s="30"/>
      <c r="H578" s="30"/>
      <c r="I578" s="30"/>
      <c r="J578" s="65"/>
      <c r="K578" s="83"/>
      <c r="L578" s="30"/>
      <c r="M578" s="39"/>
    </row>
    <row r="579" spans="1:13" x14ac:dyDescent="0.2">
      <c r="A579" s="30"/>
      <c r="B579" s="30"/>
      <c r="C579" s="30"/>
      <c r="D579" s="30"/>
      <c r="E579" s="30"/>
      <c r="F579" s="30"/>
      <c r="G579" s="30"/>
      <c r="H579" s="30"/>
      <c r="I579" s="30"/>
      <c r="J579" s="65"/>
      <c r="K579" s="83"/>
      <c r="L579" s="30"/>
      <c r="M579" s="39"/>
    </row>
    <row r="580" spans="1:13" x14ac:dyDescent="0.2">
      <c r="A580" s="30"/>
      <c r="B580" s="30"/>
      <c r="C580" s="30"/>
      <c r="D580" s="30"/>
      <c r="E580" s="30"/>
      <c r="F580" s="30"/>
      <c r="G580" s="30"/>
      <c r="H580" s="30"/>
      <c r="I580" s="30"/>
      <c r="J580" s="65"/>
      <c r="K580" s="83"/>
      <c r="L580" s="30"/>
      <c r="M580" s="39"/>
    </row>
    <row r="581" spans="1:13" x14ac:dyDescent="0.2">
      <c r="A581" s="30"/>
      <c r="B581" s="30"/>
      <c r="C581" s="30"/>
      <c r="D581" s="30"/>
      <c r="E581" s="30"/>
      <c r="F581" s="30"/>
      <c r="G581" s="30"/>
      <c r="H581" s="30"/>
      <c r="I581" s="30"/>
      <c r="J581" s="65"/>
      <c r="K581" s="83"/>
      <c r="L581" s="30"/>
      <c r="M581" s="39"/>
    </row>
    <row r="582" spans="1:13" x14ac:dyDescent="0.2">
      <c r="A582" s="30"/>
      <c r="B582" s="30"/>
      <c r="C582" s="30"/>
      <c r="D582" s="30"/>
      <c r="E582" s="30"/>
      <c r="F582" s="30"/>
      <c r="G582" s="30"/>
      <c r="H582" s="30"/>
      <c r="I582" s="30"/>
      <c r="J582" s="65"/>
      <c r="K582" s="83"/>
      <c r="L582" s="30"/>
      <c r="M582" s="39"/>
    </row>
    <row r="583" spans="1:13" x14ac:dyDescent="0.2">
      <c r="A583" s="30"/>
      <c r="B583" s="30"/>
      <c r="C583" s="30"/>
      <c r="D583" s="30"/>
      <c r="E583" s="30"/>
      <c r="F583" s="30"/>
      <c r="G583" s="30"/>
      <c r="H583" s="30"/>
      <c r="I583" s="30"/>
      <c r="J583" s="65"/>
      <c r="K583" s="83"/>
      <c r="L583" s="30"/>
      <c r="M583" s="39"/>
    </row>
    <row r="584" spans="1:13" x14ac:dyDescent="0.2">
      <c r="A584" s="30"/>
      <c r="B584" s="30"/>
      <c r="C584" s="30"/>
      <c r="D584" s="30"/>
      <c r="E584" s="30"/>
      <c r="F584" s="30"/>
      <c r="G584" s="30"/>
      <c r="H584" s="30"/>
      <c r="I584" s="30"/>
      <c r="J584" s="65"/>
      <c r="K584" s="83"/>
      <c r="L584" s="30"/>
      <c r="M584" s="39"/>
    </row>
    <row r="585" spans="1:13" x14ac:dyDescent="0.2">
      <c r="A585" s="30"/>
      <c r="B585" s="30"/>
      <c r="C585" s="30"/>
      <c r="D585" s="30"/>
      <c r="E585" s="30"/>
      <c r="F585" s="30"/>
      <c r="G585" s="30"/>
      <c r="H585" s="30"/>
      <c r="I585" s="30"/>
      <c r="J585" s="65"/>
      <c r="K585" s="83"/>
      <c r="L585" s="30"/>
      <c r="M585" s="39"/>
    </row>
    <row r="586" spans="1:13" x14ac:dyDescent="0.2">
      <c r="A586" s="30"/>
      <c r="B586" s="30"/>
      <c r="C586" s="30"/>
      <c r="D586" s="30"/>
      <c r="E586" s="30"/>
      <c r="F586" s="30"/>
      <c r="G586" s="30"/>
      <c r="H586" s="30"/>
      <c r="I586" s="30"/>
      <c r="J586" s="65"/>
      <c r="K586" s="83"/>
      <c r="L586" s="30"/>
      <c r="M586" s="39"/>
    </row>
    <row r="587" spans="1:13" x14ac:dyDescent="0.2">
      <c r="A587" s="30"/>
      <c r="B587" s="30"/>
      <c r="C587" s="30"/>
      <c r="D587" s="30"/>
      <c r="E587" s="30"/>
      <c r="F587" s="30"/>
      <c r="G587" s="30"/>
      <c r="H587" s="30"/>
      <c r="I587" s="30"/>
      <c r="J587" s="65"/>
      <c r="K587" s="83"/>
      <c r="L587" s="30"/>
      <c r="M587" s="39"/>
    </row>
    <row r="588" spans="1:13" x14ac:dyDescent="0.2">
      <c r="A588" s="30"/>
      <c r="B588" s="30"/>
      <c r="C588" s="30"/>
      <c r="D588" s="30"/>
      <c r="E588" s="30"/>
      <c r="F588" s="30"/>
      <c r="G588" s="30"/>
      <c r="H588" s="30"/>
      <c r="I588" s="30"/>
      <c r="J588" s="65"/>
      <c r="K588" s="83"/>
      <c r="L588" s="30"/>
      <c r="M588" s="39"/>
    </row>
    <row r="589" spans="1:13" x14ac:dyDescent="0.2">
      <c r="A589" s="30"/>
      <c r="B589" s="30"/>
      <c r="C589" s="30"/>
      <c r="D589" s="30"/>
      <c r="E589" s="30"/>
      <c r="F589" s="30"/>
      <c r="G589" s="30"/>
      <c r="H589" s="30"/>
      <c r="I589" s="30"/>
      <c r="J589" s="65"/>
      <c r="K589" s="83"/>
      <c r="L589" s="30"/>
      <c r="M589" s="39"/>
    </row>
    <row r="590" spans="1:13" x14ac:dyDescent="0.2">
      <c r="A590" s="30"/>
      <c r="B590" s="30"/>
      <c r="C590" s="30"/>
      <c r="D590" s="30"/>
      <c r="E590" s="30"/>
      <c r="F590" s="30"/>
      <c r="G590" s="30"/>
      <c r="H590" s="30"/>
      <c r="I590" s="30"/>
      <c r="J590" s="65"/>
      <c r="K590" s="83"/>
      <c r="L590" s="30"/>
      <c r="M590" s="39"/>
    </row>
    <row r="591" spans="1:13" x14ac:dyDescent="0.2">
      <c r="A591" s="30"/>
      <c r="B591" s="30"/>
      <c r="C591" s="30"/>
      <c r="D591" s="30"/>
      <c r="E591" s="30"/>
      <c r="F591" s="30"/>
      <c r="G591" s="30"/>
      <c r="H591" s="30"/>
      <c r="I591" s="30"/>
      <c r="J591" s="65"/>
      <c r="K591" s="83"/>
      <c r="L591" s="30"/>
      <c r="M591" s="39"/>
    </row>
    <row r="592" spans="1:13" x14ac:dyDescent="0.2">
      <c r="A592" s="30"/>
      <c r="B592" s="30"/>
      <c r="C592" s="30"/>
      <c r="D592" s="30"/>
      <c r="E592" s="30"/>
      <c r="F592" s="30"/>
      <c r="G592" s="30"/>
      <c r="H592" s="30"/>
      <c r="I592" s="30"/>
      <c r="J592" s="65"/>
      <c r="K592" s="83"/>
      <c r="L592" s="30"/>
      <c r="M592" s="39"/>
    </row>
    <row r="593" spans="1:13" x14ac:dyDescent="0.2">
      <c r="A593" s="30"/>
      <c r="B593" s="30"/>
      <c r="C593" s="30"/>
      <c r="D593" s="30"/>
      <c r="E593" s="30"/>
      <c r="F593" s="30"/>
      <c r="G593" s="30"/>
      <c r="H593" s="30"/>
      <c r="I593" s="30"/>
      <c r="J593" s="65"/>
      <c r="K593" s="83"/>
      <c r="L593" s="30"/>
      <c r="M593" s="39"/>
    </row>
    <row r="594" spans="1:13" x14ac:dyDescent="0.2">
      <c r="A594" s="30"/>
      <c r="B594" s="30"/>
      <c r="C594" s="30"/>
      <c r="D594" s="30"/>
      <c r="E594" s="30"/>
      <c r="F594" s="30"/>
      <c r="G594" s="30"/>
      <c r="H594" s="30"/>
      <c r="I594" s="30"/>
      <c r="J594" s="65"/>
      <c r="K594" s="83"/>
      <c r="L594" s="30"/>
      <c r="M594" s="39"/>
    </row>
    <row r="595" spans="1:13" x14ac:dyDescent="0.2">
      <c r="A595" s="30"/>
      <c r="B595" s="30"/>
      <c r="C595" s="30"/>
      <c r="D595" s="30"/>
      <c r="E595" s="30"/>
      <c r="F595" s="30"/>
      <c r="G595" s="30"/>
      <c r="H595" s="30"/>
      <c r="I595" s="30"/>
      <c r="J595" s="65"/>
      <c r="K595" s="83"/>
      <c r="L595" s="30"/>
      <c r="M595" s="39"/>
    </row>
    <row r="596" spans="1:13" x14ac:dyDescent="0.2">
      <c r="A596" s="30"/>
      <c r="B596" s="30"/>
      <c r="C596" s="30"/>
      <c r="D596" s="30"/>
      <c r="E596" s="30"/>
      <c r="F596" s="30"/>
      <c r="G596" s="30"/>
      <c r="H596" s="30"/>
      <c r="I596" s="30"/>
      <c r="J596" s="65"/>
      <c r="K596" s="83"/>
      <c r="L596" s="30"/>
      <c r="M596" s="39"/>
    </row>
    <row r="597" spans="1:13" x14ac:dyDescent="0.2">
      <c r="A597" s="30"/>
      <c r="B597" s="30"/>
      <c r="C597" s="30"/>
      <c r="D597" s="30"/>
      <c r="E597" s="30"/>
      <c r="F597" s="30"/>
      <c r="G597" s="30"/>
      <c r="H597" s="30"/>
      <c r="I597" s="30"/>
      <c r="J597" s="65"/>
      <c r="K597" s="83"/>
      <c r="L597" s="30"/>
      <c r="M597" s="39"/>
    </row>
    <row r="598" spans="1:13" x14ac:dyDescent="0.2">
      <c r="A598" s="30"/>
      <c r="B598" s="30"/>
      <c r="C598" s="30"/>
      <c r="D598" s="30"/>
      <c r="E598" s="30"/>
      <c r="F598" s="30"/>
      <c r="G598" s="30"/>
      <c r="H598" s="30"/>
      <c r="I598" s="30"/>
      <c r="J598" s="65"/>
      <c r="K598" s="83"/>
      <c r="L598" s="30"/>
      <c r="M598" s="39"/>
    </row>
    <row r="599" spans="1:13" x14ac:dyDescent="0.2">
      <c r="A599" s="30"/>
      <c r="B599" s="30"/>
      <c r="C599" s="30"/>
      <c r="D599" s="30"/>
      <c r="E599" s="30"/>
      <c r="F599" s="30"/>
      <c r="G599" s="30"/>
      <c r="H599" s="30"/>
      <c r="I599" s="30"/>
      <c r="J599" s="65"/>
      <c r="K599" s="83"/>
      <c r="L599" s="30"/>
      <c r="M599" s="39"/>
    </row>
    <row r="600" spans="1:13" x14ac:dyDescent="0.2">
      <c r="A600" s="30"/>
      <c r="B600" s="30"/>
      <c r="C600" s="30"/>
      <c r="D600" s="30"/>
      <c r="E600" s="30"/>
      <c r="F600" s="30"/>
      <c r="G600" s="30"/>
      <c r="H600" s="30"/>
      <c r="I600" s="30"/>
      <c r="J600" s="65"/>
      <c r="K600" s="83"/>
      <c r="L600" s="30"/>
      <c r="M600" s="39"/>
    </row>
    <row r="601" spans="1:13" x14ac:dyDescent="0.2">
      <c r="A601" s="30"/>
      <c r="B601" s="30"/>
      <c r="C601" s="30"/>
      <c r="D601" s="30"/>
      <c r="E601" s="30"/>
      <c r="F601" s="30"/>
      <c r="G601" s="30"/>
      <c r="H601" s="30"/>
      <c r="I601" s="30"/>
      <c r="J601" s="65"/>
      <c r="K601" s="83"/>
      <c r="L601" s="30"/>
      <c r="M601" s="39"/>
    </row>
    <row r="602" spans="1:13" x14ac:dyDescent="0.2">
      <c r="A602" s="30"/>
      <c r="B602" s="30"/>
      <c r="C602" s="30"/>
      <c r="D602" s="30"/>
      <c r="E602" s="30"/>
      <c r="F602" s="30"/>
      <c r="G602" s="30"/>
      <c r="H602" s="30"/>
      <c r="I602" s="30"/>
      <c r="J602" s="65"/>
      <c r="K602" s="83"/>
      <c r="L602" s="30"/>
      <c r="M602" s="39"/>
    </row>
    <row r="603" spans="1:13" x14ac:dyDescent="0.2">
      <c r="A603" s="30"/>
      <c r="B603" s="30"/>
      <c r="C603" s="30"/>
      <c r="D603" s="30"/>
      <c r="E603" s="30"/>
      <c r="F603" s="30"/>
      <c r="G603" s="30"/>
      <c r="H603" s="30"/>
      <c r="I603" s="30"/>
      <c r="J603" s="65"/>
      <c r="K603" s="83"/>
      <c r="L603" s="30"/>
      <c r="M603" s="39"/>
    </row>
    <row r="604" spans="1:13" x14ac:dyDescent="0.2">
      <c r="A604" s="30"/>
      <c r="B604" s="30"/>
      <c r="C604" s="30"/>
      <c r="D604" s="30"/>
      <c r="E604" s="30"/>
      <c r="F604" s="30"/>
      <c r="G604" s="30"/>
      <c r="H604" s="30"/>
      <c r="I604" s="30"/>
      <c r="J604" s="65"/>
      <c r="K604" s="83"/>
      <c r="L604" s="30"/>
      <c r="M604" s="39"/>
    </row>
    <row r="605" spans="1:13" x14ac:dyDescent="0.2">
      <c r="A605" s="30"/>
      <c r="B605" s="30"/>
      <c r="C605" s="30"/>
      <c r="D605" s="30"/>
      <c r="E605" s="30"/>
      <c r="F605" s="30"/>
      <c r="G605" s="30"/>
      <c r="H605" s="30"/>
      <c r="I605" s="30"/>
      <c r="J605" s="65"/>
      <c r="K605" s="83"/>
      <c r="L605" s="30"/>
      <c r="M605" s="39"/>
    </row>
    <row r="606" spans="1:13" x14ac:dyDescent="0.2">
      <c r="A606" s="30"/>
      <c r="B606" s="30"/>
      <c r="C606" s="30"/>
      <c r="D606" s="30"/>
      <c r="E606" s="30"/>
      <c r="F606" s="30"/>
      <c r="G606" s="30"/>
      <c r="H606" s="30"/>
      <c r="I606" s="30"/>
      <c r="J606" s="65"/>
      <c r="K606" s="83"/>
      <c r="L606" s="30"/>
      <c r="M606" s="39"/>
    </row>
    <row r="607" spans="1:13" x14ac:dyDescent="0.2">
      <c r="A607" s="30"/>
      <c r="B607" s="30"/>
      <c r="C607" s="30"/>
      <c r="D607" s="30"/>
      <c r="E607" s="30"/>
      <c r="F607" s="30"/>
      <c r="G607" s="30"/>
      <c r="H607" s="30"/>
      <c r="I607" s="30"/>
      <c r="J607" s="65"/>
      <c r="K607" s="83"/>
      <c r="L607" s="30"/>
      <c r="M607" s="39"/>
    </row>
    <row r="608" spans="1:13" x14ac:dyDescent="0.2">
      <c r="A608" s="30"/>
      <c r="B608" s="30"/>
      <c r="C608" s="30"/>
      <c r="D608" s="30"/>
      <c r="E608" s="30"/>
      <c r="F608" s="30"/>
      <c r="G608" s="30"/>
      <c r="H608" s="30"/>
      <c r="I608" s="30"/>
      <c r="J608" s="65"/>
      <c r="K608" s="83"/>
      <c r="L608" s="30"/>
      <c r="M608" s="39"/>
    </row>
    <row r="609" spans="1:13" x14ac:dyDescent="0.2">
      <c r="A609" s="30"/>
      <c r="B609" s="30"/>
      <c r="C609" s="30"/>
      <c r="D609" s="30"/>
      <c r="E609" s="30"/>
      <c r="F609" s="30"/>
      <c r="G609" s="30"/>
      <c r="H609" s="30"/>
      <c r="I609" s="30"/>
      <c r="J609" s="65"/>
      <c r="K609" s="83"/>
      <c r="L609" s="30"/>
      <c r="M609" s="39"/>
    </row>
    <row r="610" spans="1:13" x14ac:dyDescent="0.2">
      <c r="A610" s="30"/>
      <c r="B610" s="30"/>
      <c r="C610" s="30"/>
      <c r="D610" s="30"/>
      <c r="E610" s="30"/>
      <c r="F610" s="30"/>
      <c r="G610" s="30"/>
      <c r="H610" s="30"/>
      <c r="I610" s="30"/>
      <c r="J610" s="65"/>
      <c r="K610" s="83"/>
      <c r="L610" s="30"/>
      <c r="M610" s="39"/>
    </row>
    <row r="611" spans="1:13" x14ac:dyDescent="0.2">
      <c r="A611" s="30"/>
      <c r="B611" s="30"/>
      <c r="C611" s="30"/>
      <c r="D611" s="30"/>
      <c r="E611" s="30"/>
      <c r="F611" s="30"/>
      <c r="G611" s="30"/>
      <c r="H611" s="30"/>
      <c r="I611" s="30"/>
      <c r="J611" s="65"/>
      <c r="K611" s="83"/>
      <c r="L611" s="30"/>
      <c r="M611" s="39"/>
    </row>
    <row r="612" spans="1:13" x14ac:dyDescent="0.2">
      <c r="A612" s="30"/>
      <c r="B612" s="30"/>
      <c r="C612" s="30"/>
      <c r="D612" s="30"/>
      <c r="E612" s="30"/>
      <c r="F612" s="30"/>
      <c r="G612" s="30"/>
      <c r="H612" s="30"/>
      <c r="I612" s="30"/>
      <c r="J612" s="65"/>
      <c r="K612" s="83"/>
      <c r="L612" s="30"/>
      <c r="M612" s="39"/>
    </row>
    <row r="613" spans="1:13" x14ac:dyDescent="0.2">
      <c r="A613" s="30"/>
      <c r="B613" s="30"/>
      <c r="C613" s="30"/>
      <c r="D613" s="30"/>
      <c r="E613" s="30"/>
      <c r="F613" s="30"/>
      <c r="G613" s="30"/>
      <c r="H613" s="30"/>
      <c r="I613" s="30"/>
      <c r="J613" s="65"/>
      <c r="K613" s="83"/>
      <c r="L613" s="30"/>
      <c r="M613" s="39"/>
    </row>
    <row r="614" spans="1:13" x14ac:dyDescent="0.2">
      <c r="A614" s="30"/>
      <c r="B614" s="30"/>
      <c r="C614" s="30"/>
      <c r="D614" s="30"/>
      <c r="E614" s="30"/>
      <c r="F614" s="30"/>
      <c r="G614" s="30"/>
      <c r="H614" s="30"/>
      <c r="I614" s="30"/>
      <c r="J614" s="65"/>
      <c r="K614" s="83"/>
      <c r="L614" s="30"/>
      <c r="M614" s="39"/>
    </row>
    <row r="615" spans="1:13" x14ac:dyDescent="0.2">
      <c r="A615" s="30"/>
      <c r="B615" s="30"/>
      <c r="C615" s="30"/>
      <c r="D615" s="30"/>
      <c r="E615" s="30"/>
      <c r="F615" s="30"/>
      <c r="G615" s="30"/>
      <c r="H615" s="30"/>
      <c r="I615" s="30"/>
      <c r="J615" s="65"/>
      <c r="K615" s="83"/>
      <c r="L615" s="30"/>
      <c r="M615" s="39"/>
    </row>
    <row r="616" spans="1:13" x14ac:dyDescent="0.2">
      <c r="A616" s="30"/>
      <c r="B616" s="30"/>
      <c r="C616" s="30"/>
      <c r="D616" s="30"/>
      <c r="E616" s="30"/>
      <c r="F616" s="30"/>
      <c r="G616" s="30"/>
      <c r="H616" s="30"/>
      <c r="I616" s="30"/>
      <c r="J616" s="65"/>
      <c r="K616" s="83"/>
      <c r="L616" s="30"/>
      <c r="M616" s="39"/>
    </row>
    <row r="617" spans="1:13" x14ac:dyDescent="0.2">
      <c r="A617" s="30"/>
      <c r="B617" s="30"/>
      <c r="C617" s="30"/>
      <c r="D617" s="30"/>
      <c r="E617" s="30"/>
      <c r="F617" s="30"/>
      <c r="G617" s="30"/>
      <c r="H617" s="30"/>
      <c r="I617" s="30"/>
      <c r="J617" s="65"/>
      <c r="K617" s="83"/>
      <c r="L617" s="30"/>
      <c r="M617" s="39"/>
    </row>
    <row r="618" spans="1:13" x14ac:dyDescent="0.2">
      <c r="A618" s="30"/>
      <c r="B618" s="30"/>
      <c r="C618" s="30"/>
      <c r="D618" s="30"/>
      <c r="E618" s="30"/>
      <c r="F618" s="30"/>
      <c r="G618" s="30"/>
      <c r="H618" s="30"/>
      <c r="I618" s="30"/>
      <c r="J618" s="65"/>
      <c r="K618" s="83"/>
      <c r="L618" s="30"/>
      <c r="M618" s="39"/>
    </row>
    <row r="619" spans="1:13" x14ac:dyDescent="0.2">
      <c r="A619" s="30"/>
      <c r="B619" s="30"/>
      <c r="C619" s="30"/>
      <c r="D619" s="30"/>
      <c r="E619" s="30"/>
      <c r="F619" s="30"/>
      <c r="G619" s="30"/>
      <c r="H619" s="30"/>
      <c r="I619" s="30"/>
      <c r="J619" s="65"/>
      <c r="K619" s="83"/>
      <c r="L619" s="30"/>
      <c r="M619" s="39"/>
    </row>
    <row r="620" spans="1:13" x14ac:dyDescent="0.2">
      <c r="A620" s="30"/>
      <c r="B620" s="30"/>
      <c r="C620" s="30"/>
      <c r="D620" s="30"/>
      <c r="E620" s="30"/>
      <c r="F620" s="30"/>
      <c r="G620" s="30"/>
      <c r="H620" s="30"/>
      <c r="I620" s="30"/>
      <c r="J620" s="65"/>
      <c r="K620" s="83"/>
      <c r="L620" s="30"/>
      <c r="M620" s="39"/>
    </row>
    <row r="621" spans="1:13" x14ac:dyDescent="0.2">
      <c r="A621" s="30"/>
      <c r="B621" s="30"/>
      <c r="C621" s="30"/>
      <c r="D621" s="30"/>
      <c r="E621" s="30"/>
      <c r="F621" s="30"/>
      <c r="G621" s="30"/>
      <c r="H621" s="30"/>
      <c r="I621" s="30"/>
      <c r="J621" s="65"/>
      <c r="K621" s="83"/>
      <c r="L621" s="30"/>
      <c r="M621" s="39"/>
    </row>
    <row r="622" spans="1:13" x14ac:dyDescent="0.2">
      <c r="A622" s="30"/>
      <c r="B622" s="30"/>
      <c r="C622" s="30"/>
      <c r="D622" s="30"/>
      <c r="E622" s="30"/>
      <c r="F622" s="30"/>
      <c r="G622" s="30"/>
      <c r="H622" s="30"/>
      <c r="I622" s="30"/>
      <c r="J622" s="65"/>
      <c r="K622" s="83"/>
      <c r="L622" s="30"/>
      <c r="M622" s="39"/>
    </row>
    <row r="623" spans="1:13" x14ac:dyDescent="0.2">
      <c r="A623" s="30"/>
      <c r="B623" s="30"/>
      <c r="C623" s="30"/>
      <c r="D623" s="30"/>
      <c r="E623" s="30"/>
      <c r="F623" s="30"/>
      <c r="G623" s="30"/>
      <c r="H623" s="30"/>
      <c r="I623" s="30"/>
      <c r="J623" s="65"/>
      <c r="K623" s="83"/>
      <c r="L623" s="30"/>
      <c r="M623" s="39"/>
    </row>
    <row r="624" spans="1:13" x14ac:dyDescent="0.2">
      <c r="A624" s="30"/>
      <c r="B624" s="30"/>
      <c r="C624" s="30"/>
      <c r="D624" s="30"/>
      <c r="E624" s="30"/>
      <c r="F624" s="30"/>
      <c r="G624" s="30"/>
      <c r="H624" s="30"/>
      <c r="I624" s="30"/>
      <c r="J624" s="65"/>
      <c r="K624" s="83"/>
      <c r="L624" s="30"/>
      <c r="M624" s="39"/>
    </row>
    <row r="625" spans="1:13" x14ac:dyDescent="0.2">
      <c r="A625" s="30"/>
      <c r="B625" s="30"/>
      <c r="C625" s="30"/>
      <c r="D625" s="30"/>
      <c r="E625" s="30"/>
      <c r="F625" s="30"/>
      <c r="G625" s="30"/>
      <c r="H625" s="30"/>
      <c r="I625" s="30"/>
      <c r="J625" s="65"/>
      <c r="K625" s="83"/>
      <c r="L625" s="30"/>
      <c r="M625" s="39"/>
    </row>
    <row r="626" spans="1:13" x14ac:dyDescent="0.2">
      <c r="A626" s="30"/>
      <c r="B626" s="30"/>
      <c r="C626" s="30"/>
      <c r="D626" s="30"/>
      <c r="E626" s="30"/>
      <c r="F626" s="30"/>
      <c r="G626" s="30"/>
      <c r="H626" s="30"/>
      <c r="I626" s="30"/>
      <c r="J626" s="65"/>
      <c r="K626" s="83"/>
      <c r="L626" s="30"/>
      <c r="M626" s="39"/>
    </row>
    <row r="627" spans="1:13" x14ac:dyDescent="0.2">
      <c r="A627" s="30"/>
      <c r="B627" s="30"/>
      <c r="C627" s="30"/>
      <c r="D627" s="30"/>
      <c r="E627" s="30"/>
      <c r="F627" s="30"/>
      <c r="G627" s="30"/>
      <c r="H627" s="30"/>
      <c r="I627" s="30"/>
      <c r="J627" s="65"/>
      <c r="K627" s="83"/>
      <c r="L627" s="30"/>
      <c r="M627" s="39"/>
    </row>
    <row r="628" spans="1:13" x14ac:dyDescent="0.2">
      <c r="A628" s="30"/>
      <c r="B628" s="30"/>
      <c r="C628" s="30"/>
      <c r="D628" s="30"/>
      <c r="E628" s="30"/>
      <c r="F628" s="30"/>
      <c r="G628" s="30"/>
      <c r="H628" s="30"/>
      <c r="I628" s="30"/>
      <c r="J628" s="65"/>
      <c r="K628" s="83"/>
      <c r="L628" s="30"/>
      <c r="M628" s="39"/>
    </row>
    <row r="629" spans="1:13" x14ac:dyDescent="0.2">
      <c r="A629" s="30"/>
      <c r="B629" s="30"/>
      <c r="C629" s="30"/>
      <c r="D629" s="30"/>
      <c r="E629" s="30"/>
      <c r="F629" s="30"/>
      <c r="G629" s="30"/>
      <c r="H629" s="30"/>
      <c r="I629" s="30"/>
      <c r="J629" s="65"/>
      <c r="K629" s="83"/>
      <c r="L629" s="30"/>
      <c r="M629" s="39"/>
    </row>
    <row r="630" spans="1:13" x14ac:dyDescent="0.2">
      <c r="A630" s="30"/>
      <c r="B630" s="30"/>
      <c r="C630" s="30"/>
      <c r="D630" s="30"/>
      <c r="E630" s="30"/>
      <c r="F630" s="30"/>
      <c r="G630" s="30"/>
      <c r="H630" s="30"/>
      <c r="I630" s="30"/>
      <c r="J630" s="65"/>
      <c r="K630" s="83"/>
      <c r="L630" s="30"/>
      <c r="M630" s="39"/>
    </row>
    <row r="631" spans="1:13" x14ac:dyDescent="0.2">
      <c r="A631" s="30"/>
      <c r="B631" s="30"/>
      <c r="C631" s="30"/>
      <c r="D631" s="30"/>
      <c r="E631" s="30"/>
      <c r="F631" s="30"/>
      <c r="G631" s="30"/>
      <c r="H631" s="30"/>
      <c r="I631" s="30"/>
      <c r="J631" s="65"/>
      <c r="K631" s="83"/>
      <c r="L631" s="30"/>
      <c r="M631" s="39"/>
    </row>
    <row r="632" spans="1:13" x14ac:dyDescent="0.2">
      <c r="A632" s="30"/>
      <c r="B632" s="30"/>
      <c r="C632" s="30"/>
      <c r="D632" s="30"/>
      <c r="E632" s="30"/>
      <c r="F632" s="30"/>
      <c r="G632" s="30"/>
      <c r="H632" s="30"/>
      <c r="I632" s="30"/>
      <c r="J632" s="65"/>
      <c r="K632" s="83"/>
      <c r="L632" s="30"/>
      <c r="M632" s="39"/>
    </row>
    <row r="633" spans="1:13" x14ac:dyDescent="0.2">
      <c r="A633" s="30"/>
      <c r="B633" s="30"/>
      <c r="C633" s="30"/>
      <c r="D633" s="30"/>
      <c r="E633" s="30"/>
      <c r="F633" s="30"/>
      <c r="G633" s="30"/>
      <c r="H633" s="30"/>
      <c r="I633" s="30"/>
      <c r="J633" s="65"/>
      <c r="K633" s="83"/>
      <c r="L633" s="30"/>
      <c r="M633" s="39"/>
    </row>
    <row r="634" spans="1:13" x14ac:dyDescent="0.2">
      <c r="A634" s="30"/>
      <c r="B634" s="30"/>
      <c r="C634" s="30"/>
      <c r="D634" s="30"/>
      <c r="E634" s="30"/>
      <c r="F634" s="30"/>
      <c r="G634" s="30"/>
      <c r="H634" s="30"/>
      <c r="I634" s="30"/>
      <c r="J634" s="65"/>
      <c r="K634" s="83"/>
      <c r="L634" s="30"/>
      <c r="M634" s="39"/>
    </row>
    <row r="635" spans="1:13" x14ac:dyDescent="0.2">
      <c r="A635" s="30"/>
      <c r="B635" s="30"/>
      <c r="C635" s="30"/>
      <c r="D635" s="30"/>
      <c r="E635" s="30"/>
      <c r="F635" s="30"/>
      <c r="G635" s="30"/>
      <c r="H635" s="30"/>
      <c r="I635" s="30"/>
      <c r="J635" s="65"/>
      <c r="K635" s="83"/>
      <c r="L635" s="30"/>
      <c r="M635" s="39"/>
    </row>
    <row r="636" spans="1:13" x14ac:dyDescent="0.2">
      <c r="A636" s="30"/>
      <c r="B636" s="30"/>
      <c r="C636" s="30"/>
      <c r="D636" s="30"/>
      <c r="E636" s="30"/>
      <c r="F636" s="30"/>
      <c r="G636" s="30"/>
      <c r="H636" s="30"/>
      <c r="I636" s="30"/>
      <c r="J636" s="65"/>
      <c r="K636" s="83"/>
      <c r="L636" s="30"/>
      <c r="M636" s="39"/>
    </row>
    <row r="637" spans="1:13" x14ac:dyDescent="0.2">
      <c r="A637" s="30"/>
      <c r="B637" s="30"/>
      <c r="C637" s="30"/>
      <c r="D637" s="30"/>
      <c r="E637" s="30"/>
      <c r="F637" s="30"/>
      <c r="G637" s="30"/>
      <c r="H637" s="30"/>
      <c r="I637" s="30"/>
      <c r="J637" s="65"/>
      <c r="K637" s="83"/>
      <c r="L637" s="30"/>
      <c r="M637" s="39"/>
    </row>
    <row r="638" spans="1:13" x14ac:dyDescent="0.2">
      <c r="A638" s="30"/>
      <c r="B638" s="30"/>
      <c r="C638" s="30"/>
      <c r="D638" s="30"/>
      <c r="E638" s="30"/>
      <c r="F638" s="30"/>
      <c r="G638" s="30"/>
      <c r="H638" s="30"/>
      <c r="I638" s="30"/>
      <c r="J638" s="65"/>
      <c r="K638" s="83"/>
      <c r="L638" s="30"/>
      <c r="M638" s="39"/>
    </row>
    <row r="639" spans="1:13" x14ac:dyDescent="0.2">
      <c r="A639" s="30"/>
      <c r="B639" s="30"/>
      <c r="C639" s="30"/>
      <c r="D639" s="30"/>
      <c r="E639" s="30"/>
      <c r="F639" s="30"/>
      <c r="G639" s="30"/>
      <c r="H639" s="30"/>
      <c r="I639" s="30"/>
      <c r="J639" s="65"/>
      <c r="K639" s="83"/>
      <c r="L639" s="30"/>
      <c r="M639" s="39"/>
    </row>
    <row r="640" spans="1:13" x14ac:dyDescent="0.2">
      <c r="A640" s="30"/>
      <c r="B640" s="30"/>
      <c r="C640" s="30"/>
      <c r="D640" s="30"/>
      <c r="E640" s="30"/>
      <c r="F640" s="30"/>
      <c r="G640" s="30"/>
      <c r="H640" s="30"/>
      <c r="I640" s="30"/>
      <c r="J640" s="65"/>
      <c r="K640" s="83"/>
      <c r="L640" s="30"/>
      <c r="M640" s="39"/>
    </row>
    <row r="641" spans="1:13" x14ac:dyDescent="0.2">
      <c r="A641" s="30"/>
      <c r="B641" s="30"/>
      <c r="C641" s="30"/>
      <c r="D641" s="30"/>
      <c r="E641" s="30"/>
      <c r="F641" s="30"/>
      <c r="G641" s="30"/>
      <c r="H641" s="30"/>
      <c r="I641" s="30"/>
      <c r="J641" s="65"/>
      <c r="K641" s="83"/>
      <c r="L641" s="30"/>
      <c r="M641" s="39"/>
    </row>
    <row r="642" spans="1:13" x14ac:dyDescent="0.2">
      <c r="A642" s="30"/>
      <c r="B642" s="30"/>
      <c r="C642" s="30"/>
      <c r="D642" s="30"/>
      <c r="E642" s="30"/>
      <c r="F642" s="30"/>
      <c r="G642" s="30"/>
      <c r="H642" s="30"/>
      <c r="I642" s="30"/>
      <c r="J642" s="65"/>
      <c r="K642" s="83"/>
      <c r="L642" s="30"/>
      <c r="M642" s="39"/>
    </row>
    <row r="643" spans="1:13" x14ac:dyDescent="0.2">
      <c r="A643" s="30"/>
      <c r="B643" s="30"/>
      <c r="C643" s="30"/>
      <c r="D643" s="30"/>
      <c r="E643" s="30"/>
      <c r="F643" s="30"/>
      <c r="G643" s="30"/>
      <c r="H643" s="30"/>
      <c r="I643" s="30"/>
      <c r="J643" s="65"/>
      <c r="K643" s="83"/>
      <c r="L643" s="30"/>
      <c r="M643" s="39"/>
    </row>
    <row r="644" spans="1:13" x14ac:dyDescent="0.2">
      <c r="A644" s="30"/>
      <c r="B644" s="30"/>
      <c r="C644" s="30"/>
      <c r="D644" s="30"/>
      <c r="E644" s="30"/>
      <c r="F644" s="30"/>
      <c r="G644" s="30"/>
      <c r="H644" s="30"/>
      <c r="I644" s="30"/>
      <c r="J644" s="65"/>
      <c r="K644" s="83"/>
      <c r="L644" s="30"/>
      <c r="M644" s="39"/>
    </row>
    <row r="645" spans="1:13" x14ac:dyDescent="0.2">
      <c r="A645" s="30"/>
      <c r="B645" s="30"/>
      <c r="C645" s="30"/>
      <c r="D645" s="30"/>
      <c r="E645" s="30"/>
      <c r="F645" s="30"/>
      <c r="G645" s="30"/>
      <c r="H645" s="30"/>
      <c r="I645" s="30"/>
      <c r="J645" s="65"/>
      <c r="K645" s="83"/>
      <c r="L645" s="30"/>
      <c r="M645" s="39"/>
    </row>
    <row r="646" spans="1:13" x14ac:dyDescent="0.2">
      <c r="A646" s="30"/>
      <c r="B646" s="30"/>
      <c r="C646" s="30"/>
      <c r="D646" s="30"/>
      <c r="E646" s="30"/>
      <c r="F646" s="30"/>
      <c r="G646" s="30"/>
      <c r="H646" s="30"/>
      <c r="I646" s="30"/>
      <c r="J646" s="65"/>
      <c r="K646" s="83"/>
      <c r="L646" s="30"/>
      <c r="M646" s="39"/>
    </row>
    <row r="647" spans="1:13" x14ac:dyDescent="0.2">
      <c r="A647" s="30"/>
      <c r="B647" s="30"/>
      <c r="C647" s="30"/>
      <c r="D647" s="30"/>
      <c r="E647" s="30"/>
      <c r="F647" s="30"/>
      <c r="G647" s="30"/>
      <c r="H647" s="30"/>
      <c r="I647" s="30"/>
      <c r="J647" s="65"/>
      <c r="K647" s="83"/>
      <c r="L647" s="30"/>
      <c r="M647" s="39"/>
    </row>
    <row r="648" spans="1:13" x14ac:dyDescent="0.2">
      <c r="A648" s="30"/>
      <c r="B648" s="30"/>
      <c r="C648" s="30"/>
      <c r="D648" s="30"/>
      <c r="E648" s="30"/>
      <c r="F648" s="30"/>
      <c r="G648" s="30"/>
      <c r="H648" s="30"/>
      <c r="I648" s="30"/>
      <c r="J648" s="65"/>
      <c r="K648" s="83"/>
      <c r="L648" s="30"/>
      <c r="M648" s="39"/>
    </row>
    <row r="649" spans="1:13" x14ac:dyDescent="0.2">
      <c r="A649" s="30"/>
      <c r="B649" s="30"/>
      <c r="C649" s="30"/>
      <c r="D649" s="30"/>
      <c r="E649" s="30"/>
      <c r="F649" s="30"/>
      <c r="G649" s="30"/>
      <c r="H649" s="30"/>
      <c r="I649" s="30"/>
      <c r="J649" s="65"/>
      <c r="K649" s="83"/>
      <c r="L649" s="30"/>
      <c r="M649" s="39"/>
    </row>
    <row r="650" spans="1:13" x14ac:dyDescent="0.2">
      <c r="A650" s="30"/>
      <c r="B650" s="30"/>
      <c r="C650" s="30"/>
      <c r="D650" s="30"/>
      <c r="E650" s="30"/>
      <c r="F650" s="30"/>
      <c r="G650" s="30"/>
      <c r="H650" s="30"/>
      <c r="I650" s="30"/>
      <c r="J650" s="65"/>
      <c r="K650" s="83"/>
      <c r="L650" s="30"/>
      <c r="M650" s="39"/>
    </row>
    <row r="651" spans="1:13" x14ac:dyDescent="0.2">
      <c r="A651" s="30"/>
      <c r="B651" s="30"/>
      <c r="C651" s="30"/>
      <c r="D651" s="30"/>
      <c r="E651" s="30"/>
      <c r="F651" s="30"/>
      <c r="G651" s="30"/>
      <c r="H651" s="30"/>
      <c r="I651" s="30"/>
      <c r="J651" s="65"/>
      <c r="K651" s="83"/>
      <c r="L651" s="30"/>
      <c r="M651" s="39"/>
    </row>
    <row r="652" spans="1:13" x14ac:dyDescent="0.2">
      <c r="A652" s="30"/>
      <c r="B652" s="30"/>
      <c r="C652" s="30"/>
      <c r="D652" s="30"/>
      <c r="E652" s="30"/>
      <c r="F652" s="30"/>
      <c r="G652" s="30"/>
      <c r="H652" s="30"/>
      <c r="I652" s="30"/>
      <c r="J652" s="65"/>
      <c r="K652" s="83"/>
      <c r="L652" s="30"/>
      <c r="M652" s="39"/>
    </row>
    <row r="653" spans="1:13" x14ac:dyDescent="0.2">
      <c r="A653" s="30"/>
      <c r="B653" s="30"/>
      <c r="C653" s="30"/>
      <c r="D653" s="30"/>
      <c r="E653" s="30"/>
      <c r="F653" s="30"/>
      <c r="G653" s="30"/>
      <c r="H653" s="30"/>
      <c r="I653" s="30"/>
      <c r="J653" s="65"/>
      <c r="K653" s="83"/>
      <c r="L653" s="30"/>
      <c r="M653" s="39"/>
    </row>
    <row r="654" spans="1:13" x14ac:dyDescent="0.2">
      <c r="A654" s="30"/>
      <c r="B654" s="30"/>
      <c r="C654" s="30"/>
      <c r="D654" s="30"/>
      <c r="E654" s="30"/>
      <c r="F654" s="30"/>
      <c r="G654" s="30"/>
      <c r="H654" s="30"/>
      <c r="I654" s="30"/>
      <c r="J654" s="65"/>
      <c r="K654" s="83"/>
      <c r="L654" s="30"/>
      <c r="M654" s="39"/>
    </row>
    <row r="655" spans="1:13" x14ac:dyDescent="0.2">
      <c r="A655" s="30"/>
      <c r="B655" s="30"/>
      <c r="C655" s="30"/>
      <c r="D655" s="30"/>
      <c r="E655" s="30"/>
      <c r="F655" s="30"/>
      <c r="G655" s="30"/>
      <c r="H655" s="30"/>
      <c r="I655" s="30"/>
      <c r="J655" s="65"/>
      <c r="K655" s="83"/>
      <c r="L655" s="30"/>
      <c r="M655" s="39"/>
    </row>
    <row r="656" spans="1:13" x14ac:dyDescent="0.2">
      <c r="A656" s="30"/>
      <c r="B656" s="30"/>
      <c r="C656" s="30"/>
      <c r="D656" s="30"/>
      <c r="E656" s="30"/>
      <c r="F656" s="30"/>
      <c r="G656" s="30"/>
      <c r="H656" s="30"/>
      <c r="I656" s="30"/>
      <c r="J656" s="65"/>
      <c r="K656" s="83"/>
      <c r="L656" s="30"/>
      <c r="M656" s="39"/>
    </row>
    <row r="657" spans="1:13" x14ac:dyDescent="0.2">
      <c r="A657" s="30"/>
      <c r="B657" s="30"/>
      <c r="C657" s="30"/>
      <c r="D657" s="30"/>
      <c r="E657" s="30"/>
      <c r="F657" s="30"/>
      <c r="G657" s="30"/>
      <c r="H657" s="30"/>
      <c r="I657" s="30"/>
      <c r="J657" s="65"/>
      <c r="K657" s="83"/>
      <c r="L657" s="30"/>
      <c r="M657" s="39"/>
    </row>
    <row r="658" spans="1:13" x14ac:dyDescent="0.2">
      <c r="A658" s="30"/>
      <c r="B658" s="30"/>
      <c r="C658" s="30"/>
      <c r="D658" s="30"/>
      <c r="E658" s="30"/>
      <c r="F658" s="30"/>
      <c r="G658" s="30"/>
      <c r="H658" s="30"/>
      <c r="I658" s="30"/>
      <c r="J658" s="65"/>
      <c r="K658" s="83"/>
      <c r="L658" s="30"/>
      <c r="M658" s="39"/>
    </row>
    <row r="659" spans="1:13" x14ac:dyDescent="0.2">
      <c r="A659" s="30"/>
      <c r="B659" s="30"/>
      <c r="C659" s="30"/>
      <c r="D659" s="30"/>
      <c r="E659" s="30"/>
      <c r="F659" s="30"/>
      <c r="G659" s="30"/>
      <c r="H659" s="30"/>
      <c r="I659" s="30"/>
      <c r="J659" s="65"/>
      <c r="K659" s="83"/>
      <c r="L659" s="30"/>
      <c r="M659" s="39"/>
    </row>
    <row r="660" spans="1:13" x14ac:dyDescent="0.2">
      <c r="A660" s="30"/>
      <c r="B660" s="30"/>
      <c r="C660" s="30"/>
      <c r="D660" s="30"/>
      <c r="E660" s="30"/>
      <c r="F660" s="30"/>
      <c r="G660" s="30"/>
      <c r="H660" s="30"/>
      <c r="I660" s="30"/>
      <c r="J660" s="65"/>
      <c r="K660" s="83"/>
      <c r="L660" s="30"/>
      <c r="M660" s="39"/>
    </row>
    <row r="661" spans="1:13" x14ac:dyDescent="0.2">
      <c r="A661" s="30"/>
      <c r="B661" s="30"/>
      <c r="C661" s="30"/>
      <c r="D661" s="30"/>
      <c r="E661" s="30"/>
      <c r="F661" s="30"/>
      <c r="G661" s="30"/>
      <c r="H661" s="30"/>
      <c r="I661" s="30"/>
      <c r="J661" s="65"/>
      <c r="K661" s="83"/>
      <c r="L661" s="30"/>
      <c r="M661" s="39"/>
    </row>
    <row r="662" spans="1:13" x14ac:dyDescent="0.2">
      <c r="A662" s="30"/>
      <c r="B662" s="30"/>
      <c r="C662" s="30"/>
      <c r="D662" s="30"/>
      <c r="E662" s="30"/>
      <c r="F662" s="30"/>
      <c r="G662" s="30"/>
      <c r="H662" s="30"/>
      <c r="I662" s="30"/>
      <c r="J662" s="65"/>
      <c r="K662" s="83"/>
      <c r="L662" s="30"/>
      <c r="M662" s="39"/>
    </row>
    <row r="663" spans="1:13" x14ac:dyDescent="0.2">
      <c r="A663" s="30"/>
      <c r="B663" s="30"/>
      <c r="C663" s="30"/>
      <c r="D663" s="30"/>
      <c r="E663" s="30"/>
      <c r="F663" s="30"/>
      <c r="G663" s="30"/>
      <c r="H663" s="30"/>
      <c r="I663" s="30"/>
      <c r="J663" s="65"/>
      <c r="K663" s="83"/>
      <c r="L663" s="30"/>
      <c r="M663" s="39"/>
    </row>
    <row r="664" spans="1:13" x14ac:dyDescent="0.2">
      <c r="A664" s="30"/>
      <c r="B664" s="30"/>
      <c r="C664" s="30"/>
      <c r="D664" s="30"/>
      <c r="E664" s="30"/>
      <c r="F664" s="30"/>
      <c r="G664" s="30"/>
      <c r="H664" s="30"/>
      <c r="I664" s="30"/>
      <c r="J664" s="65"/>
      <c r="K664" s="83"/>
      <c r="L664" s="30"/>
      <c r="M664" s="39"/>
    </row>
    <row r="665" spans="1:13" x14ac:dyDescent="0.2">
      <c r="A665" s="30"/>
      <c r="B665" s="30"/>
      <c r="C665" s="30"/>
      <c r="D665" s="30"/>
      <c r="E665" s="30"/>
      <c r="F665" s="30"/>
      <c r="G665" s="30"/>
      <c r="H665" s="30"/>
      <c r="I665" s="30"/>
      <c r="J665" s="65"/>
      <c r="K665" s="83"/>
      <c r="L665" s="30"/>
      <c r="M665" s="39"/>
    </row>
    <row r="666" spans="1:13" x14ac:dyDescent="0.2">
      <c r="A666" s="30"/>
      <c r="B666" s="30"/>
      <c r="C666" s="30"/>
      <c r="D666" s="30"/>
      <c r="E666" s="30"/>
      <c r="F666" s="30"/>
      <c r="G666" s="30"/>
      <c r="H666" s="30"/>
      <c r="I666" s="30"/>
      <c r="J666" s="65"/>
      <c r="K666" s="83"/>
      <c r="L666" s="30"/>
      <c r="M666" s="39"/>
    </row>
    <row r="667" spans="1:13" x14ac:dyDescent="0.2">
      <c r="A667" s="30"/>
      <c r="B667" s="30"/>
      <c r="C667" s="30"/>
      <c r="D667" s="30"/>
      <c r="E667" s="30"/>
      <c r="F667" s="30"/>
      <c r="G667" s="30"/>
      <c r="H667" s="30"/>
      <c r="I667" s="30"/>
      <c r="J667" s="65"/>
      <c r="K667" s="83"/>
      <c r="L667" s="30"/>
      <c r="M667" s="39"/>
    </row>
    <row r="668" spans="1:13" x14ac:dyDescent="0.2">
      <c r="A668" s="30"/>
      <c r="B668" s="30"/>
      <c r="C668" s="30"/>
      <c r="D668" s="30"/>
      <c r="E668" s="30"/>
      <c r="F668" s="30"/>
      <c r="G668" s="30"/>
      <c r="H668" s="30"/>
      <c r="I668" s="30"/>
      <c r="J668" s="65"/>
      <c r="K668" s="83"/>
      <c r="L668" s="30"/>
      <c r="M668" s="39"/>
    </row>
    <row r="669" spans="1:13" x14ac:dyDescent="0.2">
      <c r="A669" s="30"/>
      <c r="B669" s="30"/>
      <c r="C669" s="30"/>
      <c r="D669" s="30"/>
      <c r="E669" s="30"/>
      <c r="F669" s="30"/>
      <c r="G669" s="30"/>
      <c r="H669" s="30"/>
      <c r="I669" s="30"/>
      <c r="J669" s="65"/>
      <c r="K669" s="83"/>
      <c r="L669" s="30"/>
      <c r="M669" s="39"/>
    </row>
    <row r="670" spans="1:13" x14ac:dyDescent="0.2">
      <c r="A670" s="30"/>
      <c r="B670" s="30"/>
      <c r="C670" s="30"/>
      <c r="D670" s="30"/>
      <c r="E670" s="30"/>
      <c r="F670" s="30"/>
      <c r="G670" s="30"/>
      <c r="H670" s="30"/>
      <c r="I670" s="30"/>
      <c r="J670" s="65"/>
      <c r="K670" s="83"/>
      <c r="L670" s="30"/>
      <c r="M670" s="39"/>
    </row>
    <row r="671" spans="1:13" x14ac:dyDescent="0.2">
      <c r="A671" s="30"/>
      <c r="B671" s="30"/>
      <c r="C671" s="30"/>
      <c r="D671" s="30"/>
      <c r="E671" s="30"/>
      <c r="F671" s="30"/>
      <c r="G671" s="30"/>
      <c r="H671" s="30"/>
      <c r="I671" s="30"/>
      <c r="J671" s="65"/>
      <c r="K671" s="83"/>
      <c r="L671" s="30"/>
      <c r="M671" s="39"/>
    </row>
    <row r="672" spans="1:13" x14ac:dyDescent="0.2">
      <c r="A672" s="30"/>
      <c r="B672" s="30"/>
      <c r="C672" s="30"/>
      <c r="D672" s="30"/>
      <c r="E672" s="30"/>
      <c r="F672" s="30"/>
      <c r="G672" s="30"/>
      <c r="H672" s="30"/>
      <c r="I672" s="30"/>
      <c r="J672" s="65"/>
      <c r="K672" s="83"/>
      <c r="L672" s="30"/>
      <c r="M672" s="39"/>
    </row>
    <row r="673" spans="1:13" x14ac:dyDescent="0.2">
      <c r="A673" s="30"/>
      <c r="B673" s="30"/>
      <c r="C673" s="30"/>
      <c r="D673" s="30"/>
      <c r="E673" s="30"/>
      <c r="F673" s="30"/>
      <c r="G673" s="30"/>
      <c r="H673" s="30"/>
      <c r="I673" s="30"/>
      <c r="J673" s="65"/>
      <c r="K673" s="83"/>
      <c r="L673" s="30"/>
      <c r="M673" s="39"/>
    </row>
    <row r="674" spans="1:13" x14ac:dyDescent="0.2">
      <c r="A674" s="30"/>
      <c r="B674" s="30"/>
      <c r="C674" s="30"/>
      <c r="D674" s="30"/>
      <c r="E674" s="30"/>
      <c r="F674" s="30"/>
      <c r="G674" s="30"/>
      <c r="H674" s="30"/>
      <c r="I674" s="30"/>
      <c r="J674" s="65"/>
      <c r="K674" s="83"/>
      <c r="L674" s="30"/>
      <c r="M674" s="39"/>
    </row>
    <row r="675" spans="1:13" x14ac:dyDescent="0.2">
      <c r="A675" s="30"/>
      <c r="B675" s="30"/>
      <c r="C675" s="30"/>
      <c r="D675" s="30"/>
      <c r="E675" s="30"/>
      <c r="F675" s="30"/>
      <c r="G675" s="30"/>
      <c r="H675" s="30"/>
      <c r="I675" s="30"/>
      <c r="J675" s="65"/>
      <c r="K675" s="83"/>
      <c r="L675" s="30"/>
      <c r="M675" s="39"/>
    </row>
    <row r="676" spans="1:13" x14ac:dyDescent="0.2">
      <c r="A676" s="30"/>
      <c r="B676" s="30"/>
      <c r="C676" s="30"/>
      <c r="D676" s="30"/>
      <c r="E676" s="30"/>
      <c r="F676" s="30"/>
      <c r="G676" s="30"/>
      <c r="H676" s="30"/>
      <c r="I676" s="30"/>
      <c r="J676" s="65"/>
      <c r="K676" s="83"/>
      <c r="L676" s="30"/>
      <c r="M676" s="39"/>
    </row>
    <row r="677" spans="1:13" x14ac:dyDescent="0.2">
      <c r="A677" s="30"/>
      <c r="B677" s="30"/>
      <c r="C677" s="30"/>
      <c r="D677" s="30"/>
      <c r="E677" s="30"/>
      <c r="F677" s="30"/>
      <c r="G677" s="30"/>
      <c r="H677" s="30"/>
      <c r="I677" s="30"/>
      <c r="J677" s="65"/>
      <c r="K677" s="83"/>
      <c r="L677" s="30"/>
      <c r="M677" s="39"/>
    </row>
    <row r="678" spans="1:13" x14ac:dyDescent="0.2">
      <c r="A678" s="30"/>
      <c r="B678" s="30"/>
      <c r="C678" s="30"/>
      <c r="D678" s="30"/>
      <c r="E678" s="30"/>
      <c r="F678" s="30"/>
      <c r="G678" s="30"/>
      <c r="H678" s="30"/>
      <c r="I678" s="30"/>
      <c r="J678" s="65"/>
      <c r="K678" s="83"/>
      <c r="L678" s="30"/>
      <c r="M678" s="39"/>
    </row>
    <row r="679" spans="1:13" x14ac:dyDescent="0.2">
      <c r="A679" s="30"/>
      <c r="B679" s="30"/>
      <c r="C679" s="30"/>
      <c r="D679" s="30"/>
      <c r="E679" s="30"/>
      <c r="F679" s="30"/>
      <c r="G679" s="30"/>
      <c r="H679" s="30"/>
      <c r="I679" s="30"/>
      <c r="J679" s="65"/>
      <c r="K679" s="83"/>
      <c r="L679" s="30"/>
      <c r="M679" s="39"/>
    </row>
    <row r="680" spans="1:13" x14ac:dyDescent="0.2">
      <c r="A680" s="30"/>
      <c r="B680" s="30"/>
      <c r="C680" s="30"/>
      <c r="D680" s="30"/>
      <c r="E680" s="30"/>
      <c r="F680" s="30"/>
      <c r="G680" s="30"/>
      <c r="H680" s="30"/>
      <c r="I680" s="30"/>
      <c r="J680" s="65"/>
      <c r="K680" s="83"/>
      <c r="L680" s="30"/>
      <c r="M680" s="39"/>
    </row>
    <row r="681" spans="1:13" x14ac:dyDescent="0.2">
      <c r="A681" s="30"/>
      <c r="B681" s="30"/>
      <c r="C681" s="30"/>
      <c r="D681" s="30"/>
      <c r="E681" s="30"/>
      <c r="F681" s="30"/>
      <c r="G681" s="30"/>
      <c r="H681" s="30"/>
      <c r="I681" s="30"/>
      <c r="J681" s="65"/>
      <c r="K681" s="83"/>
      <c r="L681" s="30"/>
      <c r="M681" s="39"/>
    </row>
    <row r="682" spans="1:13" x14ac:dyDescent="0.2">
      <c r="A682" s="30"/>
      <c r="B682" s="30"/>
      <c r="C682" s="30"/>
      <c r="D682" s="30"/>
      <c r="E682" s="30"/>
      <c r="F682" s="30"/>
      <c r="G682" s="30"/>
      <c r="H682" s="30"/>
      <c r="I682" s="30"/>
      <c r="J682" s="65"/>
      <c r="K682" s="83"/>
      <c r="L682" s="30"/>
      <c r="M682" s="39"/>
    </row>
    <row r="683" spans="1:13" x14ac:dyDescent="0.2">
      <c r="A683" s="30"/>
      <c r="B683" s="30"/>
      <c r="C683" s="30"/>
      <c r="D683" s="30"/>
      <c r="E683" s="30"/>
      <c r="F683" s="30"/>
      <c r="G683" s="30"/>
      <c r="H683" s="30"/>
      <c r="I683" s="30"/>
      <c r="J683" s="65"/>
      <c r="K683" s="83"/>
      <c r="L683" s="30"/>
      <c r="M683" s="39"/>
    </row>
    <row r="684" spans="1:13" x14ac:dyDescent="0.2">
      <c r="A684" s="30"/>
      <c r="B684" s="30"/>
      <c r="C684" s="30"/>
      <c r="D684" s="30"/>
      <c r="E684" s="30"/>
      <c r="F684" s="30"/>
      <c r="G684" s="30"/>
      <c r="H684" s="30"/>
      <c r="I684" s="30"/>
      <c r="J684" s="65"/>
      <c r="K684" s="83"/>
      <c r="L684" s="30"/>
      <c r="M684" s="39"/>
    </row>
    <row r="685" spans="1:13" x14ac:dyDescent="0.2">
      <c r="A685" s="30"/>
      <c r="B685" s="30"/>
      <c r="C685" s="30"/>
      <c r="D685" s="30"/>
      <c r="E685" s="30"/>
      <c r="F685" s="30"/>
      <c r="G685" s="30"/>
      <c r="H685" s="30"/>
      <c r="I685" s="30"/>
      <c r="J685" s="65"/>
      <c r="K685" s="83"/>
      <c r="L685" s="30"/>
      <c r="M685" s="39"/>
    </row>
    <row r="686" spans="1:13" x14ac:dyDescent="0.2">
      <c r="A686" s="30"/>
      <c r="B686" s="30"/>
      <c r="C686" s="30"/>
      <c r="D686" s="30"/>
      <c r="E686" s="30"/>
      <c r="F686" s="30"/>
      <c r="G686" s="30"/>
      <c r="H686" s="30"/>
      <c r="I686" s="30"/>
      <c r="J686" s="65"/>
      <c r="K686" s="83"/>
      <c r="L686" s="30"/>
      <c r="M686" s="39"/>
    </row>
    <row r="687" spans="1:13" x14ac:dyDescent="0.2">
      <c r="A687" s="30"/>
      <c r="B687" s="30"/>
      <c r="C687" s="30"/>
      <c r="D687" s="30"/>
      <c r="E687" s="30"/>
      <c r="F687" s="30"/>
      <c r="G687" s="30"/>
      <c r="H687" s="30"/>
      <c r="I687" s="30"/>
      <c r="J687" s="65"/>
      <c r="K687" s="83"/>
      <c r="L687" s="30"/>
      <c r="M687" s="39"/>
    </row>
    <row r="688" spans="1:13" x14ac:dyDescent="0.2">
      <c r="A688" s="30"/>
      <c r="B688" s="30"/>
      <c r="C688" s="30"/>
      <c r="D688" s="30"/>
      <c r="E688" s="30"/>
      <c r="F688" s="30"/>
      <c r="G688" s="30"/>
      <c r="H688" s="30"/>
      <c r="I688" s="30"/>
      <c r="J688" s="65"/>
      <c r="K688" s="83"/>
      <c r="L688" s="30"/>
      <c r="M688" s="39"/>
    </row>
    <row r="689" spans="1:13" x14ac:dyDescent="0.2">
      <c r="A689" s="30"/>
      <c r="B689" s="30"/>
      <c r="C689" s="30"/>
      <c r="D689" s="30"/>
      <c r="E689" s="30"/>
      <c r="F689" s="30"/>
      <c r="G689" s="30"/>
      <c r="H689" s="30"/>
      <c r="I689" s="30"/>
      <c r="J689" s="65"/>
      <c r="K689" s="83"/>
      <c r="L689" s="30"/>
      <c r="M689" s="39"/>
    </row>
    <row r="690" spans="1:13" x14ac:dyDescent="0.2">
      <c r="A690" s="30"/>
      <c r="B690" s="30"/>
      <c r="C690" s="30"/>
      <c r="D690" s="30"/>
      <c r="E690" s="30"/>
      <c r="F690" s="30"/>
      <c r="G690" s="30"/>
      <c r="H690" s="30"/>
      <c r="I690" s="30"/>
      <c r="J690" s="65"/>
      <c r="K690" s="83"/>
      <c r="L690" s="30"/>
      <c r="M690" s="39"/>
    </row>
    <row r="691" spans="1:13" x14ac:dyDescent="0.2">
      <c r="A691" s="30"/>
      <c r="B691" s="30"/>
      <c r="C691" s="30"/>
      <c r="D691" s="30"/>
      <c r="E691" s="30"/>
      <c r="F691" s="30"/>
      <c r="G691" s="30"/>
      <c r="H691" s="30"/>
      <c r="I691" s="30"/>
      <c r="J691" s="65"/>
      <c r="K691" s="83"/>
      <c r="L691" s="30"/>
      <c r="M691" s="39"/>
    </row>
    <row r="692" spans="1:13" x14ac:dyDescent="0.2">
      <c r="A692" s="30"/>
      <c r="B692" s="30"/>
      <c r="C692" s="30"/>
      <c r="D692" s="30"/>
      <c r="E692" s="30"/>
      <c r="F692" s="30"/>
      <c r="G692" s="30"/>
      <c r="H692" s="30"/>
      <c r="I692" s="30"/>
      <c r="J692" s="65"/>
      <c r="K692" s="83"/>
      <c r="L692" s="30"/>
      <c r="M692" s="39"/>
    </row>
    <row r="693" spans="1:13" x14ac:dyDescent="0.2">
      <c r="A693" s="30"/>
      <c r="B693" s="30"/>
      <c r="C693" s="30"/>
      <c r="D693" s="30"/>
      <c r="E693" s="30"/>
      <c r="F693" s="30"/>
      <c r="G693" s="30"/>
      <c r="H693" s="30"/>
      <c r="I693" s="30"/>
      <c r="J693" s="65"/>
      <c r="K693" s="83"/>
      <c r="L693" s="30"/>
      <c r="M693" s="39"/>
    </row>
    <row r="694" spans="1:13" x14ac:dyDescent="0.2">
      <c r="A694" s="30"/>
      <c r="B694" s="30"/>
      <c r="C694" s="30"/>
      <c r="D694" s="30"/>
      <c r="E694" s="30"/>
      <c r="F694" s="30"/>
      <c r="G694" s="30"/>
      <c r="H694" s="30"/>
      <c r="I694" s="30"/>
      <c r="J694" s="65"/>
      <c r="K694" s="83"/>
      <c r="L694" s="30"/>
      <c r="M694" s="39"/>
    </row>
    <row r="695" spans="1:13" x14ac:dyDescent="0.2">
      <c r="A695" s="30"/>
      <c r="B695" s="30"/>
      <c r="C695" s="30"/>
      <c r="D695" s="30"/>
      <c r="E695" s="30"/>
      <c r="F695" s="30"/>
      <c r="G695" s="30"/>
      <c r="H695" s="30"/>
      <c r="I695" s="30"/>
      <c r="J695" s="65"/>
      <c r="K695" s="83"/>
      <c r="L695" s="30"/>
      <c r="M695" s="39"/>
    </row>
    <row r="696" spans="1:13" x14ac:dyDescent="0.2">
      <c r="A696" s="30"/>
      <c r="B696" s="30"/>
      <c r="C696" s="30"/>
      <c r="D696" s="30"/>
      <c r="E696" s="30"/>
      <c r="F696" s="30"/>
      <c r="G696" s="30"/>
      <c r="H696" s="30"/>
      <c r="I696" s="30"/>
      <c r="J696" s="65"/>
      <c r="K696" s="83"/>
      <c r="L696" s="30"/>
      <c r="M696" s="39"/>
    </row>
    <row r="697" spans="1:13" x14ac:dyDescent="0.2">
      <c r="A697" s="30"/>
      <c r="B697" s="30"/>
      <c r="C697" s="30"/>
      <c r="D697" s="30"/>
      <c r="E697" s="30"/>
      <c r="F697" s="30"/>
      <c r="G697" s="30"/>
      <c r="H697" s="30"/>
      <c r="I697" s="30"/>
      <c r="J697" s="65"/>
      <c r="K697" s="83"/>
      <c r="L697" s="30"/>
      <c r="M697" s="39"/>
    </row>
    <row r="698" spans="1:13" x14ac:dyDescent="0.2">
      <c r="A698" s="30"/>
      <c r="B698" s="30"/>
      <c r="C698" s="30"/>
      <c r="D698" s="30"/>
      <c r="E698" s="30"/>
      <c r="F698" s="30"/>
      <c r="G698" s="30"/>
      <c r="H698" s="30"/>
      <c r="I698" s="30"/>
      <c r="J698" s="65"/>
      <c r="K698" s="83"/>
      <c r="L698" s="30"/>
      <c r="M698" s="39"/>
    </row>
    <row r="699" spans="1:13" x14ac:dyDescent="0.2">
      <c r="A699" s="30"/>
      <c r="B699" s="30"/>
      <c r="C699" s="30"/>
      <c r="D699" s="30"/>
      <c r="E699" s="30"/>
      <c r="F699" s="30"/>
      <c r="G699" s="30"/>
      <c r="H699" s="30"/>
      <c r="I699" s="30"/>
      <c r="J699" s="65"/>
      <c r="K699" s="83"/>
      <c r="L699" s="30"/>
      <c r="M699" s="39"/>
    </row>
    <row r="700" spans="1:13" x14ac:dyDescent="0.2">
      <c r="A700" s="30"/>
      <c r="B700" s="30"/>
      <c r="C700" s="30"/>
      <c r="D700" s="30"/>
      <c r="E700" s="30"/>
      <c r="F700" s="30"/>
      <c r="G700" s="30"/>
      <c r="H700" s="30"/>
      <c r="I700" s="30"/>
      <c r="J700" s="65"/>
      <c r="K700" s="83"/>
      <c r="L700" s="30"/>
      <c r="M700" s="39"/>
    </row>
    <row r="701" spans="1:13" x14ac:dyDescent="0.2">
      <c r="A701" s="30"/>
      <c r="B701" s="30"/>
      <c r="C701" s="30"/>
      <c r="D701" s="30"/>
      <c r="E701" s="30"/>
      <c r="F701" s="30"/>
      <c r="G701" s="30"/>
      <c r="H701" s="30"/>
      <c r="I701" s="30"/>
      <c r="J701" s="65"/>
      <c r="K701" s="83"/>
      <c r="L701" s="30"/>
      <c r="M701" s="39"/>
    </row>
    <row r="702" spans="1:13" x14ac:dyDescent="0.2">
      <c r="A702" s="30"/>
      <c r="B702" s="30"/>
      <c r="C702" s="30"/>
      <c r="D702" s="30"/>
      <c r="E702" s="30"/>
      <c r="F702" s="30"/>
      <c r="G702" s="30"/>
      <c r="H702" s="30"/>
      <c r="I702" s="30"/>
      <c r="J702" s="65"/>
      <c r="K702" s="83"/>
      <c r="L702" s="30"/>
      <c r="M702" s="39"/>
    </row>
    <row r="703" spans="1:13" x14ac:dyDescent="0.2">
      <c r="A703" s="30"/>
      <c r="B703" s="30"/>
      <c r="C703" s="30"/>
      <c r="D703" s="30"/>
      <c r="E703" s="30"/>
      <c r="F703" s="30"/>
      <c r="G703" s="30"/>
      <c r="H703" s="30"/>
      <c r="I703" s="30"/>
      <c r="J703" s="65"/>
      <c r="K703" s="83"/>
      <c r="L703" s="30"/>
      <c r="M703" s="39"/>
    </row>
    <row r="704" spans="1:13" x14ac:dyDescent="0.2">
      <c r="A704" s="30"/>
      <c r="B704" s="30"/>
      <c r="C704" s="30"/>
      <c r="D704" s="30"/>
      <c r="E704" s="30"/>
      <c r="F704" s="30"/>
      <c r="G704" s="30"/>
      <c r="H704" s="30"/>
      <c r="I704" s="30"/>
      <c r="J704" s="65"/>
      <c r="K704" s="83"/>
      <c r="L704" s="30"/>
      <c r="M704" s="39"/>
    </row>
    <row r="705" spans="1:13" x14ac:dyDescent="0.2">
      <c r="A705" s="30"/>
      <c r="B705" s="30"/>
      <c r="C705" s="30"/>
      <c r="D705" s="30"/>
      <c r="E705" s="30"/>
      <c r="F705" s="30"/>
      <c r="G705" s="30"/>
      <c r="H705" s="30"/>
      <c r="I705" s="30"/>
      <c r="J705" s="65"/>
      <c r="K705" s="83"/>
      <c r="L705" s="30"/>
      <c r="M705" s="39"/>
    </row>
    <row r="706" spans="1:13" x14ac:dyDescent="0.2">
      <c r="A706" s="30"/>
      <c r="B706" s="30"/>
      <c r="C706" s="30"/>
      <c r="D706" s="30"/>
      <c r="E706" s="30"/>
      <c r="F706" s="30"/>
      <c r="G706" s="30"/>
      <c r="H706" s="30"/>
      <c r="I706" s="30"/>
      <c r="J706" s="65"/>
      <c r="K706" s="83"/>
      <c r="L706" s="30"/>
      <c r="M706" s="39"/>
    </row>
    <row r="707" spans="1:13" x14ac:dyDescent="0.2">
      <c r="A707" s="30"/>
      <c r="B707" s="30"/>
      <c r="C707" s="30"/>
      <c r="D707" s="30"/>
      <c r="E707" s="30"/>
      <c r="F707" s="30"/>
      <c r="G707" s="30"/>
      <c r="H707" s="30"/>
      <c r="I707" s="30"/>
      <c r="J707" s="65"/>
      <c r="K707" s="83"/>
      <c r="L707" s="30"/>
      <c r="M707" s="39"/>
    </row>
    <row r="708" spans="1:13" x14ac:dyDescent="0.2">
      <c r="A708" s="30"/>
      <c r="B708" s="30"/>
      <c r="C708" s="30"/>
      <c r="D708" s="30"/>
      <c r="E708" s="30"/>
      <c r="F708" s="30"/>
      <c r="G708" s="30"/>
      <c r="H708" s="30"/>
      <c r="I708" s="30"/>
      <c r="J708" s="65"/>
      <c r="K708" s="83"/>
      <c r="L708" s="30"/>
      <c r="M708" s="39"/>
    </row>
    <row r="709" spans="1:13" x14ac:dyDescent="0.2">
      <c r="A709" s="30"/>
      <c r="B709" s="30"/>
      <c r="C709" s="30"/>
      <c r="D709" s="30"/>
      <c r="E709" s="30"/>
      <c r="F709" s="30"/>
      <c r="G709" s="30"/>
      <c r="H709" s="30"/>
      <c r="I709" s="30"/>
      <c r="J709" s="65"/>
      <c r="K709" s="83"/>
      <c r="L709" s="30"/>
      <c r="M709" s="39"/>
    </row>
    <row r="710" spans="1:13" x14ac:dyDescent="0.2">
      <c r="A710" s="30"/>
      <c r="B710" s="30"/>
      <c r="C710" s="30"/>
      <c r="D710" s="30"/>
      <c r="E710" s="30"/>
      <c r="F710" s="30"/>
      <c r="G710" s="30"/>
      <c r="H710" s="30"/>
      <c r="I710" s="30"/>
      <c r="J710" s="65"/>
      <c r="K710" s="83"/>
      <c r="L710" s="30"/>
      <c r="M710" s="39"/>
    </row>
    <row r="711" spans="1:13" x14ac:dyDescent="0.2">
      <c r="A711" s="30"/>
      <c r="B711" s="30"/>
      <c r="C711" s="30"/>
      <c r="D711" s="30"/>
      <c r="E711" s="30"/>
      <c r="F711" s="30"/>
      <c r="G711" s="30"/>
      <c r="H711" s="30"/>
      <c r="I711" s="30"/>
      <c r="J711" s="65"/>
      <c r="K711" s="83"/>
      <c r="L711" s="30"/>
      <c r="M711" s="39"/>
    </row>
    <row r="712" spans="1:13" x14ac:dyDescent="0.2">
      <c r="A712" s="30"/>
      <c r="B712" s="30"/>
      <c r="C712" s="30"/>
      <c r="D712" s="30"/>
      <c r="E712" s="30"/>
      <c r="F712" s="30"/>
      <c r="G712" s="30"/>
      <c r="H712" s="30"/>
      <c r="I712" s="30"/>
      <c r="J712" s="65"/>
      <c r="K712" s="83"/>
      <c r="L712" s="30"/>
      <c r="M712" s="39"/>
    </row>
    <row r="713" spans="1:13" x14ac:dyDescent="0.2">
      <c r="A713" s="30"/>
      <c r="B713" s="30"/>
      <c r="C713" s="30"/>
      <c r="D713" s="30"/>
      <c r="E713" s="30"/>
      <c r="F713" s="30"/>
      <c r="G713" s="30"/>
      <c r="H713" s="30"/>
      <c r="I713" s="30"/>
      <c r="J713" s="65"/>
      <c r="K713" s="83"/>
      <c r="L713" s="30"/>
      <c r="M713" s="39"/>
    </row>
    <row r="714" spans="1:13" x14ac:dyDescent="0.2">
      <c r="A714" s="30"/>
      <c r="B714" s="30"/>
      <c r="C714" s="30"/>
      <c r="D714" s="30"/>
      <c r="E714" s="30"/>
      <c r="F714" s="30"/>
      <c r="G714" s="30"/>
      <c r="H714" s="30"/>
      <c r="I714" s="30"/>
      <c r="J714" s="65"/>
      <c r="K714" s="83"/>
      <c r="L714" s="30"/>
      <c r="M714" s="39"/>
    </row>
    <row r="715" spans="1:13" x14ac:dyDescent="0.2">
      <c r="A715" s="30"/>
      <c r="B715" s="30"/>
      <c r="C715" s="30"/>
      <c r="D715" s="30"/>
      <c r="E715" s="30"/>
      <c r="F715" s="30"/>
      <c r="G715" s="30"/>
      <c r="H715" s="30"/>
      <c r="I715" s="30"/>
      <c r="J715" s="65"/>
      <c r="K715" s="83"/>
      <c r="L715" s="30"/>
      <c r="M715" s="39"/>
    </row>
    <row r="716" spans="1:13" x14ac:dyDescent="0.2">
      <c r="A716" s="30"/>
      <c r="B716" s="30"/>
      <c r="C716" s="30"/>
      <c r="D716" s="30"/>
      <c r="E716" s="30"/>
      <c r="F716" s="30"/>
      <c r="G716" s="30"/>
      <c r="H716" s="30"/>
      <c r="I716" s="30"/>
      <c r="J716" s="65"/>
      <c r="K716" s="83"/>
      <c r="L716" s="30"/>
      <c r="M716" s="39"/>
    </row>
    <row r="717" spans="1:13" x14ac:dyDescent="0.2">
      <c r="A717" s="30"/>
      <c r="B717" s="30"/>
      <c r="C717" s="30"/>
      <c r="D717" s="30"/>
      <c r="E717" s="30"/>
      <c r="F717" s="30"/>
      <c r="G717" s="30"/>
      <c r="H717" s="30"/>
      <c r="I717" s="30"/>
      <c r="J717" s="65"/>
      <c r="K717" s="83"/>
      <c r="L717" s="30"/>
      <c r="M717" s="39"/>
    </row>
    <row r="718" spans="1:13" x14ac:dyDescent="0.2">
      <c r="A718" s="30"/>
      <c r="B718" s="30"/>
      <c r="C718" s="30"/>
      <c r="D718" s="30"/>
      <c r="E718" s="30"/>
      <c r="F718" s="30"/>
      <c r="G718" s="30"/>
      <c r="H718" s="30"/>
      <c r="I718" s="30"/>
      <c r="J718" s="65"/>
      <c r="K718" s="83"/>
      <c r="L718" s="30"/>
      <c r="M718" s="39"/>
    </row>
    <row r="719" spans="1:13" x14ac:dyDescent="0.2">
      <c r="A719" s="30"/>
      <c r="B719" s="30"/>
      <c r="C719" s="30"/>
      <c r="D719" s="30"/>
      <c r="E719" s="30"/>
      <c r="F719" s="30"/>
      <c r="G719" s="30"/>
      <c r="H719" s="30"/>
      <c r="I719" s="30"/>
      <c r="J719" s="65"/>
      <c r="K719" s="83"/>
      <c r="L719" s="30"/>
      <c r="M719" s="39"/>
    </row>
    <row r="720" spans="1:13" x14ac:dyDescent="0.2">
      <c r="A720" s="30"/>
      <c r="B720" s="30"/>
      <c r="C720" s="30"/>
      <c r="D720" s="30"/>
      <c r="E720" s="30"/>
      <c r="F720" s="30"/>
      <c r="G720" s="30"/>
      <c r="H720" s="30"/>
      <c r="I720" s="30"/>
      <c r="J720" s="65"/>
      <c r="K720" s="83"/>
      <c r="L720" s="30"/>
      <c r="M720" s="39"/>
    </row>
    <row r="721" spans="1:13" x14ac:dyDescent="0.2">
      <c r="A721" s="30"/>
      <c r="B721" s="30"/>
      <c r="C721" s="30"/>
      <c r="D721" s="30"/>
      <c r="E721" s="30"/>
      <c r="F721" s="30"/>
      <c r="G721" s="30"/>
      <c r="H721" s="30"/>
      <c r="I721" s="30"/>
      <c r="J721" s="65"/>
      <c r="K721" s="83"/>
      <c r="L721" s="30"/>
      <c r="M721" s="39"/>
    </row>
    <row r="722" spans="1:13" x14ac:dyDescent="0.2">
      <c r="A722" s="30"/>
      <c r="B722" s="30"/>
      <c r="C722" s="30"/>
      <c r="D722" s="30"/>
      <c r="E722" s="30"/>
      <c r="F722" s="30"/>
      <c r="G722" s="30"/>
      <c r="H722" s="30"/>
      <c r="I722" s="30"/>
      <c r="J722" s="65"/>
      <c r="K722" s="83"/>
      <c r="L722" s="30"/>
      <c r="M722" s="39"/>
    </row>
    <row r="723" spans="1:13" x14ac:dyDescent="0.2">
      <c r="A723" s="30"/>
      <c r="B723" s="30"/>
      <c r="C723" s="30"/>
      <c r="D723" s="30"/>
      <c r="E723" s="30"/>
      <c r="F723" s="30"/>
      <c r="G723" s="30"/>
      <c r="H723" s="30"/>
      <c r="I723" s="30"/>
      <c r="J723" s="65"/>
      <c r="K723" s="83"/>
      <c r="L723" s="30"/>
      <c r="M723" s="39"/>
    </row>
    <row r="724" spans="1:13" x14ac:dyDescent="0.2">
      <c r="A724" s="30"/>
      <c r="B724" s="30"/>
      <c r="C724" s="30"/>
      <c r="D724" s="30"/>
      <c r="E724" s="30"/>
      <c r="F724" s="30"/>
      <c r="G724" s="30"/>
      <c r="H724" s="30"/>
      <c r="I724" s="30"/>
      <c r="J724" s="65"/>
      <c r="K724" s="83"/>
      <c r="L724" s="30"/>
      <c r="M724" s="39"/>
    </row>
    <row r="725" spans="1:13" x14ac:dyDescent="0.2">
      <c r="A725" s="30"/>
      <c r="B725" s="30"/>
      <c r="C725" s="30"/>
      <c r="D725" s="30"/>
      <c r="E725" s="30"/>
      <c r="F725" s="30"/>
      <c r="G725" s="30"/>
      <c r="H725" s="30"/>
      <c r="I725" s="30"/>
      <c r="J725" s="65"/>
      <c r="K725" s="83"/>
      <c r="L725" s="30"/>
      <c r="M725" s="39"/>
    </row>
    <row r="726" spans="1:13" x14ac:dyDescent="0.2">
      <c r="A726" s="30"/>
      <c r="B726" s="30"/>
      <c r="C726" s="30"/>
      <c r="D726" s="30"/>
      <c r="E726" s="30"/>
      <c r="F726" s="30"/>
      <c r="G726" s="30"/>
      <c r="H726" s="30"/>
      <c r="I726" s="30"/>
      <c r="J726" s="65"/>
      <c r="K726" s="83"/>
      <c r="L726" s="30"/>
      <c r="M726" s="39"/>
    </row>
    <row r="727" spans="1:13" x14ac:dyDescent="0.2">
      <c r="A727" s="30"/>
      <c r="B727" s="30"/>
      <c r="C727" s="30"/>
      <c r="D727" s="30"/>
      <c r="E727" s="30"/>
      <c r="F727" s="30"/>
      <c r="G727" s="30"/>
      <c r="H727" s="30"/>
      <c r="I727" s="30"/>
      <c r="J727" s="65"/>
      <c r="K727" s="83"/>
      <c r="L727" s="30"/>
      <c r="M727" s="39"/>
    </row>
    <row r="728" spans="1:13" x14ac:dyDescent="0.2">
      <c r="A728" s="30"/>
      <c r="B728" s="30"/>
      <c r="C728" s="30"/>
      <c r="D728" s="30"/>
      <c r="E728" s="30"/>
      <c r="F728" s="30"/>
      <c r="G728" s="30"/>
      <c r="H728" s="30"/>
      <c r="I728" s="30"/>
      <c r="J728" s="65"/>
      <c r="K728" s="83"/>
      <c r="L728" s="30"/>
      <c r="M728" s="39"/>
    </row>
    <row r="729" spans="1:13" x14ac:dyDescent="0.2">
      <c r="A729" s="30"/>
      <c r="B729" s="30"/>
      <c r="C729" s="30"/>
      <c r="D729" s="30"/>
      <c r="E729" s="30"/>
      <c r="F729" s="30"/>
      <c r="G729" s="30"/>
      <c r="H729" s="30"/>
      <c r="I729" s="30"/>
      <c r="J729" s="65"/>
      <c r="K729" s="83"/>
      <c r="L729" s="30"/>
      <c r="M729" s="39"/>
    </row>
    <row r="730" spans="1:13" x14ac:dyDescent="0.2">
      <c r="A730" s="30"/>
      <c r="B730" s="30"/>
      <c r="C730" s="30"/>
      <c r="D730" s="30"/>
      <c r="E730" s="30"/>
      <c r="F730" s="30"/>
      <c r="G730" s="30"/>
      <c r="H730" s="30"/>
      <c r="I730" s="30"/>
      <c r="J730" s="65"/>
      <c r="K730" s="83"/>
      <c r="L730" s="30"/>
      <c r="M730" s="39"/>
    </row>
    <row r="731" spans="1:13" x14ac:dyDescent="0.2">
      <c r="A731" s="30"/>
      <c r="B731" s="30"/>
      <c r="C731" s="30"/>
      <c r="D731" s="30"/>
      <c r="E731" s="30"/>
      <c r="F731" s="30"/>
      <c r="G731" s="30"/>
      <c r="H731" s="30"/>
      <c r="I731" s="30"/>
      <c r="J731" s="65"/>
      <c r="K731" s="83"/>
      <c r="L731" s="30"/>
      <c r="M731" s="39"/>
    </row>
    <row r="732" spans="1:13" x14ac:dyDescent="0.2">
      <c r="A732" s="30"/>
      <c r="B732" s="30"/>
      <c r="C732" s="30"/>
      <c r="D732" s="30"/>
      <c r="E732" s="30"/>
      <c r="F732" s="30"/>
      <c r="G732" s="30"/>
      <c r="H732" s="30"/>
      <c r="I732" s="30"/>
      <c r="J732" s="65"/>
      <c r="K732" s="83"/>
      <c r="L732" s="30"/>
      <c r="M732" s="39"/>
    </row>
    <row r="733" spans="1:13" x14ac:dyDescent="0.2">
      <c r="A733" s="30"/>
      <c r="B733" s="30"/>
      <c r="C733" s="30"/>
      <c r="D733" s="30"/>
      <c r="E733" s="30"/>
      <c r="F733" s="30"/>
      <c r="G733" s="30"/>
      <c r="H733" s="30"/>
      <c r="I733" s="30"/>
      <c r="J733" s="65"/>
      <c r="K733" s="83"/>
      <c r="L733" s="30"/>
      <c r="M733" s="39"/>
    </row>
    <row r="734" spans="1:13" x14ac:dyDescent="0.2">
      <c r="A734" s="30"/>
      <c r="B734" s="30"/>
      <c r="C734" s="30"/>
      <c r="D734" s="30"/>
      <c r="E734" s="30"/>
      <c r="F734" s="30"/>
      <c r="G734" s="30"/>
      <c r="H734" s="30"/>
      <c r="I734" s="30"/>
      <c r="J734" s="65"/>
      <c r="K734" s="83"/>
      <c r="L734" s="30"/>
      <c r="M734" s="39"/>
    </row>
    <row r="735" spans="1:13" x14ac:dyDescent="0.2">
      <c r="A735" s="30"/>
      <c r="B735" s="30"/>
      <c r="C735" s="30"/>
      <c r="D735" s="30"/>
      <c r="E735" s="30"/>
      <c r="F735" s="30"/>
      <c r="G735" s="30"/>
      <c r="H735" s="30"/>
      <c r="I735" s="30"/>
      <c r="J735" s="65"/>
      <c r="K735" s="83"/>
      <c r="L735" s="30"/>
      <c r="M735" s="39"/>
    </row>
    <row r="736" spans="1:13" x14ac:dyDescent="0.2">
      <c r="A736" s="30"/>
      <c r="B736" s="30"/>
      <c r="C736" s="30"/>
      <c r="D736" s="30"/>
      <c r="E736" s="30"/>
      <c r="F736" s="30"/>
      <c r="G736" s="30"/>
      <c r="H736" s="30"/>
      <c r="I736" s="30"/>
      <c r="J736" s="65"/>
      <c r="K736" s="83"/>
      <c r="L736" s="30"/>
      <c r="M736" s="39"/>
    </row>
    <row r="737" spans="1:13" x14ac:dyDescent="0.2">
      <c r="A737" s="30"/>
      <c r="B737" s="30"/>
      <c r="C737" s="30"/>
      <c r="D737" s="30"/>
      <c r="E737" s="30"/>
      <c r="F737" s="30"/>
      <c r="G737" s="30"/>
      <c r="H737" s="30"/>
      <c r="I737" s="30"/>
      <c r="J737" s="65"/>
      <c r="K737" s="83"/>
      <c r="L737" s="30"/>
      <c r="M737" s="39"/>
    </row>
    <row r="738" spans="1:13" x14ac:dyDescent="0.2">
      <c r="A738" s="30"/>
      <c r="B738" s="30"/>
      <c r="C738" s="30"/>
      <c r="D738" s="30"/>
      <c r="E738" s="30"/>
      <c r="F738" s="30"/>
      <c r="G738" s="30"/>
      <c r="H738" s="30"/>
      <c r="I738" s="30"/>
      <c r="J738" s="65"/>
      <c r="K738" s="83"/>
      <c r="L738" s="30"/>
      <c r="M738" s="39"/>
    </row>
    <row r="739" spans="1:13" x14ac:dyDescent="0.2">
      <c r="A739" s="30"/>
      <c r="B739" s="30"/>
      <c r="C739" s="30"/>
      <c r="D739" s="30"/>
      <c r="E739" s="30"/>
      <c r="F739" s="30"/>
      <c r="G739" s="30"/>
      <c r="H739" s="30"/>
      <c r="I739" s="30"/>
      <c r="J739" s="65"/>
      <c r="K739" s="83"/>
      <c r="L739" s="30"/>
      <c r="M739" s="39"/>
    </row>
    <row r="740" spans="1:13" x14ac:dyDescent="0.2">
      <c r="A740" s="30"/>
      <c r="B740" s="30"/>
      <c r="C740" s="30"/>
      <c r="D740" s="30"/>
      <c r="E740" s="30"/>
      <c r="F740" s="30"/>
      <c r="G740" s="30"/>
      <c r="H740" s="30"/>
      <c r="I740" s="30"/>
      <c r="J740" s="65"/>
      <c r="K740" s="83"/>
      <c r="L740" s="30"/>
      <c r="M740" s="39"/>
    </row>
    <row r="741" spans="1:13" x14ac:dyDescent="0.2">
      <c r="A741" s="30"/>
      <c r="B741" s="30"/>
      <c r="C741" s="30"/>
      <c r="D741" s="30"/>
      <c r="E741" s="30"/>
      <c r="F741" s="30"/>
      <c r="G741" s="30"/>
      <c r="H741" s="30"/>
      <c r="I741" s="30"/>
      <c r="J741" s="65"/>
      <c r="K741" s="83"/>
      <c r="L741" s="30"/>
      <c r="M741" s="39"/>
    </row>
    <row r="742" spans="1:13" x14ac:dyDescent="0.2">
      <c r="A742" s="30"/>
      <c r="B742" s="30"/>
      <c r="C742" s="30"/>
      <c r="D742" s="30"/>
      <c r="E742" s="30"/>
      <c r="F742" s="30"/>
      <c r="G742" s="30"/>
      <c r="H742" s="30"/>
      <c r="I742" s="30"/>
      <c r="J742" s="65"/>
      <c r="K742" s="83"/>
      <c r="L742" s="30"/>
      <c r="M742" s="39"/>
    </row>
    <row r="743" spans="1:13" x14ac:dyDescent="0.2">
      <c r="A743" s="30"/>
      <c r="B743" s="30"/>
      <c r="C743" s="30"/>
      <c r="D743" s="30"/>
      <c r="E743" s="30"/>
      <c r="F743" s="30"/>
      <c r="G743" s="30"/>
      <c r="H743" s="30"/>
      <c r="I743" s="30"/>
      <c r="J743" s="65"/>
      <c r="K743" s="83"/>
      <c r="L743" s="30"/>
      <c r="M743" s="39"/>
    </row>
    <row r="744" spans="1:13" x14ac:dyDescent="0.2">
      <c r="A744" s="30"/>
      <c r="B744" s="30"/>
      <c r="C744" s="30"/>
      <c r="D744" s="30"/>
      <c r="E744" s="30"/>
      <c r="F744" s="30"/>
      <c r="G744" s="30"/>
      <c r="H744" s="30"/>
      <c r="I744" s="30"/>
      <c r="J744" s="65"/>
      <c r="K744" s="83"/>
      <c r="L744" s="30"/>
      <c r="M744" s="39"/>
    </row>
    <row r="745" spans="1:13" x14ac:dyDescent="0.2">
      <c r="A745" s="30"/>
      <c r="B745" s="30"/>
      <c r="C745" s="30"/>
      <c r="D745" s="30"/>
      <c r="E745" s="30"/>
      <c r="F745" s="30"/>
      <c r="G745" s="30"/>
      <c r="H745" s="30"/>
      <c r="I745" s="30"/>
      <c r="J745" s="65"/>
      <c r="K745" s="83"/>
      <c r="L745" s="30"/>
      <c r="M745" s="39"/>
    </row>
    <row r="746" spans="1:13" x14ac:dyDescent="0.2">
      <c r="A746" s="30"/>
      <c r="B746" s="30"/>
      <c r="C746" s="30"/>
      <c r="D746" s="30"/>
      <c r="E746" s="30"/>
      <c r="F746" s="30"/>
      <c r="G746" s="30"/>
      <c r="H746" s="30"/>
      <c r="I746" s="30"/>
      <c r="J746" s="65"/>
      <c r="K746" s="83"/>
      <c r="L746" s="30"/>
      <c r="M746" s="39"/>
    </row>
    <row r="747" spans="1:13" x14ac:dyDescent="0.2">
      <c r="A747" s="30"/>
      <c r="B747" s="30"/>
      <c r="C747" s="30"/>
      <c r="D747" s="30"/>
      <c r="E747" s="30"/>
      <c r="F747" s="30"/>
      <c r="G747" s="30"/>
      <c r="H747" s="30"/>
      <c r="I747" s="30"/>
      <c r="J747" s="65"/>
      <c r="K747" s="83"/>
      <c r="L747" s="30"/>
      <c r="M747" s="39"/>
    </row>
    <row r="748" spans="1:13" x14ac:dyDescent="0.2">
      <c r="A748" s="30"/>
      <c r="B748" s="30"/>
      <c r="C748" s="30"/>
      <c r="D748" s="30"/>
      <c r="E748" s="30"/>
      <c r="F748" s="30"/>
      <c r="G748" s="30"/>
      <c r="H748" s="30"/>
      <c r="I748" s="30"/>
      <c r="J748" s="65"/>
      <c r="K748" s="83"/>
      <c r="L748" s="30"/>
      <c r="M748" s="39"/>
    </row>
    <row r="749" spans="1:13" x14ac:dyDescent="0.2">
      <c r="A749" s="30"/>
      <c r="B749" s="30"/>
      <c r="C749" s="30"/>
      <c r="D749" s="30"/>
      <c r="E749" s="30"/>
      <c r="F749" s="30"/>
      <c r="G749" s="30"/>
      <c r="H749" s="30"/>
      <c r="I749" s="30"/>
      <c r="J749" s="65"/>
      <c r="K749" s="83"/>
      <c r="L749" s="30"/>
      <c r="M749" s="39"/>
    </row>
    <row r="750" spans="1:13" x14ac:dyDescent="0.2">
      <c r="A750" s="30"/>
      <c r="B750" s="30"/>
      <c r="C750" s="30"/>
      <c r="D750" s="30"/>
      <c r="E750" s="30"/>
      <c r="F750" s="30"/>
      <c r="G750" s="30"/>
      <c r="H750" s="30"/>
      <c r="I750" s="30"/>
      <c r="J750" s="65"/>
      <c r="K750" s="83"/>
      <c r="L750" s="30"/>
      <c r="M750" s="39"/>
    </row>
    <row r="751" spans="1:13" x14ac:dyDescent="0.2">
      <c r="A751" s="30"/>
      <c r="B751" s="30"/>
      <c r="C751" s="30"/>
      <c r="D751" s="30"/>
      <c r="E751" s="30"/>
      <c r="F751" s="30"/>
      <c r="G751" s="30"/>
      <c r="H751" s="30"/>
      <c r="I751" s="30"/>
      <c r="J751" s="65"/>
      <c r="K751" s="83"/>
      <c r="L751" s="30"/>
      <c r="M751" s="39"/>
    </row>
    <row r="752" spans="1:13" x14ac:dyDescent="0.2">
      <c r="A752" s="30"/>
      <c r="B752" s="30"/>
      <c r="C752" s="30"/>
      <c r="D752" s="30"/>
      <c r="E752" s="30"/>
      <c r="F752" s="30"/>
      <c r="G752" s="30"/>
      <c r="H752" s="30"/>
      <c r="I752" s="30"/>
      <c r="J752" s="65"/>
      <c r="K752" s="83"/>
      <c r="L752" s="30"/>
      <c r="M752" s="39"/>
    </row>
    <row r="753" spans="1:13" x14ac:dyDescent="0.2">
      <c r="A753" s="30"/>
      <c r="B753" s="30"/>
      <c r="C753" s="30"/>
      <c r="D753" s="30"/>
      <c r="E753" s="30"/>
      <c r="F753" s="30"/>
      <c r="G753" s="30"/>
      <c r="H753" s="30"/>
      <c r="I753" s="30"/>
      <c r="J753" s="65"/>
      <c r="K753" s="83"/>
      <c r="L753" s="30"/>
      <c r="M753" s="39"/>
    </row>
    <row r="754" spans="1:13" x14ac:dyDescent="0.2">
      <c r="A754" s="30"/>
      <c r="B754" s="30"/>
      <c r="C754" s="30"/>
      <c r="D754" s="30"/>
      <c r="E754" s="30"/>
      <c r="F754" s="30"/>
      <c r="G754" s="30"/>
      <c r="H754" s="30"/>
      <c r="I754" s="30"/>
      <c r="J754" s="65"/>
      <c r="K754" s="83"/>
      <c r="L754" s="30"/>
      <c r="M754" s="39"/>
    </row>
    <row r="755" spans="1:13" x14ac:dyDescent="0.2">
      <c r="A755" s="30"/>
      <c r="B755" s="30"/>
      <c r="C755" s="30"/>
      <c r="D755" s="30"/>
      <c r="E755" s="30"/>
      <c r="F755" s="30"/>
      <c r="G755" s="30"/>
      <c r="H755" s="30"/>
      <c r="I755" s="30"/>
      <c r="J755" s="65"/>
      <c r="K755" s="83"/>
      <c r="L755" s="30"/>
      <c r="M755" s="39"/>
    </row>
    <row r="756" spans="1:13" x14ac:dyDescent="0.2">
      <c r="A756" s="30"/>
      <c r="B756" s="30"/>
      <c r="C756" s="30"/>
      <c r="D756" s="30"/>
      <c r="E756" s="30"/>
      <c r="F756" s="30"/>
      <c r="G756" s="30"/>
      <c r="H756" s="30"/>
      <c r="I756" s="30"/>
      <c r="J756" s="65"/>
      <c r="K756" s="83"/>
      <c r="L756" s="30"/>
      <c r="M756" s="39"/>
    </row>
    <row r="757" spans="1:13" x14ac:dyDescent="0.2">
      <c r="A757" s="30"/>
      <c r="B757" s="30"/>
      <c r="C757" s="30"/>
      <c r="D757" s="30"/>
      <c r="E757" s="30"/>
      <c r="F757" s="30"/>
      <c r="G757" s="30"/>
      <c r="H757" s="30"/>
      <c r="I757" s="30"/>
      <c r="J757" s="65"/>
      <c r="K757" s="83"/>
      <c r="L757" s="30"/>
      <c r="M757" s="39"/>
    </row>
    <row r="758" spans="1:13" x14ac:dyDescent="0.2">
      <c r="A758" s="30"/>
      <c r="B758" s="30"/>
      <c r="C758" s="30"/>
      <c r="D758" s="30"/>
      <c r="E758" s="30"/>
      <c r="F758" s="30"/>
      <c r="G758" s="30"/>
      <c r="H758" s="30"/>
      <c r="I758" s="30"/>
      <c r="J758" s="65"/>
      <c r="K758" s="83"/>
      <c r="L758" s="30"/>
      <c r="M758" s="39"/>
    </row>
    <row r="759" spans="1:13" x14ac:dyDescent="0.2">
      <c r="A759" s="30"/>
      <c r="B759" s="30"/>
      <c r="C759" s="30"/>
      <c r="D759" s="30"/>
      <c r="E759" s="30"/>
      <c r="F759" s="30"/>
      <c r="G759" s="30"/>
      <c r="H759" s="30"/>
      <c r="I759" s="30"/>
      <c r="J759" s="65"/>
      <c r="K759" s="83"/>
      <c r="L759" s="30"/>
      <c r="M759" s="39"/>
    </row>
    <row r="760" spans="1:13" x14ac:dyDescent="0.2">
      <c r="A760" s="30"/>
      <c r="B760" s="30"/>
      <c r="C760" s="30"/>
      <c r="D760" s="30"/>
      <c r="E760" s="30"/>
      <c r="F760" s="30"/>
      <c r="G760" s="30"/>
      <c r="H760" s="30"/>
      <c r="I760" s="30"/>
      <c r="J760" s="65"/>
      <c r="K760" s="83"/>
      <c r="L760" s="30"/>
      <c r="M760" s="39"/>
    </row>
    <row r="761" spans="1:13" x14ac:dyDescent="0.2">
      <c r="A761" s="30"/>
      <c r="B761" s="30"/>
      <c r="C761" s="30"/>
      <c r="D761" s="30"/>
      <c r="E761" s="30"/>
      <c r="F761" s="30"/>
      <c r="G761" s="30"/>
      <c r="H761" s="30"/>
      <c r="I761" s="30"/>
      <c r="J761" s="65"/>
      <c r="K761" s="83"/>
      <c r="L761" s="30"/>
      <c r="M761" s="39"/>
    </row>
    <row r="762" spans="1:13" x14ac:dyDescent="0.2">
      <c r="A762" s="30"/>
      <c r="B762" s="30"/>
      <c r="C762" s="30"/>
      <c r="D762" s="30"/>
      <c r="E762" s="30"/>
      <c r="F762" s="30"/>
      <c r="G762" s="30"/>
      <c r="H762" s="30"/>
      <c r="I762" s="30"/>
      <c r="J762" s="65"/>
      <c r="K762" s="83"/>
      <c r="L762" s="30"/>
      <c r="M762" s="39"/>
    </row>
    <row r="763" spans="1:13" x14ac:dyDescent="0.2">
      <c r="A763" s="30"/>
      <c r="B763" s="30"/>
      <c r="C763" s="30"/>
      <c r="D763" s="30"/>
      <c r="E763" s="30"/>
      <c r="F763" s="30"/>
      <c r="G763" s="30"/>
      <c r="H763" s="30"/>
      <c r="I763" s="30"/>
      <c r="J763" s="65"/>
      <c r="K763" s="83"/>
      <c r="L763" s="30"/>
      <c r="M763" s="39"/>
    </row>
    <row r="764" spans="1:13" x14ac:dyDescent="0.2">
      <c r="A764" s="30"/>
      <c r="B764" s="30"/>
      <c r="C764" s="30"/>
      <c r="D764" s="30"/>
      <c r="E764" s="30"/>
      <c r="F764" s="30"/>
      <c r="G764" s="30"/>
      <c r="H764" s="30"/>
      <c r="I764" s="30"/>
      <c r="J764" s="65"/>
      <c r="K764" s="83"/>
      <c r="L764" s="30"/>
      <c r="M764" s="39"/>
    </row>
    <row r="765" spans="1:13" x14ac:dyDescent="0.2">
      <c r="A765" s="30"/>
      <c r="B765" s="30"/>
      <c r="C765" s="30"/>
      <c r="D765" s="30"/>
      <c r="E765" s="30"/>
      <c r="F765" s="30"/>
      <c r="G765" s="30"/>
      <c r="H765" s="30"/>
      <c r="I765" s="30"/>
      <c r="J765" s="65"/>
      <c r="K765" s="83"/>
      <c r="L765" s="30"/>
      <c r="M765" s="39"/>
    </row>
    <row r="766" spans="1:13" x14ac:dyDescent="0.2">
      <c r="A766" s="30"/>
      <c r="B766" s="30"/>
      <c r="C766" s="30"/>
      <c r="D766" s="30"/>
      <c r="E766" s="30"/>
      <c r="F766" s="30"/>
      <c r="G766" s="30"/>
      <c r="H766" s="30"/>
      <c r="I766" s="30"/>
      <c r="J766" s="65"/>
      <c r="K766" s="83"/>
      <c r="L766" s="30"/>
      <c r="M766" s="39"/>
    </row>
    <row r="767" spans="1:13" x14ac:dyDescent="0.2">
      <c r="A767" s="30"/>
      <c r="B767" s="30"/>
      <c r="C767" s="30"/>
      <c r="D767" s="30"/>
      <c r="E767" s="30"/>
      <c r="F767" s="30"/>
      <c r="G767" s="30"/>
      <c r="H767" s="30"/>
      <c r="I767" s="30"/>
      <c r="J767" s="65"/>
      <c r="K767" s="83"/>
      <c r="L767" s="30"/>
      <c r="M767" s="39"/>
    </row>
    <row r="768" spans="1:13" x14ac:dyDescent="0.2">
      <c r="A768" s="30"/>
      <c r="B768" s="30"/>
      <c r="C768" s="30"/>
      <c r="D768" s="30"/>
      <c r="E768" s="30"/>
      <c r="F768" s="30"/>
      <c r="G768" s="30"/>
      <c r="H768" s="30"/>
      <c r="I768" s="30"/>
      <c r="J768" s="65"/>
      <c r="K768" s="83"/>
      <c r="L768" s="30"/>
      <c r="M768" s="39"/>
    </row>
    <row r="769" spans="1:13" x14ac:dyDescent="0.2">
      <c r="A769" s="30"/>
      <c r="B769" s="30"/>
      <c r="C769" s="30"/>
      <c r="D769" s="30"/>
      <c r="E769" s="30"/>
      <c r="F769" s="30"/>
      <c r="G769" s="30"/>
      <c r="H769" s="30"/>
      <c r="I769" s="30"/>
      <c r="J769" s="65"/>
      <c r="K769" s="83"/>
      <c r="L769" s="30"/>
      <c r="M769" s="39"/>
    </row>
    <row r="770" spans="1:13" x14ac:dyDescent="0.2">
      <c r="A770" s="30"/>
      <c r="B770" s="30"/>
      <c r="C770" s="30"/>
      <c r="D770" s="30"/>
      <c r="E770" s="30"/>
      <c r="F770" s="30"/>
      <c r="G770" s="30"/>
      <c r="H770" s="30"/>
      <c r="I770" s="30"/>
      <c r="J770" s="65"/>
      <c r="K770" s="83"/>
      <c r="L770" s="30"/>
      <c r="M770" s="39"/>
    </row>
    <row r="771" spans="1:13" x14ac:dyDescent="0.2">
      <c r="A771" s="30"/>
      <c r="B771" s="30"/>
      <c r="C771" s="30"/>
      <c r="D771" s="30"/>
      <c r="E771" s="30"/>
      <c r="F771" s="30"/>
      <c r="G771" s="30"/>
      <c r="H771" s="30"/>
      <c r="I771" s="30"/>
      <c r="J771" s="65"/>
      <c r="K771" s="83"/>
      <c r="L771" s="30"/>
      <c r="M771" s="39"/>
    </row>
    <row r="772" spans="1:13" x14ac:dyDescent="0.2">
      <c r="A772" s="30"/>
      <c r="B772" s="30"/>
      <c r="C772" s="30"/>
      <c r="D772" s="30"/>
      <c r="E772" s="30"/>
      <c r="F772" s="30"/>
      <c r="G772" s="30"/>
      <c r="H772" s="30"/>
      <c r="I772" s="30"/>
      <c r="J772" s="65"/>
      <c r="K772" s="83"/>
      <c r="L772" s="30"/>
      <c r="M772" s="39"/>
    </row>
    <row r="773" spans="1:13" x14ac:dyDescent="0.2">
      <c r="A773" s="30"/>
      <c r="B773" s="30"/>
      <c r="C773" s="30"/>
      <c r="D773" s="30"/>
      <c r="E773" s="30"/>
      <c r="F773" s="30"/>
      <c r="G773" s="30"/>
      <c r="H773" s="30"/>
      <c r="I773" s="30"/>
      <c r="J773" s="65"/>
      <c r="K773" s="83"/>
      <c r="L773" s="30"/>
      <c r="M773" s="39"/>
    </row>
    <row r="774" spans="1:13" x14ac:dyDescent="0.2">
      <c r="A774" s="30"/>
      <c r="B774" s="30"/>
      <c r="C774" s="30"/>
      <c r="D774" s="30"/>
      <c r="E774" s="30"/>
      <c r="F774" s="30"/>
      <c r="G774" s="30"/>
      <c r="H774" s="30"/>
      <c r="I774" s="30"/>
      <c r="J774" s="65"/>
      <c r="K774" s="83"/>
      <c r="L774" s="30"/>
      <c r="M774" s="39"/>
    </row>
    <row r="775" spans="1:13" x14ac:dyDescent="0.2">
      <c r="A775" s="30"/>
      <c r="B775" s="30"/>
      <c r="C775" s="30"/>
      <c r="D775" s="30"/>
      <c r="E775" s="30"/>
      <c r="F775" s="30"/>
      <c r="G775" s="30"/>
      <c r="H775" s="30"/>
      <c r="I775" s="30"/>
      <c r="J775" s="65"/>
      <c r="K775" s="83"/>
      <c r="L775" s="30"/>
      <c r="M775" s="39"/>
    </row>
    <row r="776" spans="1:13" x14ac:dyDescent="0.2">
      <c r="A776" s="30"/>
      <c r="B776" s="30"/>
      <c r="C776" s="30"/>
      <c r="D776" s="30"/>
      <c r="E776" s="30"/>
      <c r="F776" s="30"/>
      <c r="G776" s="30"/>
      <c r="H776" s="30"/>
      <c r="I776" s="30"/>
      <c r="J776" s="65"/>
      <c r="K776" s="83"/>
      <c r="L776" s="30"/>
      <c r="M776" s="39"/>
    </row>
    <row r="777" spans="1:13" x14ac:dyDescent="0.2">
      <c r="A777" s="30"/>
      <c r="B777" s="30"/>
      <c r="C777" s="30"/>
      <c r="D777" s="30"/>
      <c r="E777" s="30"/>
      <c r="F777" s="30"/>
      <c r="G777" s="30"/>
      <c r="H777" s="30"/>
      <c r="I777" s="30"/>
      <c r="J777" s="65"/>
      <c r="K777" s="83"/>
      <c r="L777" s="30"/>
      <c r="M777" s="39"/>
    </row>
    <row r="778" spans="1:13" x14ac:dyDescent="0.2">
      <c r="A778" s="30"/>
      <c r="B778" s="30"/>
      <c r="C778" s="30"/>
      <c r="D778" s="30"/>
      <c r="E778" s="30"/>
      <c r="F778" s="30"/>
      <c r="G778" s="30"/>
      <c r="H778" s="30"/>
      <c r="I778" s="30"/>
      <c r="J778" s="65"/>
      <c r="K778" s="83"/>
      <c r="L778" s="30"/>
      <c r="M778" s="39"/>
    </row>
    <row r="779" spans="1:13" x14ac:dyDescent="0.2">
      <c r="A779" s="30"/>
      <c r="B779" s="30"/>
      <c r="C779" s="30"/>
      <c r="D779" s="30"/>
      <c r="E779" s="30"/>
      <c r="F779" s="30"/>
      <c r="G779" s="30"/>
      <c r="H779" s="30"/>
      <c r="I779" s="30"/>
      <c r="J779" s="65"/>
      <c r="K779" s="83"/>
      <c r="L779" s="30"/>
      <c r="M779" s="39"/>
    </row>
    <row r="780" spans="1:13" x14ac:dyDescent="0.2">
      <c r="A780" s="30"/>
      <c r="B780" s="30"/>
      <c r="C780" s="30"/>
      <c r="D780" s="30"/>
      <c r="E780" s="30"/>
      <c r="F780" s="30"/>
      <c r="G780" s="30"/>
      <c r="H780" s="30"/>
      <c r="I780" s="30"/>
      <c r="J780" s="65"/>
      <c r="K780" s="83"/>
      <c r="L780" s="30"/>
      <c r="M780" s="39"/>
    </row>
    <row r="781" spans="1:13" x14ac:dyDescent="0.2">
      <c r="A781" s="30"/>
      <c r="B781" s="30"/>
      <c r="C781" s="30"/>
      <c r="D781" s="30"/>
      <c r="E781" s="30"/>
      <c r="F781" s="30"/>
      <c r="G781" s="30"/>
      <c r="H781" s="30"/>
      <c r="I781" s="30"/>
      <c r="J781" s="65"/>
      <c r="K781" s="83"/>
      <c r="L781" s="30"/>
      <c r="M781" s="39"/>
    </row>
    <row r="782" spans="1:13" x14ac:dyDescent="0.2">
      <c r="A782" s="30"/>
      <c r="B782" s="30"/>
      <c r="C782" s="30"/>
      <c r="D782" s="30"/>
      <c r="E782" s="30"/>
      <c r="F782" s="30"/>
      <c r="G782" s="30"/>
      <c r="H782" s="30"/>
      <c r="I782" s="30"/>
      <c r="J782" s="65"/>
      <c r="K782" s="83"/>
      <c r="L782" s="30"/>
      <c r="M782" s="39"/>
    </row>
    <row r="783" spans="1:13" x14ac:dyDescent="0.2">
      <c r="A783" s="30"/>
      <c r="B783" s="30"/>
      <c r="C783" s="30"/>
      <c r="D783" s="30"/>
      <c r="E783" s="30"/>
      <c r="F783" s="30"/>
      <c r="G783" s="30"/>
      <c r="H783" s="30"/>
      <c r="I783" s="30"/>
      <c r="J783" s="65"/>
      <c r="K783" s="83"/>
      <c r="L783" s="30"/>
      <c r="M783" s="39"/>
    </row>
    <row r="784" spans="1:13" x14ac:dyDescent="0.2">
      <c r="A784" s="30"/>
      <c r="B784" s="30"/>
      <c r="C784" s="30"/>
      <c r="D784" s="30"/>
      <c r="E784" s="30"/>
      <c r="F784" s="30"/>
      <c r="G784" s="30"/>
      <c r="H784" s="30"/>
      <c r="I784" s="30"/>
      <c r="J784" s="65"/>
      <c r="K784" s="83"/>
      <c r="L784" s="30"/>
      <c r="M784" s="39"/>
    </row>
    <row r="785" spans="1:13" x14ac:dyDescent="0.2">
      <c r="A785" s="30"/>
      <c r="B785" s="30"/>
      <c r="C785" s="30"/>
      <c r="D785" s="30"/>
      <c r="E785" s="30"/>
      <c r="F785" s="30"/>
      <c r="G785" s="30"/>
      <c r="H785" s="30"/>
      <c r="I785" s="30"/>
      <c r="J785" s="65"/>
      <c r="K785" s="83"/>
      <c r="L785" s="30"/>
      <c r="M785" s="39"/>
    </row>
    <row r="786" spans="1:13" x14ac:dyDescent="0.2">
      <c r="A786" s="30"/>
      <c r="B786" s="30"/>
      <c r="C786" s="30"/>
      <c r="D786" s="30"/>
      <c r="E786" s="30"/>
      <c r="F786" s="30"/>
      <c r="G786" s="30"/>
      <c r="H786" s="30"/>
      <c r="I786" s="30"/>
      <c r="J786" s="65"/>
      <c r="K786" s="83"/>
      <c r="L786" s="30"/>
      <c r="M786" s="39"/>
    </row>
    <row r="787" spans="1:13" x14ac:dyDescent="0.2">
      <c r="A787" s="30"/>
      <c r="B787" s="30"/>
      <c r="C787" s="30"/>
      <c r="D787" s="30"/>
      <c r="E787" s="30"/>
      <c r="F787" s="30"/>
      <c r="G787" s="30"/>
      <c r="H787" s="30"/>
      <c r="I787" s="30"/>
      <c r="J787" s="65"/>
      <c r="K787" s="83"/>
      <c r="L787" s="30"/>
      <c r="M787" s="39"/>
    </row>
    <row r="788" spans="1:13" x14ac:dyDescent="0.2">
      <c r="A788" s="30"/>
      <c r="B788" s="30"/>
      <c r="C788" s="30"/>
      <c r="D788" s="30"/>
      <c r="E788" s="30"/>
      <c r="F788" s="30"/>
      <c r="G788" s="30"/>
      <c r="H788" s="30"/>
      <c r="I788" s="30"/>
      <c r="J788" s="65"/>
      <c r="K788" s="83"/>
      <c r="L788" s="30"/>
      <c r="M788" s="39"/>
    </row>
    <row r="789" spans="1:13" x14ac:dyDescent="0.2">
      <c r="A789" s="30"/>
      <c r="B789" s="30"/>
      <c r="C789" s="30"/>
      <c r="D789" s="30"/>
      <c r="E789" s="30"/>
      <c r="F789" s="30"/>
      <c r="G789" s="30"/>
      <c r="H789" s="30"/>
      <c r="I789" s="30"/>
      <c r="J789" s="65"/>
      <c r="K789" s="83"/>
      <c r="L789" s="30"/>
      <c r="M789" s="39"/>
    </row>
    <row r="790" spans="1:13" x14ac:dyDescent="0.2">
      <c r="A790" s="30"/>
      <c r="B790" s="30"/>
      <c r="C790" s="30"/>
      <c r="D790" s="30"/>
      <c r="E790" s="30"/>
      <c r="F790" s="30"/>
      <c r="G790" s="30"/>
      <c r="H790" s="30"/>
      <c r="I790" s="30"/>
      <c r="J790" s="65"/>
      <c r="K790" s="83"/>
      <c r="L790" s="30"/>
      <c r="M790" s="39"/>
    </row>
    <row r="791" spans="1:13" x14ac:dyDescent="0.2">
      <c r="A791" s="30"/>
      <c r="B791" s="30"/>
      <c r="C791" s="30"/>
      <c r="D791" s="30"/>
      <c r="E791" s="30"/>
      <c r="F791" s="30"/>
      <c r="G791" s="30"/>
      <c r="H791" s="30"/>
      <c r="I791" s="30"/>
      <c r="J791" s="65"/>
      <c r="K791" s="83"/>
      <c r="L791" s="30"/>
      <c r="M791" s="39"/>
    </row>
    <row r="792" spans="1:13" x14ac:dyDescent="0.2">
      <c r="A792" s="30"/>
      <c r="B792" s="30"/>
      <c r="C792" s="30"/>
      <c r="D792" s="30"/>
      <c r="E792" s="30"/>
      <c r="F792" s="30"/>
      <c r="G792" s="30"/>
      <c r="H792" s="30"/>
      <c r="I792" s="30"/>
      <c r="J792" s="65"/>
      <c r="K792" s="83"/>
      <c r="L792" s="30"/>
      <c r="M792" s="39"/>
    </row>
    <row r="793" spans="1:13" x14ac:dyDescent="0.2">
      <c r="A793" s="30"/>
      <c r="B793" s="30"/>
      <c r="C793" s="30"/>
      <c r="D793" s="30"/>
      <c r="E793" s="30"/>
      <c r="F793" s="30"/>
      <c r="G793" s="30"/>
      <c r="H793" s="30"/>
      <c r="I793" s="30"/>
      <c r="J793" s="65"/>
      <c r="K793" s="83"/>
      <c r="L793" s="30"/>
      <c r="M793" s="39"/>
    </row>
    <row r="794" spans="1:13" x14ac:dyDescent="0.2">
      <c r="A794" s="30"/>
      <c r="B794" s="30"/>
      <c r="C794" s="30"/>
      <c r="D794" s="30"/>
      <c r="E794" s="30"/>
      <c r="F794" s="30"/>
      <c r="G794" s="30"/>
      <c r="H794" s="30"/>
      <c r="I794" s="30"/>
      <c r="J794" s="65"/>
      <c r="K794" s="83"/>
      <c r="L794" s="30"/>
      <c r="M794" s="39"/>
    </row>
    <row r="795" spans="1:13" x14ac:dyDescent="0.2">
      <c r="A795" s="30"/>
      <c r="B795" s="30"/>
      <c r="C795" s="30"/>
      <c r="D795" s="30"/>
      <c r="E795" s="30"/>
      <c r="F795" s="30"/>
      <c r="G795" s="30"/>
      <c r="H795" s="30"/>
      <c r="I795" s="30"/>
      <c r="J795" s="65"/>
      <c r="K795" s="83"/>
      <c r="L795" s="30"/>
      <c r="M795" s="39"/>
    </row>
    <row r="796" spans="1:13" x14ac:dyDescent="0.2">
      <c r="A796" s="30"/>
      <c r="B796" s="30"/>
      <c r="C796" s="30"/>
      <c r="D796" s="30"/>
      <c r="E796" s="30"/>
      <c r="F796" s="30"/>
      <c r="G796" s="30"/>
      <c r="H796" s="30"/>
      <c r="I796" s="30"/>
      <c r="J796" s="65"/>
      <c r="K796" s="83"/>
      <c r="L796" s="30"/>
      <c r="M796" s="39"/>
    </row>
    <row r="797" spans="1:13" x14ac:dyDescent="0.2">
      <c r="A797" s="30"/>
      <c r="B797" s="30"/>
      <c r="C797" s="30"/>
      <c r="D797" s="30"/>
      <c r="E797" s="30"/>
      <c r="F797" s="30"/>
      <c r="G797" s="30"/>
      <c r="H797" s="30"/>
      <c r="I797" s="30"/>
      <c r="J797" s="65"/>
      <c r="K797" s="83"/>
      <c r="L797" s="30"/>
      <c r="M797" s="39"/>
    </row>
    <row r="798" spans="1:13" x14ac:dyDescent="0.2">
      <c r="A798" s="30"/>
      <c r="B798" s="30"/>
      <c r="C798" s="30"/>
      <c r="D798" s="30"/>
      <c r="E798" s="30"/>
      <c r="F798" s="30"/>
      <c r="G798" s="30"/>
      <c r="H798" s="30"/>
      <c r="I798" s="30"/>
      <c r="J798" s="65"/>
      <c r="K798" s="83"/>
      <c r="L798" s="30"/>
      <c r="M798" s="39"/>
    </row>
    <row r="799" spans="1:13" x14ac:dyDescent="0.2">
      <c r="A799" s="30"/>
      <c r="B799" s="30"/>
      <c r="C799" s="30"/>
      <c r="D799" s="30"/>
      <c r="E799" s="30"/>
      <c r="F799" s="30"/>
      <c r="G799" s="30"/>
      <c r="H799" s="30"/>
      <c r="I799" s="30"/>
      <c r="J799" s="65"/>
      <c r="K799" s="83"/>
      <c r="L799" s="30"/>
      <c r="M799" s="39"/>
    </row>
    <row r="800" spans="1:13" x14ac:dyDescent="0.2">
      <c r="A800" s="30"/>
      <c r="B800" s="30"/>
      <c r="C800" s="30"/>
      <c r="D800" s="30"/>
      <c r="E800" s="30"/>
      <c r="F800" s="30"/>
      <c r="G800" s="30"/>
      <c r="H800" s="30"/>
      <c r="I800" s="30"/>
      <c r="J800" s="65"/>
      <c r="K800" s="83"/>
      <c r="L800" s="30"/>
      <c r="M800" s="39"/>
    </row>
    <row r="801" spans="1:13" x14ac:dyDescent="0.2">
      <c r="A801" s="30"/>
      <c r="B801" s="30"/>
      <c r="C801" s="30"/>
      <c r="D801" s="30"/>
      <c r="E801" s="30"/>
      <c r="F801" s="30"/>
      <c r="G801" s="30"/>
      <c r="H801" s="30"/>
      <c r="I801" s="30"/>
      <c r="J801" s="65"/>
      <c r="K801" s="83"/>
      <c r="L801" s="30"/>
      <c r="M801" s="39"/>
    </row>
    <row r="802" spans="1:13" x14ac:dyDescent="0.2">
      <c r="A802" s="30"/>
      <c r="B802" s="30"/>
      <c r="C802" s="30"/>
      <c r="D802" s="30"/>
      <c r="E802" s="30"/>
      <c r="F802" s="30"/>
      <c r="G802" s="30"/>
      <c r="H802" s="30"/>
      <c r="I802" s="30"/>
      <c r="J802" s="65"/>
      <c r="K802" s="83"/>
      <c r="L802" s="30"/>
      <c r="M802" s="39"/>
    </row>
    <row r="803" spans="1:13" x14ac:dyDescent="0.2">
      <c r="A803" s="30"/>
      <c r="B803" s="30"/>
      <c r="C803" s="30"/>
      <c r="D803" s="30"/>
      <c r="E803" s="30"/>
      <c r="F803" s="30"/>
      <c r="G803" s="30"/>
      <c r="H803" s="30"/>
      <c r="I803" s="30"/>
      <c r="J803" s="65"/>
      <c r="K803" s="83"/>
      <c r="L803" s="30"/>
      <c r="M803" s="39"/>
    </row>
    <row r="804" spans="1:13" x14ac:dyDescent="0.2">
      <c r="A804" s="30"/>
      <c r="B804" s="30"/>
      <c r="C804" s="30"/>
      <c r="D804" s="30"/>
      <c r="E804" s="30"/>
      <c r="F804" s="30"/>
      <c r="G804" s="30"/>
      <c r="H804" s="30"/>
      <c r="I804" s="30"/>
      <c r="J804" s="65"/>
      <c r="K804" s="83"/>
      <c r="L804" s="30"/>
      <c r="M804" s="39"/>
    </row>
    <row r="805" spans="1:13" x14ac:dyDescent="0.2">
      <c r="A805" s="30"/>
      <c r="B805" s="30"/>
      <c r="C805" s="30"/>
      <c r="D805" s="30"/>
      <c r="E805" s="30"/>
      <c r="F805" s="30"/>
      <c r="G805" s="30"/>
      <c r="H805" s="30"/>
      <c r="I805" s="30"/>
      <c r="J805" s="65"/>
      <c r="K805" s="83"/>
      <c r="L805" s="30"/>
      <c r="M805" s="39"/>
    </row>
    <row r="806" spans="1:13" x14ac:dyDescent="0.2">
      <c r="A806" s="30"/>
      <c r="B806" s="30"/>
      <c r="C806" s="30"/>
      <c r="D806" s="30"/>
      <c r="E806" s="30"/>
      <c r="F806" s="30"/>
      <c r="G806" s="30"/>
      <c r="H806" s="30"/>
      <c r="I806" s="30"/>
      <c r="J806" s="65"/>
      <c r="K806" s="83"/>
      <c r="L806" s="30"/>
      <c r="M806" s="39"/>
    </row>
    <row r="807" spans="1:13" x14ac:dyDescent="0.2">
      <c r="A807" s="30"/>
      <c r="B807" s="30"/>
      <c r="C807" s="30"/>
      <c r="D807" s="30"/>
      <c r="E807" s="30"/>
      <c r="F807" s="30"/>
      <c r="G807" s="30"/>
      <c r="H807" s="30"/>
      <c r="I807" s="30"/>
      <c r="J807" s="65"/>
      <c r="K807" s="83"/>
      <c r="L807" s="30"/>
      <c r="M807" s="39"/>
    </row>
    <row r="808" spans="1:13" x14ac:dyDescent="0.2">
      <c r="A808" s="30"/>
      <c r="B808" s="30"/>
      <c r="C808" s="30"/>
      <c r="D808" s="30"/>
      <c r="E808" s="30"/>
      <c r="F808" s="30"/>
      <c r="G808" s="30"/>
      <c r="H808" s="30"/>
      <c r="I808" s="30"/>
      <c r="J808" s="65"/>
      <c r="K808" s="83"/>
      <c r="L808" s="30"/>
      <c r="M808" s="39"/>
    </row>
    <row r="809" spans="1:13" x14ac:dyDescent="0.2">
      <c r="A809" s="30"/>
      <c r="B809" s="30"/>
      <c r="C809" s="30"/>
      <c r="D809" s="30"/>
      <c r="E809" s="30"/>
      <c r="F809" s="30"/>
      <c r="G809" s="30"/>
      <c r="H809" s="30"/>
      <c r="I809" s="30"/>
      <c r="J809" s="65"/>
      <c r="K809" s="83"/>
      <c r="L809" s="30"/>
      <c r="M809" s="39"/>
    </row>
    <row r="810" spans="1:13" x14ac:dyDescent="0.2">
      <c r="A810" s="30"/>
      <c r="B810" s="30"/>
      <c r="C810" s="30"/>
      <c r="D810" s="30"/>
      <c r="E810" s="30"/>
      <c r="F810" s="30"/>
      <c r="G810" s="30"/>
      <c r="H810" s="30"/>
      <c r="I810" s="30"/>
      <c r="J810" s="65"/>
      <c r="K810" s="83"/>
      <c r="L810" s="30"/>
      <c r="M810" s="39"/>
    </row>
    <row r="811" spans="1:13" x14ac:dyDescent="0.2">
      <c r="A811" s="30"/>
      <c r="B811" s="30"/>
      <c r="C811" s="30"/>
      <c r="D811" s="30"/>
      <c r="E811" s="30"/>
      <c r="F811" s="30"/>
      <c r="G811" s="30"/>
      <c r="H811" s="30"/>
      <c r="I811" s="30"/>
      <c r="J811" s="65"/>
      <c r="K811" s="83"/>
      <c r="L811" s="30"/>
      <c r="M811" s="39"/>
    </row>
    <row r="812" spans="1:13" x14ac:dyDescent="0.2">
      <c r="A812" s="30"/>
      <c r="B812" s="30"/>
      <c r="C812" s="30"/>
      <c r="D812" s="30"/>
      <c r="E812" s="30"/>
      <c r="F812" s="30"/>
      <c r="G812" s="30"/>
      <c r="H812" s="30"/>
      <c r="I812" s="30"/>
      <c r="J812" s="65"/>
      <c r="K812" s="83"/>
      <c r="L812" s="30"/>
      <c r="M812" s="39"/>
    </row>
    <row r="813" spans="1:13" x14ac:dyDescent="0.2">
      <c r="A813" s="30"/>
      <c r="B813" s="30"/>
      <c r="C813" s="30"/>
      <c r="D813" s="30"/>
      <c r="E813" s="30"/>
      <c r="F813" s="30"/>
      <c r="G813" s="30"/>
      <c r="H813" s="30"/>
      <c r="I813" s="30"/>
      <c r="J813" s="65"/>
      <c r="K813" s="83"/>
      <c r="L813" s="30"/>
      <c r="M813" s="39"/>
    </row>
    <row r="814" spans="1:13" x14ac:dyDescent="0.2">
      <c r="A814" s="30"/>
      <c r="B814" s="30"/>
      <c r="C814" s="30"/>
      <c r="D814" s="30"/>
      <c r="E814" s="30"/>
      <c r="F814" s="30"/>
      <c r="G814" s="30"/>
      <c r="H814" s="30"/>
      <c r="I814" s="30"/>
      <c r="J814" s="65"/>
      <c r="K814" s="83"/>
      <c r="L814" s="30"/>
      <c r="M814" s="39"/>
    </row>
    <row r="815" spans="1:13" x14ac:dyDescent="0.2">
      <c r="A815" s="30"/>
      <c r="B815" s="30"/>
      <c r="C815" s="30"/>
      <c r="D815" s="30"/>
      <c r="E815" s="30"/>
      <c r="F815" s="30"/>
      <c r="G815" s="30"/>
      <c r="H815" s="30"/>
      <c r="I815" s="30"/>
      <c r="J815" s="65"/>
      <c r="K815" s="83"/>
      <c r="L815" s="30"/>
      <c r="M815" s="39"/>
    </row>
    <row r="816" spans="1:13" x14ac:dyDescent="0.2">
      <c r="A816" s="30"/>
      <c r="B816" s="30"/>
      <c r="C816" s="30"/>
      <c r="D816" s="30"/>
      <c r="E816" s="30"/>
      <c r="F816" s="30"/>
      <c r="G816" s="30"/>
      <c r="H816" s="30"/>
      <c r="I816" s="30"/>
      <c r="J816" s="65"/>
      <c r="K816" s="83"/>
      <c r="L816" s="30"/>
      <c r="M816" s="39"/>
    </row>
    <row r="817" spans="1:13" x14ac:dyDescent="0.2">
      <c r="A817" s="30"/>
      <c r="B817" s="30"/>
      <c r="C817" s="30"/>
      <c r="D817" s="30"/>
      <c r="E817" s="30"/>
      <c r="F817" s="30"/>
      <c r="G817" s="30"/>
      <c r="H817" s="30"/>
      <c r="I817" s="30"/>
      <c r="J817" s="65"/>
      <c r="K817" s="83"/>
      <c r="L817" s="30"/>
      <c r="M817" s="39"/>
    </row>
    <row r="818" spans="1:13" x14ac:dyDescent="0.2">
      <c r="A818" s="30"/>
      <c r="B818" s="30"/>
      <c r="C818" s="30"/>
      <c r="D818" s="30"/>
      <c r="E818" s="30"/>
      <c r="F818" s="30"/>
      <c r="G818" s="30"/>
      <c r="H818" s="30"/>
      <c r="I818" s="30"/>
      <c r="J818" s="65"/>
      <c r="K818" s="83"/>
      <c r="L818" s="30"/>
      <c r="M818" s="39"/>
    </row>
    <row r="819" spans="1:13" x14ac:dyDescent="0.2">
      <c r="A819" s="30"/>
      <c r="B819" s="30"/>
      <c r="C819" s="30"/>
      <c r="D819" s="30"/>
      <c r="E819" s="30"/>
      <c r="F819" s="30"/>
      <c r="G819" s="30"/>
      <c r="H819" s="30"/>
      <c r="I819" s="30"/>
      <c r="J819" s="65"/>
      <c r="K819" s="83"/>
      <c r="L819" s="30"/>
      <c r="M819" s="39"/>
    </row>
    <row r="820" spans="1:13" x14ac:dyDescent="0.2">
      <c r="A820" s="30"/>
      <c r="B820" s="30"/>
      <c r="C820" s="30"/>
      <c r="D820" s="30"/>
      <c r="E820" s="30"/>
      <c r="F820" s="30"/>
      <c r="G820" s="30"/>
      <c r="H820" s="30"/>
      <c r="I820" s="30"/>
      <c r="J820" s="65"/>
      <c r="K820" s="83"/>
      <c r="L820" s="30"/>
      <c r="M820" s="39"/>
    </row>
    <row r="821" spans="1:13" x14ac:dyDescent="0.2">
      <c r="A821" s="30"/>
      <c r="B821" s="30"/>
      <c r="C821" s="30"/>
      <c r="D821" s="30"/>
      <c r="E821" s="30"/>
      <c r="F821" s="30"/>
      <c r="G821" s="30"/>
      <c r="H821" s="30"/>
      <c r="I821" s="30"/>
      <c r="J821" s="65"/>
      <c r="K821" s="83"/>
      <c r="L821" s="30"/>
      <c r="M821" s="39"/>
    </row>
    <row r="822" spans="1:13" x14ac:dyDescent="0.2">
      <c r="A822" s="30"/>
      <c r="B822" s="30"/>
      <c r="C822" s="30"/>
      <c r="D822" s="30"/>
      <c r="E822" s="30"/>
      <c r="F822" s="30"/>
      <c r="G822" s="30"/>
      <c r="H822" s="30"/>
      <c r="I822" s="30"/>
      <c r="J822" s="65"/>
      <c r="K822" s="83"/>
      <c r="L822" s="30"/>
      <c r="M822" s="39"/>
    </row>
    <row r="823" spans="1:13" x14ac:dyDescent="0.2">
      <c r="A823" s="30"/>
      <c r="B823" s="30"/>
      <c r="C823" s="30"/>
      <c r="D823" s="30"/>
      <c r="E823" s="30"/>
      <c r="F823" s="30"/>
      <c r="G823" s="30"/>
      <c r="H823" s="30"/>
      <c r="I823" s="30"/>
      <c r="J823" s="65"/>
      <c r="K823" s="83"/>
      <c r="L823" s="30"/>
      <c r="M823" s="39"/>
    </row>
    <row r="824" spans="1:13" x14ac:dyDescent="0.2">
      <c r="A824" s="30"/>
      <c r="B824" s="30"/>
      <c r="C824" s="30"/>
      <c r="D824" s="30"/>
      <c r="E824" s="30"/>
      <c r="F824" s="30"/>
      <c r="G824" s="30"/>
      <c r="H824" s="30"/>
      <c r="I824" s="30"/>
      <c r="J824" s="65"/>
      <c r="K824" s="83"/>
      <c r="L824" s="30"/>
      <c r="M824" s="39"/>
    </row>
    <row r="825" spans="1:13" x14ac:dyDescent="0.2">
      <c r="A825" s="30"/>
      <c r="B825" s="30"/>
      <c r="C825" s="30"/>
      <c r="D825" s="30"/>
      <c r="E825" s="30"/>
      <c r="F825" s="30"/>
      <c r="G825" s="30"/>
      <c r="H825" s="30"/>
      <c r="I825" s="30"/>
      <c r="J825" s="65"/>
      <c r="K825" s="83"/>
      <c r="L825" s="30"/>
      <c r="M825" s="39"/>
    </row>
    <row r="826" spans="1:13" x14ac:dyDescent="0.2">
      <c r="A826" s="30"/>
      <c r="B826" s="30"/>
      <c r="C826" s="30"/>
      <c r="D826" s="30"/>
      <c r="E826" s="30"/>
      <c r="F826" s="30"/>
      <c r="G826" s="30"/>
      <c r="H826" s="30"/>
      <c r="I826" s="30"/>
      <c r="J826" s="65"/>
      <c r="K826" s="83"/>
      <c r="L826" s="30"/>
      <c r="M826" s="39"/>
    </row>
    <row r="827" spans="1:13" x14ac:dyDescent="0.2">
      <c r="A827" s="30"/>
      <c r="B827" s="30"/>
      <c r="C827" s="30"/>
      <c r="D827" s="30"/>
      <c r="E827" s="30"/>
      <c r="F827" s="30"/>
      <c r="G827" s="30"/>
      <c r="H827" s="30"/>
      <c r="I827" s="30"/>
      <c r="J827" s="65"/>
      <c r="K827" s="83"/>
      <c r="L827" s="30"/>
      <c r="M827" s="39"/>
    </row>
    <row r="828" spans="1:13" x14ac:dyDescent="0.2">
      <c r="A828" s="30"/>
      <c r="B828" s="30"/>
      <c r="C828" s="30"/>
      <c r="D828" s="30"/>
      <c r="E828" s="30"/>
      <c r="F828" s="30"/>
      <c r="G828" s="30"/>
      <c r="H828" s="30"/>
      <c r="I828" s="30"/>
      <c r="J828" s="65"/>
      <c r="K828" s="83"/>
      <c r="L828" s="30"/>
      <c r="M828" s="39"/>
    </row>
    <row r="829" spans="1:13" x14ac:dyDescent="0.2">
      <c r="A829" s="30"/>
      <c r="B829" s="30"/>
      <c r="C829" s="30"/>
      <c r="D829" s="30"/>
      <c r="E829" s="30"/>
      <c r="F829" s="30"/>
      <c r="G829" s="30"/>
      <c r="H829" s="30"/>
      <c r="I829" s="30"/>
      <c r="J829" s="65"/>
      <c r="K829" s="83"/>
      <c r="L829" s="30"/>
      <c r="M829" s="39"/>
    </row>
    <row r="830" spans="1:13" x14ac:dyDescent="0.2">
      <c r="A830" s="30"/>
      <c r="B830" s="30"/>
      <c r="C830" s="30"/>
      <c r="D830" s="30"/>
      <c r="E830" s="30"/>
      <c r="F830" s="30"/>
      <c r="G830" s="30"/>
      <c r="H830" s="30"/>
      <c r="I830" s="30"/>
      <c r="J830" s="65"/>
      <c r="K830" s="83"/>
      <c r="L830" s="30"/>
      <c r="M830" s="39"/>
    </row>
    <row r="831" spans="1:13" x14ac:dyDescent="0.2">
      <c r="A831" s="30"/>
      <c r="B831" s="30"/>
      <c r="C831" s="30"/>
      <c r="D831" s="30"/>
      <c r="E831" s="30"/>
      <c r="F831" s="30"/>
      <c r="G831" s="30"/>
      <c r="H831" s="30"/>
      <c r="I831" s="30"/>
      <c r="J831" s="65"/>
      <c r="K831" s="83"/>
      <c r="L831" s="30"/>
      <c r="M831" s="39"/>
    </row>
    <row r="832" spans="1:13" x14ac:dyDescent="0.2">
      <c r="A832" s="30"/>
      <c r="B832" s="30"/>
      <c r="C832" s="30"/>
      <c r="D832" s="30"/>
      <c r="E832" s="30"/>
      <c r="F832" s="30"/>
      <c r="G832" s="30"/>
      <c r="H832" s="30"/>
      <c r="I832" s="30"/>
      <c r="J832" s="65"/>
      <c r="K832" s="83"/>
      <c r="L832" s="30"/>
      <c r="M832" s="39"/>
    </row>
    <row r="833" spans="1:13" x14ac:dyDescent="0.2">
      <c r="A833" s="30"/>
      <c r="B833" s="30"/>
      <c r="C833" s="30"/>
      <c r="D833" s="30"/>
      <c r="E833" s="30"/>
      <c r="F833" s="30"/>
      <c r="G833" s="30"/>
      <c r="H833" s="30"/>
      <c r="I833" s="30"/>
      <c r="J833" s="65"/>
      <c r="K833" s="83"/>
      <c r="L833" s="30"/>
      <c r="M833" s="39"/>
    </row>
    <row r="834" spans="1:13" x14ac:dyDescent="0.2">
      <c r="A834" s="30"/>
      <c r="B834" s="30"/>
      <c r="C834" s="30"/>
      <c r="D834" s="30"/>
      <c r="E834" s="30"/>
      <c r="F834" s="30"/>
      <c r="G834" s="30"/>
      <c r="H834" s="30"/>
      <c r="I834" s="30"/>
      <c r="J834" s="65"/>
      <c r="K834" s="83"/>
      <c r="L834" s="30"/>
      <c r="M834" s="39"/>
    </row>
    <row r="835" spans="1:13" x14ac:dyDescent="0.2">
      <c r="A835" s="30"/>
      <c r="B835" s="30"/>
      <c r="C835" s="30"/>
      <c r="D835" s="30"/>
      <c r="E835" s="30"/>
      <c r="F835" s="30"/>
      <c r="G835" s="30"/>
      <c r="H835" s="30"/>
      <c r="I835" s="30"/>
      <c r="J835" s="65"/>
      <c r="K835" s="83"/>
      <c r="L835" s="30"/>
      <c r="M835" s="39"/>
    </row>
    <row r="836" spans="1:13" x14ac:dyDescent="0.2">
      <c r="A836" s="30"/>
      <c r="B836" s="30"/>
      <c r="C836" s="30"/>
      <c r="D836" s="30"/>
      <c r="E836" s="30"/>
      <c r="F836" s="30"/>
      <c r="G836" s="30"/>
      <c r="H836" s="30"/>
      <c r="I836" s="30"/>
      <c r="J836" s="65"/>
      <c r="K836" s="83"/>
      <c r="L836" s="30"/>
      <c r="M836" s="39"/>
    </row>
    <row r="837" spans="1:13" x14ac:dyDescent="0.2">
      <c r="A837" s="30"/>
      <c r="B837" s="30"/>
      <c r="C837" s="30"/>
      <c r="D837" s="30"/>
      <c r="E837" s="30"/>
      <c r="F837" s="30"/>
      <c r="G837" s="30"/>
      <c r="H837" s="30"/>
      <c r="I837" s="30"/>
      <c r="J837" s="65"/>
      <c r="K837" s="83"/>
      <c r="L837" s="30"/>
      <c r="M837" s="39"/>
    </row>
    <row r="838" spans="1:13" x14ac:dyDescent="0.2">
      <c r="A838" s="30"/>
      <c r="B838" s="30"/>
      <c r="C838" s="30"/>
      <c r="D838" s="30"/>
      <c r="E838" s="30"/>
      <c r="F838" s="30"/>
      <c r="G838" s="30"/>
      <c r="H838" s="30"/>
      <c r="I838" s="30"/>
      <c r="J838" s="65"/>
      <c r="K838" s="83"/>
      <c r="L838" s="30"/>
      <c r="M838" s="39"/>
    </row>
    <row r="839" spans="1:13" x14ac:dyDescent="0.2">
      <c r="A839" s="30"/>
      <c r="B839" s="30"/>
      <c r="C839" s="30"/>
      <c r="D839" s="30"/>
      <c r="E839" s="30"/>
      <c r="F839" s="30"/>
      <c r="G839" s="30"/>
      <c r="H839" s="30"/>
      <c r="I839" s="30"/>
      <c r="J839" s="65"/>
      <c r="K839" s="83"/>
      <c r="L839" s="30"/>
      <c r="M839" s="39"/>
    </row>
    <row r="840" spans="1:13" x14ac:dyDescent="0.2">
      <c r="A840" s="30"/>
      <c r="B840" s="30"/>
      <c r="C840" s="30"/>
      <c r="D840" s="30"/>
      <c r="E840" s="30"/>
      <c r="F840" s="30"/>
      <c r="G840" s="30"/>
      <c r="H840" s="30"/>
      <c r="I840" s="30"/>
      <c r="J840" s="65"/>
      <c r="K840" s="83"/>
      <c r="L840" s="30"/>
      <c r="M840" s="39"/>
    </row>
    <row r="841" spans="1:13" x14ac:dyDescent="0.2">
      <c r="A841" s="30"/>
      <c r="B841" s="30"/>
      <c r="C841" s="30"/>
      <c r="D841" s="30"/>
      <c r="E841" s="30"/>
      <c r="F841" s="30"/>
      <c r="G841" s="30"/>
      <c r="H841" s="30"/>
      <c r="I841" s="30"/>
      <c r="J841" s="65"/>
      <c r="K841" s="83"/>
      <c r="L841" s="30"/>
      <c r="M841" s="39"/>
    </row>
    <row r="842" spans="1:13" x14ac:dyDescent="0.2">
      <c r="A842" s="30"/>
      <c r="B842" s="30"/>
      <c r="C842" s="30"/>
      <c r="D842" s="30"/>
      <c r="E842" s="30"/>
      <c r="F842" s="30"/>
      <c r="G842" s="30"/>
      <c r="H842" s="30"/>
      <c r="I842" s="30"/>
      <c r="J842" s="65"/>
      <c r="K842" s="83"/>
      <c r="L842" s="30"/>
      <c r="M842" s="39"/>
    </row>
    <row r="843" spans="1:13" x14ac:dyDescent="0.2">
      <c r="A843" s="30"/>
      <c r="B843" s="30"/>
      <c r="C843" s="30"/>
      <c r="D843" s="30"/>
      <c r="E843" s="30"/>
      <c r="F843" s="30"/>
      <c r="G843" s="30"/>
      <c r="H843" s="30"/>
      <c r="I843" s="30"/>
      <c r="J843" s="65"/>
      <c r="K843" s="83"/>
      <c r="L843" s="30"/>
      <c r="M843" s="39"/>
    </row>
    <row r="844" spans="1:13" x14ac:dyDescent="0.2">
      <c r="A844" s="30"/>
      <c r="B844" s="30"/>
      <c r="C844" s="30"/>
      <c r="D844" s="30"/>
      <c r="E844" s="30"/>
      <c r="F844" s="30"/>
      <c r="G844" s="30"/>
      <c r="H844" s="30"/>
      <c r="I844" s="30"/>
      <c r="J844" s="65"/>
      <c r="K844" s="83"/>
      <c r="L844" s="30"/>
      <c r="M844" s="39"/>
    </row>
    <row r="845" spans="1:13" x14ac:dyDescent="0.2">
      <c r="A845" s="30"/>
      <c r="B845" s="30"/>
      <c r="C845" s="30"/>
      <c r="D845" s="30"/>
      <c r="E845" s="30"/>
      <c r="F845" s="30"/>
      <c r="G845" s="30"/>
      <c r="H845" s="30"/>
      <c r="I845" s="30"/>
      <c r="J845" s="65"/>
      <c r="K845" s="83"/>
      <c r="L845" s="30"/>
      <c r="M845" s="39"/>
    </row>
    <row r="846" spans="1:13" x14ac:dyDescent="0.2">
      <c r="A846" s="30"/>
      <c r="B846" s="30"/>
      <c r="C846" s="30"/>
      <c r="D846" s="30"/>
      <c r="E846" s="30"/>
      <c r="F846" s="30"/>
      <c r="G846" s="30"/>
      <c r="H846" s="30"/>
      <c r="I846" s="30"/>
      <c r="J846" s="65"/>
      <c r="K846" s="83"/>
      <c r="L846" s="30"/>
      <c r="M846" s="39"/>
    </row>
    <row r="847" spans="1:13" x14ac:dyDescent="0.2">
      <c r="A847" s="30"/>
      <c r="B847" s="30"/>
      <c r="C847" s="30"/>
      <c r="D847" s="30"/>
      <c r="E847" s="30"/>
      <c r="F847" s="30"/>
      <c r="G847" s="30"/>
      <c r="H847" s="30"/>
      <c r="I847" s="30"/>
      <c r="J847" s="65"/>
      <c r="K847" s="83"/>
      <c r="L847" s="30"/>
      <c r="M847" s="39"/>
    </row>
    <row r="848" spans="1:13" x14ac:dyDescent="0.2">
      <c r="A848" s="30"/>
      <c r="B848" s="30"/>
      <c r="C848" s="30"/>
      <c r="D848" s="30"/>
      <c r="E848" s="30"/>
      <c r="F848" s="30"/>
      <c r="G848" s="30"/>
      <c r="H848" s="30"/>
      <c r="I848" s="30"/>
      <c r="J848" s="65"/>
      <c r="K848" s="83"/>
      <c r="L848" s="30"/>
      <c r="M848" s="39"/>
    </row>
    <row r="849" spans="1:13" x14ac:dyDescent="0.2">
      <c r="A849" s="30"/>
      <c r="B849" s="30"/>
      <c r="C849" s="30"/>
      <c r="D849" s="30"/>
      <c r="E849" s="30"/>
      <c r="F849" s="30"/>
      <c r="G849" s="30"/>
      <c r="H849" s="30"/>
      <c r="I849" s="30"/>
      <c r="J849" s="65"/>
      <c r="K849" s="83"/>
      <c r="L849" s="30"/>
      <c r="M849" s="39"/>
    </row>
    <row r="850" spans="1:13" x14ac:dyDescent="0.2">
      <c r="A850" s="30"/>
      <c r="B850" s="30"/>
      <c r="C850" s="30"/>
      <c r="D850" s="30"/>
      <c r="E850" s="30"/>
      <c r="F850" s="30"/>
      <c r="G850" s="30"/>
      <c r="H850" s="30"/>
      <c r="I850" s="30"/>
      <c r="J850" s="65"/>
      <c r="K850" s="83"/>
      <c r="L850" s="30"/>
      <c r="M850" s="39"/>
    </row>
    <row r="851" spans="1:13" x14ac:dyDescent="0.2">
      <c r="A851" s="30"/>
      <c r="B851" s="30"/>
      <c r="C851" s="30"/>
      <c r="D851" s="30"/>
      <c r="E851" s="30"/>
      <c r="F851" s="30"/>
      <c r="G851" s="30"/>
      <c r="H851" s="30"/>
      <c r="I851" s="30"/>
      <c r="J851" s="65"/>
      <c r="K851" s="83"/>
      <c r="L851" s="30"/>
      <c r="M851" s="39"/>
    </row>
    <row r="852" spans="1:13" x14ac:dyDescent="0.2">
      <c r="A852" s="30"/>
      <c r="B852" s="30"/>
      <c r="C852" s="30"/>
      <c r="D852" s="30"/>
      <c r="E852" s="30"/>
      <c r="F852" s="30"/>
      <c r="G852" s="30"/>
      <c r="H852" s="30"/>
      <c r="I852" s="30"/>
      <c r="J852" s="65"/>
      <c r="K852" s="83"/>
      <c r="L852" s="30"/>
      <c r="M852" s="39"/>
    </row>
    <row r="853" spans="1:13" x14ac:dyDescent="0.2">
      <c r="A853" s="30"/>
      <c r="B853" s="30"/>
      <c r="C853" s="30"/>
      <c r="D853" s="30"/>
      <c r="E853" s="30"/>
      <c r="F853" s="30"/>
      <c r="G853" s="30"/>
      <c r="H853" s="30"/>
      <c r="I853" s="30"/>
      <c r="J853" s="65"/>
      <c r="K853" s="83"/>
      <c r="L853" s="30"/>
      <c r="M853" s="39"/>
    </row>
    <row r="854" spans="1:13" x14ac:dyDescent="0.2">
      <c r="A854" s="30"/>
      <c r="B854" s="30"/>
      <c r="C854" s="30"/>
      <c r="D854" s="30"/>
      <c r="E854" s="30"/>
      <c r="F854" s="30"/>
      <c r="G854" s="30"/>
      <c r="H854" s="30"/>
      <c r="I854" s="30"/>
      <c r="J854" s="65"/>
      <c r="K854" s="83"/>
      <c r="L854" s="30"/>
      <c r="M854" s="39"/>
    </row>
    <row r="855" spans="1:13" x14ac:dyDescent="0.2">
      <c r="A855" s="30"/>
      <c r="B855" s="30"/>
      <c r="C855" s="30"/>
      <c r="D855" s="30"/>
      <c r="E855" s="30"/>
      <c r="F855" s="30"/>
      <c r="G855" s="30"/>
      <c r="H855" s="30"/>
      <c r="I855" s="30"/>
      <c r="J855" s="65"/>
      <c r="K855" s="83"/>
      <c r="L855" s="30"/>
      <c r="M855" s="39"/>
    </row>
    <row r="856" spans="1:13" x14ac:dyDescent="0.2">
      <c r="A856" s="30"/>
      <c r="B856" s="30"/>
      <c r="C856" s="30"/>
      <c r="D856" s="30"/>
      <c r="E856" s="30"/>
      <c r="F856" s="30"/>
      <c r="G856" s="30"/>
      <c r="H856" s="30"/>
      <c r="I856" s="30"/>
      <c r="J856" s="65"/>
      <c r="K856" s="83"/>
      <c r="L856" s="30"/>
      <c r="M856" s="39"/>
    </row>
    <row r="857" spans="1:13" x14ac:dyDescent="0.2">
      <c r="A857" s="30"/>
      <c r="B857" s="30"/>
      <c r="C857" s="30"/>
      <c r="D857" s="30"/>
      <c r="E857" s="30"/>
      <c r="F857" s="30"/>
      <c r="G857" s="30"/>
      <c r="H857" s="30"/>
      <c r="I857" s="30"/>
      <c r="J857" s="65"/>
      <c r="K857" s="83"/>
      <c r="L857" s="30"/>
      <c r="M857" s="39"/>
    </row>
    <row r="858" spans="1:13" x14ac:dyDescent="0.2">
      <c r="A858" s="30"/>
      <c r="B858" s="30"/>
      <c r="C858" s="30"/>
      <c r="D858" s="30"/>
      <c r="E858" s="30"/>
      <c r="F858" s="30"/>
      <c r="G858" s="30"/>
      <c r="H858" s="30"/>
      <c r="I858" s="30"/>
      <c r="J858" s="65"/>
      <c r="K858" s="83"/>
      <c r="L858" s="30"/>
      <c r="M858" s="39"/>
    </row>
    <row r="859" spans="1:13" x14ac:dyDescent="0.2">
      <c r="A859" s="30"/>
      <c r="B859" s="30"/>
      <c r="C859" s="30"/>
      <c r="D859" s="30"/>
      <c r="E859" s="30"/>
      <c r="F859" s="30"/>
      <c r="G859" s="30"/>
      <c r="H859" s="30"/>
      <c r="I859" s="30"/>
      <c r="J859" s="65"/>
      <c r="K859" s="83"/>
      <c r="L859" s="30"/>
      <c r="M859" s="39"/>
    </row>
    <row r="860" spans="1:13" x14ac:dyDescent="0.2">
      <c r="A860" s="30"/>
      <c r="B860" s="30"/>
      <c r="C860" s="30"/>
      <c r="D860" s="30"/>
      <c r="E860" s="30"/>
      <c r="F860" s="30"/>
      <c r="G860" s="30"/>
      <c r="H860" s="30"/>
      <c r="I860" s="30"/>
      <c r="J860" s="65"/>
      <c r="K860" s="83"/>
      <c r="L860" s="30"/>
      <c r="M860" s="39"/>
    </row>
    <row r="861" spans="1:13" x14ac:dyDescent="0.2">
      <c r="A861" s="30"/>
      <c r="B861" s="30"/>
      <c r="C861" s="30"/>
      <c r="D861" s="30"/>
      <c r="E861" s="30"/>
      <c r="F861" s="30"/>
      <c r="G861" s="30"/>
      <c r="H861" s="30"/>
      <c r="I861" s="30"/>
      <c r="J861" s="65"/>
      <c r="K861" s="83"/>
      <c r="L861" s="30"/>
      <c r="M861" s="39"/>
    </row>
    <row r="862" spans="1:13" x14ac:dyDescent="0.2">
      <c r="A862" s="30"/>
      <c r="B862" s="30"/>
      <c r="C862" s="30"/>
      <c r="D862" s="30"/>
      <c r="E862" s="30"/>
      <c r="F862" s="30"/>
      <c r="G862" s="30"/>
      <c r="H862" s="30"/>
      <c r="I862" s="30"/>
      <c r="J862" s="65"/>
      <c r="K862" s="83"/>
      <c r="L862" s="30"/>
      <c r="M862" s="39"/>
    </row>
    <row r="863" spans="1:13" x14ac:dyDescent="0.2">
      <c r="A863" s="30"/>
      <c r="B863" s="30"/>
      <c r="C863" s="30"/>
      <c r="D863" s="30"/>
      <c r="E863" s="30"/>
      <c r="F863" s="30"/>
      <c r="G863" s="30"/>
      <c r="H863" s="30"/>
      <c r="I863" s="30"/>
      <c r="J863" s="65"/>
      <c r="K863" s="83"/>
      <c r="L863" s="30"/>
      <c r="M863" s="39"/>
    </row>
    <row r="864" spans="1:13" x14ac:dyDescent="0.2">
      <c r="A864" s="30"/>
      <c r="B864" s="30"/>
      <c r="C864" s="30"/>
      <c r="D864" s="30"/>
      <c r="E864" s="30"/>
      <c r="F864" s="30"/>
      <c r="G864" s="30"/>
      <c r="H864" s="30"/>
      <c r="I864" s="30"/>
      <c r="J864" s="65"/>
      <c r="K864" s="83"/>
      <c r="L864" s="30"/>
      <c r="M864" s="39"/>
    </row>
    <row r="865" spans="1:13" x14ac:dyDescent="0.2">
      <c r="A865" s="30"/>
      <c r="B865" s="30"/>
      <c r="C865" s="30"/>
      <c r="D865" s="30"/>
      <c r="E865" s="30"/>
      <c r="F865" s="30"/>
      <c r="G865" s="30"/>
      <c r="H865" s="30"/>
      <c r="I865" s="30"/>
      <c r="J865" s="65"/>
      <c r="K865" s="83"/>
      <c r="L865" s="30"/>
      <c r="M865" s="39"/>
    </row>
    <row r="866" spans="1:13" x14ac:dyDescent="0.2">
      <c r="A866" s="30"/>
      <c r="B866" s="30"/>
      <c r="C866" s="30"/>
      <c r="D866" s="30"/>
      <c r="E866" s="30"/>
      <c r="F866" s="30"/>
      <c r="G866" s="30"/>
      <c r="H866" s="30"/>
      <c r="I866" s="30"/>
      <c r="J866" s="65"/>
      <c r="K866" s="83"/>
      <c r="L866" s="30"/>
      <c r="M866" s="39"/>
    </row>
    <row r="867" spans="1:13" x14ac:dyDescent="0.2">
      <c r="A867" s="30"/>
      <c r="B867" s="30"/>
      <c r="C867" s="30"/>
      <c r="D867" s="30"/>
      <c r="E867" s="30"/>
      <c r="F867" s="30"/>
      <c r="G867" s="30"/>
      <c r="H867" s="30"/>
      <c r="I867" s="30"/>
      <c r="J867" s="65"/>
      <c r="K867" s="83"/>
      <c r="L867" s="30"/>
      <c r="M867" s="39"/>
    </row>
    <row r="868" spans="1:13" x14ac:dyDescent="0.2">
      <c r="A868" s="30"/>
      <c r="B868" s="30"/>
      <c r="C868" s="30"/>
      <c r="D868" s="30"/>
      <c r="E868" s="30"/>
      <c r="F868" s="30"/>
      <c r="G868" s="30"/>
      <c r="H868" s="30"/>
      <c r="I868" s="30"/>
      <c r="J868" s="65"/>
      <c r="K868" s="83"/>
      <c r="L868" s="30"/>
      <c r="M868" s="39"/>
    </row>
    <row r="869" spans="1:13" x14ac:dyDescent="0.2">
      <c r="A869" s="30"/>
      <c r="B869" s="30"/>
      <c r="C869" s="30"/>
      <c r="D869" s="30"/>
      <c r="E869" s="30"/>
      <c r="F869" s="30"/>
      <c r="G869" s="30"/>
      <c r="H869" s="30"/>
      <c r="I869" s="30"/>
      <c r="J869" s="65"/>
      <c r="K869" s="83"/>
      <c r="L869" s="30"/>
      <c r="M869" s="39"/>
    </row>
    <row r="870" spans="1:13" x14ac:dyDescent="0.2">
      <c r="A870" s="30"/>
      <c r="B870" s="30"/>
      <c r="C870" s="30"/>
      <c r="D870" s="30"/>
      <c r="E870" s="30"/>
      <c r="F870" s="30"/>
      <c r="G870" s="30"/>
      <c r="H870" s="30"/>
      <c r="I870" s="30"/>
      <c r="J870" s="65"/>
      <c r="K870" s="83"/>
      <c r="L870" s="30"/>
      <c r="M870" s="39"/>
    </row>
    <row r="871" spans="1:13" x14ac:dyDescent="0.2">
      <c r="A871" s="30"/>
      <c r="B871" s="30"/>
      <c r="C871" s="30"/>
      <c r="D871" s="30"/>
      <c r="E871" s="30"/>
      <c r="F871" s="30"/>
      <c r="G871" s="30"/>
      <c r="H871" s="30"/>
      <c r="I871" s="30"/>
      <c r="J871" s="65"/>
      <c r="K871" s="83"/>
      <c r="L871" s="30"/>
      <c r="M871" s="39"/>
    </row>
    <row r="872" spans="1:13" x14ac:dyDescent="0.2">
      <c r="A872" s="30"/>
      <c r="B872" s="30"/>
      <c r="C872" s="30"/>
      <c r="D872" s="30"/>
      <c r="E872" s="30"/>
      <c r="F872" s="30"/>
      <c r="G872" s="30"/>
      <c r="H872" s="30"/>
      <c r="I872" s="30"/>
      <c r="J872" s="65"/>
      <c r="K872" s="83"/>
      <c r="L872" s="30"/>
      <c r="M872" s="39"/>
    </row>
    <row r="873" spans="1:13" x14ac:dyDescent="0.2">
      <c r="A873" s="30"/>
      <c r="B873" s="30"/>
      <c r="C873" s="30"/>
      <c r="D873" s="30"/>
      <c r="E873" s="30"/>
      <c r="F873" s="30"/>
      <c r="G873" s="30"/>
      <c r="H873" s="30"/>
      <c r="I873" s="30"/>
      <c r="J873" s="65"/>
      <c r="K873" s="83"/>
      <c r="L873" s="30"/>
      <c r="M873" s="39"/>
    </row>
    <row r="874" spans="1:13" x14ac:dyDescent="0.2">
      <c r="A874" s="30"/>
      <c r="B874" s="30"/>
      <c r="C874" s="30"/>
      <c r="D874" s="30"/>
      <c r="E874" s="30"/>
      <c r="F874" s="30"/>
      <c r="G874" s="30"/>
      <c r="H874" s="30"/>
      <c r="I874" s="30"/>
      <c r="J874" s="65"/>
      <c r="K874" s="83"/>
      <c r="L874" s="30"/>
      <c r="M874" s="39"/>
    </row>
    <row r="875" spans="1:13" x14ac:dyDescent="0.2">
      <c r="A875" s="30"/>
      <c r="B875" s="30"/>
      <c r="C875" s="30"/>
      <c r="D875" s="30"/>
      <c r="E875" s="30"/>
      <c r="F875" s="30"/>
      <c r="G875" s="30"/>
      <c r="H875" s="30"/>
      <c r="I875" s="30"/>
      <c r="J875" s="65"/>
      <c r="K875" s="83"/>
      <c r="L875" s="30"/>
      <c r="M875" s="39"/>
    </row>
    <row r="876" spans="1:13" x14ac:dyDescent="0.2">
      <c r="A876" s="30"/>
      <c r="B876" s="30"/>
      <c r="C876" s="30"/>
      <c r="D876" s="30"/>
      <c r="E876" s="30"/>
      <c r="F876" s="30"/>
      <c r="G876" s="30"/>
      <c r="H876" s="30"/>
      <c r="I876" s="30"/>
      <c r="J876" s="65"/>
      <c r="K876" s="83"/>
      <c r="L876" s="30"/>
      <c r="M876" s="39"/>
    </row>
    <row r="877" spans="1:13" x14ac:dyDescent="0.2">
      <c r="A877" s="30"/>
      <c r="B877" s="30"/>
      <c r="C877" s="30"/>
      <c r="D877" s="30"/>
      <c r="E877" s="30"/>
      <c r="F877" s="30"/>
      <c r="G877" s="30"/>
      <c r="H877" s="30"/>
      <c r="I877" s="30"/>
      <c r="J877" s="65"/>
      <c r="K877" s="83"/>
      <c r="L877" s="30"/>
      <c r="M877" s="39"/>
    </row>
    <row r="878" spans="1:13" x14ac:dyDescent="0.2">
      <c r="A878" s="30"/>
      <c r="B878" s="30"/>
      <c r="C878" s="30"/>
      <c r="D878" s="30"/>
      <c r="E878" s="30"/>
      <c r="F878" s="30"/>
      <c r="G878" s="30"/>
      <c r="H878" s="30"/>
      <c r="I878" s="30"/>
      <c r="J878" s="65"/>
      <c r="K878" s="83"/>
      <c r="L878" s="30"/>
      <c r="M878" s="39"/>
    </row>
    <row r="879" spans="1:13" x14ac:dyDescent="0.2">
      <c r="A879" s="30"/>
      <c r="B879" s="30"/>
      <c r="C879" s="30"/>
      <c r="D879" s="30"/>
      <c r="E879" s="30"/>
      <c r="F879" s="30"/>
      <c r="G879" s="30"/>
      <c r="H879" s="30"/>
      <c r="I879" s="30"/>
      <c r="J879" s="65"/>
      <c r="K879" s="83"/>
      <c r="L879" s="30"/>
      <c r="M879" s="39"/>
    </row>
    <row r="880" spans="1:13" x14ac:dyDescent="0.2">
      <c r="A880" s="30"/>
      <c r="B880" s="30"/>
      <c r="C880" s="30"/>
      <c r="D880" s="30"/>
      <c r="E880" s="30"/>
      <c r="F880" s="30"/>
      <c r="G880" s="30"/>
      <c r="H880" s="30"/>
      <c r="I880" s="30"/>
      <c r="J880" s="65"/>
      <c r="K880" s="83"/>
      <c r="L880" s="30"/>
      <c r="M880" s="39"/>
    </row>
    <row r="881" spans="1:13" x14ac:dyDescent="0.2">
      <c r="A881" s="30"/>
      <c r="B881" s="30"/>
      <c r="C881" s="30"/>
      <c r="D881" s="30"/>
      <c r="E881" s="30"/>
      <c r="F881" s="30"/>
      <c r="G881" s="30"/>
      <c r="H881" s="30"/>
      <c r="I881" s="30"/>
      <c r="J881" s="65"/>
      <c r="K881" s="83"/>
      <c r="L881" s="30"/>
      <c r="M881" s="39"/>
    </row>
    <row r="882" spans="1:13" x14ac:dyDescent="0.2">
      <c r="A882" s="30"/>
      <c r="B882" s="30"/>
      <c r="C882" s="30"/>
      <c r="D882" s="30"/>
      <c r="E882" s="30"/>
      <c r="F882" s="30"/>
      <c r="G882" s="30"/>
      <c r="H882" s="30"/>
      <c r="I882" s="30"/>
      <c r="J882" s="65"/>
      <c r="K882" s="83"/>
      <c r="L882" s="30"/>
      <c r="M882" s="39"/>
    </row>
    <row r="883" spans="1:13" x14ac:dyDescent="0.2">
      <c r="A883" s="30"/>
      <c r="B883" s="30"/>
      <c r="C883" s="30"/>
      <c r="D883" s="30"/>
      <c r="E883" s="30"/>
      <c r="F883" s="30"/>
      <c r="G883" s="30"/>
      <c r="H883" s="30"/>
      <c r="I883" s="30"/>
      <c r="J883" s="65"/>
      <c r="K883" s="83"/>
      <c r="L883" s="30"/>
      <c r="M883" s="39"/>
    </row>
    <row r="884" spans="1:13" x14ac:dyDescent="0.2">
      <c r="A884" s="30"/>
      <c r="B884" s="30"/>
      <c r="C884" s="30"/>
      <c r="D884" s="30"/>
      <c r="E884" s="30"/>
      <c r="F884" s="30"/>
      <c r="G884" s="30"/>
      <c r="H884" s="30"/>
      <c r="I884" s="30"/>
      <c r="J884" s="65"/>
      <c r="K884" s="83"/>
      <c r="L884" s="30"/>
      <c r="M884" s="39"/>
    </row>
    <row r="885" spans="1:13" x14ac:dyDescent="0.2">
      <c r="A885" s="30"/>
      <c r="B885" s="30"/>
      <c r="C885" s="30"/>
      <c r="D885" s="30"/>
      <c r="E885" s="30"/>
      <c r="F885" s="30"/>
      <c r="G885" s="30"/>
      <c r="H885" s="30"/>
      <c r="I885" s="30"/>
      <c r="J885" s="65"/>
      <c r="K885" s="83"/>
      <c r="L885" s="30"/>
      <c r="M885" s="39"/>
    </row>
    <row r="886" spans="1:13" x14ac:dyDescent="0.2">
      <c r="A886" s="30"/>
      <c r="B886" s="30"/>
      <c r="C886" s="30"/>
      <c r="D886" s="30"/>
      <c r="E886" s="30"/>
      <c r="F886" s="30"/>
      <c r="G886" s="30"/>
      <c r="H886" s="30"/>
      <c r="I886" s="30"/>
      <c r="J886" s="65"/>
      <c r="K886" s="83"/>
      <c r="L886" s="30"/>
      <c r="M886" s="39"/>
    </row>
    <row r="887" spans="1:13" x14ac:dyDescent="0.2">
      <c r="A887" s="30"/>
      <c r="B887" s="30"/>
      <c r="C887" s="30"/>
      <c r="D887" s="30"/>
      <c r="E887" s="30"/>
      <c r="F887" s="30"/>
      <c r="G887" s="30"/>
      <c r="H887" s="30"/>
      <c r="I887" s="30"/>
      <c r="J887" s="65"/>
      <c r="K887" s="83"/>
      <c r="L887" s="30"/>
      <c r="M887" s="39"/>
    </row>
    <row r="888" spans="1:13" x14ac:dyDescent="0.2">
      <c r="A888" s="30"/>
      <c r="B888" s="30"/>
      <c r="C888" s="30"/>
      <c r="D888" s="30"/>
      <c r="E888" s="30"/>
      <c r="F888" s="30"/>
      <c r="G888" s="30"/>
      <c r="H888" s="30"/>
      <c r="I888" s="30"/>
      <c r="J888" s="65"/>
      <c r="K888" s="83"/>
      <c r="L888" s="30"/>
      <c r="M888" s="39"/>
    </row>
    <row r="889" spans="1:13" x14ac:dyDescent="0.2">
      <c r="A889" s="30"/>
      <c r="B889" s="30"/>
      <c r="C889" s="30"/>
      <c r="D889" s="30"/>
      <c r="E889" s="30"/>
      <c r="F889" s="30"/>
      <c r="G889" s="30"/>
      <c r="H889" s="30"/>
      <c r="I889" s="30"/>
      <c r="J889" s="65"/>
      <c r="K889" s="83"/>
      <c r="L889" s="30"/>
      <c r="M889" s="39"/>
    </row>
    <row r="890" spans="1:13" x14ac:dyDescent="0.2">
      <c r="A890" s="30"/>
      <c r="B890" s="30"/>
      <c r="C890" s="30"/>
      <c r="D890" s="30"/>
      <c r="E890" s="30"/>
      <c r="F890" s="30"/>
      <c r="G890" s="30"/>
      <c r="H890" s="30"/>
      <c r="I890" s="30"/>
      <c r="J890" s="65"/>
      <c r="K890" s="83"/>
      <c r="L890" s="30"/>
      <c r="M890" s="39"/>
    </row>
    <row r="891" spans="1:13" x14ac:dyDescent="0.2">
      <c r="A891" s="30"/>
      <c r="B891" s="30"/>
      <c r="C891" s="30"/>
      <c r="D891" s="30"/>
      <c r="E891" s="30"/>
      <c r="F891" s="30"/>
      <c r="G891" s="30"/>
      <c r="H891" s="30"/>
      <c r="I891" s="30"/>
      <c r="J891" s="65"/>
      <c r="K891" s="83"/>
      <c r="L891" s="30"/>
      <c r="M891" s="39"/>
    </row>
    <row r="892" spans="1:13" x14ac:dyDescent="0.2">
      <c r="A892" s="30"/>
      <c r="B892" s="30"/>
      <c r="C892" s="30"/>
      <c r="D892" s="30"/>
      <c r="E892" s="30"/>
      <c r="F892" s="30"/>
      <c r="G892" s="30"/>
      <c r="H892" s="30"/>
      <c r="I892" s="30"/>
      <c r="J892" s="65"/>
      <c r="K892" s="83"/>
      <c r="L892" s="30"/>
      <c r="M892" s="39"/>
    </row>
    <row r="893" spans="1:13" x14ac:dyDescent="0.2">
      <c r="A893" s="30"/>
      <c r="B893" s="30"/>
      <c r="C893" s="30"/>
      <c r="D893" s="30"/>
      <c r="E893" s="30"/>
      <c r="F893" s="30"/>
      <c r="G893" s="30"/>
      <c r="H893" s="30"/>
      <c r="I893" s="30"/>
      <c r="J893" s="65"/>
      <c r="K893" s="83"/>
      <c r="L893" s="30"/>
      <c r="M893" s="39"/>
    </row>
    <row r="894" spans="1:13" x14ac:dyDescent="0.2">
      <c r="A894" s="30"/>
      <c r="B894" s="30"/>
      <c r="C894" s="30"/>
      <c r="D894" s="30"/>
      <c r="E894" s="30"/>
      <c r="F894" s="30"/>
      <c r="G894" s="30"/>
      <c r="H894" s="30"/>
      <c r="I894" s="30"/>
      <c r="J894" s="65"/>
      <c r="K894" s="83"/>
      <c r="L894" s="30"/>
      <c r="M894" s="39"/>
    </row>
    <row r="895" spans="1:13" x14ac:dyDescent="0.2">
      <c r="A895" s="30"/>
      <c r="B895" s="30"/>
      <c r="C895" s="30"/>
      <c r="D895" s="30"/>
      <c r="E895" s="30"/>
      <c r="F895" s="30"/>
      <c r="G895" s="30"/>
      <c r="H895" s="30"/>
      <c r="I895" s="30"/>
      <c r="J895" s="65"/>
      <c r="K895" s="83"/>
      <c r="L895" s="30"/>
      <c r="M895" s="39"/>
    </row>
    <row r="896" spans="1:13" x14ac:dyDescent="0.2">
      <c r="A896" s="30"/>
      <c r="B896" s="30"/>
      <c r="C896" s="30"/>
      <c r="D896" s="30"/>
      <c r="E896" s="30"/>
      <c r="F896" s="30"/>
      <c r="G896" s="30"/>
      <c r="H896" s="30"/>
      <c r="I896" s="30"/>
      <c r="J896" s="65"/>
      <c r="K896" s="83"/>
      <c r="L896" s="30"/>
      <c r="M896" s="39"/>
    </row>
    <row r="897" spans="1:13" x14ac:dyDescent="0.2">
      <c r="A897" s="30"/>
      <c r="B897" s="30"/>
      <c r="C897" s="30"/>
      <c r="D897" s="30"/>
      <c r="E897" s="30"/>
      <c r="F897" s="30"/>
      <c r="G897" s="30"/>
      <c r="H897" s="30"/>
      <c r="I897" s="30"/>
      <c r="J897" s="65"/>
      <c r="K897" s="83"/>
      <c r="L897" s="30"/>
      <c r="M897" s="39"/>
    </row>
    <row r="898" spans="1:13" x14ac:dyDescent="0.2">
      <c r="A898" s="30"/>
      <c r="B898" s="30"/>
      <c r="C898" s="30"/>
      <c r="D898" s="30"/>
      <c r="E898" s="30"/>
      <c r="F898" s="30"/>
      <c r="G898" s="30"/>
      <c r="H898" s="30"/>
      <c r="I898" s="30"/>
      <c r="J898" s="65"/>
      <c r="K898" s="83"/>
      <c r="L898" s="30"/>
      <c r="M898" s="39"/>
    </row>
    <row r="899" spans="1:13" x14ac:dyDescent="0.2">
      <c r="A899" s="30"/>
      <c r="B899" s="30"/>
      <c r="C899" s="30"/>
      <c r="D899" s="30"/>
      <c r="E899" s="30"/>
      <c r="F899" s="30"/>
      <c r="G899" s="30"/>
      <c r="H899" s="30"/>
      <c r="I899" s="30"/>
      <c r="J899" s="65"/>
      <c r="K899" s="83"/>
      <c r="L899" s="30"/>
      <c r="M899" s="39"/>
    </row>
    <row r="900" spans="1:13" x14ac:dyDescent="0.2">
      <c r="A900" s="30"/>
      <c r="B900" s="30"/>
      <c r="C900" s="30"/>
      <c r="D900" s="30"/>
      <c r="E900" s="30"/>
      <c r="F900" s="30"/>
      <c r="G900" s="30"/>
      <c r="H900" s="30"/>
      <c r="I900" s="30"/>
      <c r="J900" s="65"/>
      <c r="K900" s="83"/>
      <c r="L900" s="30"/>
      <c r="M900" s="39"/>
    </row>
    <row r="901" spans="1:13" x14ac:dyDescent="0.2">
      <c r="A901" s="30"/>
      <c r="B901" s="30"/>
      <c r="C901" s="30"/>
      <c r="D901" s="30"/>
      <c r="E901" s="30"/>
      <c r="F901" s="30"/>
      <c r="G901" s="30"/>
      <c r="H901" s="30"/>
      <c r="I901" s="30"/>
      <c r="J901" s="65"/>
      <c r="K901" s="83"/>
      <c r="L901" s="30"/>
      <c r="M901" s="39"/>
    </row>
    <row r="902" spans="1:13" x14ac:dyDescent="0.2">
      <c r="A902" s="30"/>
      <c r="B902" s="30"/>
      <c r="C902" s="30"/>
      <c r="D902" s="30"/>
      <c r="E902" s="30"/>
      <c r="F902" s="30"/>
      <c r="G902" s="30"/>
      <c r="H902" s="30"/>
      <c r="I902" s="30"/>
      <c r="J902" s="65"/>
      <c r="K902" s="83"/>
      <c r="L902" s="30"/>
      <c r="M902" s="39"/>
    </row>
    <row r="903" spans="1:13" x14ac:dyDescent="0.2">
      <c r="A903" s="30"/>
      <c r="B903" s="30"/>
      <c r="C903" s="30"/>
      <c r="D903" s="30"/>
      <c r="E903" s="30"/>
      <c r="F903" s="30"/>
      <c r="G903" s="30"/>
      <c r="H903" s="30"/>
      <c r="I903" s="30"/>
      <c r="J903" s="65"/>
      <c r="K903" s="83"/>
      <c r="L903" s="30"/>
      <c r="M903" s="39"/>
    </row>
    <row r="904" spans="1:13" x14ac:dyDescent="0.2">
      <c r="A904" s="30"/>
      <c r="B904" s="30"/>
      <c r="C904" s="30"/>
      <c r="D904" s="30"/>
      <c r="E904" s="30"/>
      <c r="F904" s="30"/>
      <c r="G904" s="30"/>
      <c r="H904" s="30"/>
      <c r="I904" s="30"/>
      <c r="J904" s="65"/>
      <c r="K904" s="83"/>
      <c r="L904" s="30"/>
      <c r="M904" s="39"/>
    </row>
    <row r="905" spans="1:13" x14ac:dyDescent="0.2">
      <c r="A905" s="30"/>
      <c r="B905" s="30"/>
      <c r="C905" s="30"/>
      <c r="D905" s="30"/>
      <c r="E905" s="30"/>
      <c r="F905" s="30"/>
      <c r="G905" s="30"/>
      <c r="H905" s="30"/>
      <c r="I905" s="30"/>
      <c r="J905" s="65"/>
      <c r="K905" s="83"/>
      <c r="L905" s="30"/>
      <c r="M905" s="39"/>
    </row>
    <row r="906" spans="1:13" x14ac:dyDescent="0.2">
      <c r="A906" s="30"/>
      <c r="B906" s="30"/>
      <c r="C906" s="30"/>
      <c r="D906" s="30"/>
      <c r="E906" s="30"/>
      <c r="F906" s="30"/>
      <c r="G906" s="30"/>
      <c r="H906" s="30"/>
      <c r="I906" s="30"/>
      <c r="J906" s="65"/>
      <c r="K906" s="83"/>
      <c r="L906" s="30"/>
      <c r="M906" s="39"/>
    </row>
    <row r="907" spans="1:13" x14ac:dyDescent="0.2">
      <c r="A907" s="30"/>
      <c r="B907" s="30"/>
      <c r="C907" s="30"/>
      <c r="D907" s="30"/>
      <c r="E907" s="30"/>
      <c r="F907" s="30"/>
      <c r="G907" s="30"/>
      <c r="H907" s="30"/>
      <c r="I907" s="30"/>
      <c r="J907" s="65"/>
      <c r="K907" s="83"/>
      <c r="L907" s="30"/>
      <c r="M907" s="39"/>
    </row>
    <row r="908" spans="1:13" x14ac:dyDescent="0.2">
      <c r="A908" s="30"/>
      <c r="B908" s="30"/>
      <c r="C908" s="30"/>
      <c r="D908" s="30"/>
      <c r="E908" s="30"/>
      <c r="F908" s="30"/>
      <c r="G908" s="30"/>
      <c r="H908" s="30"/>
      <c r="I908" s="30"/>
      <c r="J908" s="65"/>
      <c r="K908" s="83"/>
      <c r="L908" s="30"/>
      <c r="M908" s="39"/>
    </row>
    <row r="909" spans="1:13" x14ac:dyDescent="0.2">
      <c r="A909" s="30"/>
      <c r="B909" s="30"/>
      <c r="C909" s="30"/>
      <c r="D909" s="30"/>
      <c r="E909" s="30"/>
      <c r="F909" s="30"/>
      <c r="G909" s="30"/>
      <c r="H909" s="30"/>
      <c r="I909" s="30"/>
      <c r="J909" s="65"/>
      <c r="K909" s="83"/>
      <c r="L909" s="30"/>
      <c r="M909" s="39"/>
    </row>
    <row r="910" spans="1:13" x14ac:dyDescent="0.2">
      <c r="A910" s="30"/>
      <c r="B910" s="30"/>
      <c r="C910" s="30"/>
      <c r="D910" s="30"/>
      <c r="E910" s="30"/>
      <c r="F910" s="30"/>
      <c r="G910" s="30"/>
      <c r="H910" s="30"/>
      <c r="I910" s="30"/>
      <c r="J910" s="65"/>
      <c r="K910" s="83"/>
      <c r="L910" s="30"/>
      <c r="M910" s="39"/>
    </row>
    <row r="911" spans="1:13" x14ac:dyDescent="0.2">
      <c r="A911" s="30"/>
      <c r="B911" s="30"/>
      <c r="C911" s="30"/>
      <c r="D911" s="30"/>
      <c r="E911" s="30"/>
      <c r="F911" s="30"/>
      <c r="G911" s="30"/>
      <c r="H911" s="30"/>
      <c r="I911" s="30"/>
      <c r="J911" s="65"/>
      <c r="K911" s="83"/>
      <c r="L911" s="30"/>
      <c r="M911" s="39"/>
    </row>
    <row r="912" spans="1:13" x14ac:dyDescent="0.2">
      <c r="A912" s="30"/>
      <c r="B912" s="30"/>
      <c r="C912" s="30"/>
      <c r="D912" s="30"/>
      <c r="E912" s="30"/>
      <c r="F912" s="30"/>
      <c r="G912" s="30"/>
      <c r="H912" s="30"/>
      <c r="I912" s="30"/>
      <c r="J912" s="65"/>
      <c r="K912" s="83"/>
      <c r="L912" s="30"/>
      <c r="M912" s="39"/>
    </row>
    <row r="913" spans="1:13" x14ac:dyDescent="0.2">
      <c r="A913" s="30"/>
      <c r="B913" s="30"/>
      <c r="C913" s="30"/>
      <c r="D913" s="30"/>
      <c r="E913" s="30"/>
      <c r="F913" s="30"/>
      <c r="G913" s="30"/>
      <c r="H913" s="30"/>
      <c r="I913" s="30"/>
      <c r="J913" s="65"/>
      <c r="K913" s="83"/>
      <c r="L913" s="30"/>
      <c r="M913" s="39"/>
    </row>
    <row r="914" spans="1:13" x14ac:dyDescent="0.2">
      <c r="A914" s="30"/>
      <c r="B914" s="30"/>
      <c r="C914" s="30"/>
      <c r="D914" s="30"/>
      <c r="E914" s="30"/>
      <c r="F914" s="30"/>
      <c r="G914" s="30"/>
      <c r="H914" s="30"/>
      <c r="I914" s="30"/>
      <c r="J914" s="65"/>
      <c r="K914" s="83"/>
      <c r="L914" s="30"/>
      <c r="M914" s="39"/>
    </row>
    <row r="915" spans="1:13" x14ac:dyDescent="0.2">
      <c r="A915" s="30"/>
      <c r="B915" s="30"/>
      <c r="C915" s="30"/>
      <c r="D915" s="30"/>
      <c r="E915" s="30"/>
      <c r="F915" s="30"/>
      <c r="G915" s="30"/>
      <c r="H915" s="30"/>
      <c r="I915" s="30"/>
      <c r="J915" s="65"/>
      <c r="K915" s="83"/>
      <c r="L915" s="30"/>
      <c r="M915" s="39"/>
    </row>
    <row r="916" spans="1:13" x14ac:dyDescent="0.2">
      <c r="A916" s="30"/>
      <c r="B916" s="30"/>
      <c r="C916" s="30"/>
      <c r="D916" s="30"/>
      <c r="E916" s="30"/>
      <c r="F916" s="30"/>
      <c r="G916" s="30"/>
      <c r="H916" s="30"/>
      <c r="I916" s="30"/>
      <c r="J916" s="65"/>
      <c r="K916" s="83"/>
      <c r="L916" s="30"/>
      <c r="M916" s="39"/>
    </row>
    <row r="917" spans="1:13" x14ac:dyDescent="0.2">
      <c r="A917" s="30"/>
      <c r="B917" s="30"/>
      <c r="C917" s="30"/>
      <c r="D917" s="30"/>
      <c r="E917" s="30"/>
      <c r="F917" s="30"/>
      <c r="G917" s="30"/>
      <c r="H917" s="30"/>
      <c r="I917" s="30"/>
      <c r="J917" s="65"/>
      <c r="K917" s="83"/>
      <c r="L917" s="30"/>
      <c r="M917" s="39"/>
    </row>
    <row r="918" spans="1:13" x14ac:dyDescent="0.2">
      <c r="A918" s="30"/>
      <c r="B918" s="30"/>
      <c r="C918" s="30"/>
      <c r="D918" s="30"/>
      <c r="E918" s="30"/>
      <c r="F918" s="30"/>
      <c r="G918" s="30"/>
      <c r="H918" s="30"/>
      <c r="I918" s="30"/>
      <c r="J918" s="65"/>
      <c r="K918" s="83"/>
      <c r="L918" s="30"/>
      <c r="M918" s="39"/>
    </row>
    <row r="919" spans="1:13" x14ac:dyDescent="0.2">
      <c r="A919" s="30"/>
      <c r="B919" s="30"/>
      <c r="C919" s="30"/>
      <c r="D919" s="30"/>
      <c r="E919" s="30"/>
      <c r="F919" s="30"/>
      <c r="G919" s="30"/>
      <c r="H919" s="30"/>
      <c r="I919" s="30"/>
      <c r="J919" s="65"/>
      <c r="K919" s="83"/>
      <c r="L919" s="30"/>
      <c r="M919" s="39"/>
    </row>
    <row r="920" spans="1:13" x14ac:dyDescent="0.2">
      <c r="A920" s="30"/>
      <c r="B920" s="30"/>
      <c r="C920" s="30"/>
      <c r="D920" s="30"/>
      <c r="E920" s="30"/>
      <c r="F920" s="30"/>
      <c r="G920" s="30"/>
      <c r="H920" s="30"/>
      <c r="I920" s="30"/>
      <c r="J920" s="65"/>
      <c r="K920" s="83"/>
      <c r="L920" s="30"/>
      <c r="M920" s="39"/>
    </row>
    <row r="921" spans="1:13" x14ac:dyDescent="0.2">
      <c r="A921" s="30"/>
      <c r="B921" s="30"/>
      <c r="C921" s="30"/>
      <c r="D921" s="30"/>
      <c r="E921" s="30"/>
      <c r="F921" s="30"/>
      <c r="G921" s="30"/>
      <c r="H921" s="30"/>
      <c r="I921" s="30"/>
      <c r="J921" s="65"/>
      <c r="K921" s="83"/>
      <c r="L921" s="30"/>
      <c r="M921" s="39"/>
    </row>
    <row r="922" spans="1:13" x14ac:dyDescent="0.2">
      <c r="A922" s="30"/>
      <c r="B922" s="30"/>
      <c r="C922" s="30"/>
      <c r="D922" s="30"/>
      <c r="E922" s="30"/>
      <c r="F922" s="30"/>
      <c r="G922" s="30"/>
      <c r="H922" s="30"/>
      <c r="I922" s="30"/>
      <c r="J922" s="65"/>
      <c r="K922" s="83"/>
      <c r="L922" s="30"/>
      <c r="M922" s="39"/>
    </row>
    <row r="923" spans="1:13" x14ac:dyDescent="0.2">
      <c r="A923" s="30"/>
      <c r="B923" s="30"/>
      <c r="C923" s="30"/>
      <c r="D923" s="30"/>
      <c r="E923" s="30"/>
      <c r="F923" s="30"/>
      <c r="G923" s="30"/>
      <c r="H923" s="30"/>
      <c r="I923" s="30"/>
      <c r="J923" s="65"/>
      <c r="K923" s="83"/>
      <c r="L923" s="30"/>
      <c r="M923" s="39"/>
    </row>
    <row r="924" spans="1:13" x14ac:dyDescent="0.2">
      <c r="A924" s="30"/>
      <c r="B924" s="30"/>
      <c r="C924" s="30"/>
      <c r="D924" s="30"/>
      <c r="E924" s="30"/>
      <c r="F924" s="30"/>
      <c r="G924" s="30"/>
      <c r="H924" s="30"/>
      <c r="I924" s="30"/>
      <c r="J924" s="65"/>
      <c r="K924" s="83"/>
      <c r="L924" s="30"/>
      <c r="M924" s="39"/>
    </row>
    <row r="925" spans="1:13" x14ac:dyDescent="0.2">
      <c r="A925" s="30"/>
      <c r="B925" s="30"/>
      <c r="C925" s="30"/>
      <c r="D925" s="30"/>
      <c r="E925" s="30"/>
      <c r="F925" s="30"/>
      <c r="G925" s="30"/>
      <c r="H925" s="30"/>
      <c r="I925" s="30"/>
      <c r="J925" s="65"/>
      <c r="K925" s="83"/>
      <c r="L925" s="30"/>
      <c r="M925" s="39"/>
    </row>
    <row r="926" spans="1:13" x14ac:dyDescent="0.2">
      <c r="A926" s="30"/>
      <c r="B926" s="30"/>
      <c r="C926" s="30"/>
      <c r="D926" s="30"/>
      <c r="E926" s="30"/>
      <c r="F926" s="30"/>
      <c r="G926" s="30"/>
      <c r="H926" s="30"/>
      <c r="I926" s="30"/>
      <c r="J926" s="65"/>
      <c r="K926" s="83"/>
      <c r="L926" s="30"/>
      <c r="M926" s="39"/>
    </row>
    <row r="927" spans="1:13" x14ac:dyDescent="0.2">
      <c r="A927" s="30"/>
      <c r="B927" s="30"/>
      <c r="C927" s="30"/>
      <c r="D927" s="30"/>
      <c r="E927" s="30"/>
      <c r="F927" s="30"/>
      <c r="G927" s="30"/>
      <c r="H927" s="30"/>
      <c r="I927" s="30"/>
      <c r="J927" s="65"/>
      <c r="K927" s="83"/>
      <c r="L927" s="30"/>
      <c r="M927" s="39"/>
    </row>
    <row r="928" spans="1:13" x14ac:dyDescent="0.2">
      <c r="A928" s="30"/>
      <c r="B928" s="30"/>
      <c r="C928" s="30"/>
      <c r="D928" s="30"/>
      <c r="E928" s="30"/>
      <c r="F928" s="30"/>
      <c r="G928" s="30"/>
      <c r="H928" s="30"/>
      <c r="I928" s="30"/>
      <c r="J928" s="65"/>
      <c r="K928" s="83"/>
      <c r="L928" s="30"/>
      <c r="M928" s="39"/>
    </row>
    <row r="929" spans="1:13" x14ac:dyDescent="0.2">
      <c r="A929" s="30"/>
      <c r="B929" s="30"/>
      <c r="C929" s="30"/>
      <c r="D929" s="30"/>
      <c r="E929" s="30"/>
      <c r="F929" s="30"/>
      <c r="G929" s="30"/>
      <c r="H929" s="30"/>
      <c r="I929" s="30"/>
      <c r="J929" s="65"/>
      <c r="K929" s="83"/>
      <c r="L929" s="30"/>
      <c r="M929" s="39"/>
    </row>
    <row r="930" spans="1:13" x14ac:dyDescent="0.2">
      <c r="A930" s="30"/>
      <c r="B930" s="30"/>
      <c r="C930" s="30"/>
      <c r="D930" s="30"/>
      <c r="E930" s="30"/>
      <c r="F930" s="30"/>
      <c r="G930" s="30"/>
      <c r="H930" s="30"/>
      <c r="I930" s="30"/>
      <c r="J930" s="65"/>
      <c r="K930" s="83"/>
      <c r="L930" s="30"/>
      <c r="M930" s="39"/>
    </row>
    <row r="931" spans="1:13" x14ac:dyDescent="0.2">
      <c r="A931" s="30"/>
      <c r="B931" s="30"/>
      <c r="C931" s="30"/>
      <c r="D931" s="30"/>
      <c r="E931" s="30"/>
      <c r="F931" s="30"/>
      <c r="G931" s="30"/>
      <c r="H931" s="30"/>
      <c r="I931" s="30"/>
      <c r="J931" s="65"/>
      <c r="K931" s="83"/>
      <c r="L931" s="30"/>
      <c r="M931" s="39"/>
    </row>
    <row r="932" spans="1:13" x14ac:dyDescent="0.2">
      <c r="A932" s="30"/>
      <c r="B932" s="30"/>
      <c r="C932" s="30"/>
      <c r="D932" s="30"/>
      <c r="E932" s="30"/>
      <c r="F932" s="30"/>
      <c r="G932" s="30"/>
      <c r="H932" s="30"/>
      <c r="I932" s="30"/>
      <c r="J932" s="65"/>
      <c r="K932" s="83"/>
      <c r="L932" s="30"/>
      <c r="M932" s="39"/>
    </row>
    <row r="933" spans="1:13" x14ac:dyDescent="0.2">
      <c r="A933" s="30"/>
      <c r="B933" s="30"/>
      <c r="C933" s="30"/>
      <c r="D933" s="30"/>
      <c r="E933" s="30"/>
      <c r="F933" s="30"/>
      <c r="G933" s="30"/>
      <c r="H933" s="30"/>
      <c r="I933" s="30"/>
      <c r="J933" s="65"/>
      <c r="K933" s="83"/>
      <c r="L933" s="30"/>
      <c r="M933" s="39"/>
    </row>
    <row r="934" spans="1:13" x14ac:dyDescent="0.2">
      <c r="A934" s="30"/>
      <c r="B934" s="30"/>
      <c r="C934" s="30"/>
      <c r="D934" s="30"/>
      <c r="E934" s="30"/>
      <c r="F934" s="30"/>
      <c r="G934" s="30"/>
      <c r="H934" s="30"/>
      <c r="I934" s="30"/>
      <c r="J934" s="65"/>
      <c r="K934" s="83"/>
      <c r="L934" s="30"/>
      <c r="M934" s="39"/>
    </row>
    <row r="935" spans="1:13" x14ac:dyDescent="0.2">
      <c r="A935" s="30"/>
      <c r="B935" s="30"/>
      <c r="C935" s="30"/>
      <c r="D935" s="30"/>
      <c r="E935" s="30"/>
      <c r="F935" s="30"/>
      <c r="G935" s="30"/>
      <c r="H935" s="30"/>
      <c r="I935" s="30"/>
      <c r="J935" s="65"/>
      <c r="K935" s="83"/>
      <c r="L935" s="30"/>
      <c r="M935" s="39"/>
    </row>
    <row r="936" spans="1:13" x14ac:dyDescent="0.2">
      <c r="A936" s="30"/>
      <c r="B936" s="30"/>
      <c r="C936" s="30"/>
      <c r="D936" s="30"/>
      <c r="E936" s="30"/>
      <c r="F936" s="30"/>
      <c r="G936" s="30"/>
      <c r="H936" s="30"/>
      <c r="I936" s="30"/>
      <c r="J936" s="65"/>
      <c r="K936" s="83"/>
      <c r="L936" s="30"/>
      <c r="M936" s="39"/>
    </row>
    <row r="937" spans="1:13" x14ac:dyDescent="0.2">
      <c r="A937" s="30"/>
      <c r="B937" s="30"/>
      <c r="C937" s="30"/>
      <c r="D937" s="30"/>
      <c r="E937" s="30"/>
      <c r="F937" s="30"/>
      <c r="G937" s="30"/>
      <c r="H937" s="30"/>
      <c r="I937" s="30"/>
      <c r="J937" s="65"/>
      <c r="K937" s="83"/>
      <c r="L937" s="30"/>
      <c r="M937" s="39"/>
    </row>
    <row r="938" spans="1:13" x14ac:dyDescent="0.2">
      <c r="A938" s="30"/>
      <c r="B938" s="30"/>
      <c r="C938" s="30"/>
      <c r="D938" s="30"/>
      <c r="E938" s="30"/>
      <c r="F938" s="30"/>
      <c r="G938" s="30"/>
      <c r="H938" s="30"/>
      <c r="I938" s="30"/>
      <c r="J938" s="65"/>
      <c r="K938" s="83"/>
      <c r="L938" s="30"/>
      <c r="M938" s="39"/>
    </row>
    <row r="939" spans="1:13" x14ac:dyDescent="0.2">
      <c r="A939" s="30"/>
      <c r="B939" s="30"/>
      <c r="C939" s="30"/>
      <c r="D939" s="30"/>
      <c r="E939" s="30"/>
      <c r="F939" s="30"/>
      <c r="G939" s="30"/>
      <c r="H939" s="30"/>
      <c r="I939" s="30"/>
      <c r="J939" s="65"/>
      <c r="K939" s="83"/>
      <c r="L939" s="30"/>
      <c r="M939" s="39"/>
    </row>
    <row r="940" spans="1:13" x14ac:dyDescent="0.2">
      <c r="A940" s="30"/>
      <c r="B940" s="30"/>
      <c r="C940" s="30"/>
      <c r="D940" s="30"/>
      <c r="E940" s="30"/>
      <c r="F940" s="30"/>
      <c r="G940" s="30"/>
      <c r="H940" s="30"/>
      <c r="I940" s="30"/>
      <c r="J940" s="65"/>
      <c r="K940" s="83"/>
      <c r="L940" s="30"/>
      <c r="M940" s="39"/>
    </row>
    <row r="941" spans="1:13" x14ac:dyDescent="0.2">
      <c r="A941" s="30"/>
      <c r="B941" s="30"/>
      <c r="C941" s="30"/>
      <c r="D941" s="30"/>
      <c r="E941" s="30"/>
      <c r="F941" s="30"/>
      <c r="G941" s="30"/>
      <c r="H941" s="30"/>
      <c r="I941" s="30"/>
      <c r="J941" s="65"/>
      <c r="K941" s="83"/>
      <c r="L941" s="30"/>
      <c r="M941" s="39"/>
    </row>
    <row r="942" spans="1:13" x14ac:dyDescent="0.2">
      <c r="A942" s="30"/>
      <c r="B942" s="30"/>
      <c r="C942" s="30"/>
      <c r="D942" s="30"/>
      <c r="E942" s="30"/>
      <c r="F942" s="30"/>
      <c r="G942" s="30"/>
      <c r="H942" s="30"/>
      <c r="I942" s="30"/>
      <c r="J942" s="65"/>
      <c r="K942" s="83"/>
      <c r="L942" s="30"/>
      <c r="M942" s="39"/>
    </row>
    <row r="943" spans="1:13" x14ac:dyDescent="0.2">
      <c r="A943" s="30"/>
      <c r="B943" s="30"/>
      <c r="C943" s="30"/>
      <c r="D943" s="30"/>
      <c r="E943" s="30"/>
      <c r="F943" s="30"/>
      <c r="G943" s="30"/>
      <c r="H943" s="30"/>
      <c r="I943" s="30"/>
      <c r="J943" s="65"/>
      <c r="K943" s="83"/>
      <c r="L943" s="30"/>
      <c r="M943" s="39"/>
    </row>
    <row r="944" spans="1:13" x14ac:dyDescent="0.2">
      <c r="A944" s="30"/>
      <c r="B944" s="30"/>
      <c r="C944" s="30"/>
      <c r="D944" s="30"/>
      <c r="E944" s="30"/>
      <c r="F944" s="30"/>
      <c r="G944" s="30"/>
      <c r="H944" s="30"/>
      <c r="I944" s="30"/>
      <c r="J944" s="65"/>
      <c r="K944" s="83"/>
      <c r="L944" s="30"/>
      <c r="M944" s="39"/>
    </row>
    <row r="945" spans="1:13" x14ac:dyDescent="0.2">
      <c r="A945" s="30"/>
      <c r="B945" s="30"/>
      <c r="C945" s="30"/>
      <c r="D945" s="30"/>
      <c r="E945" s="30"/>
      <c r="F945" s="30"/>
      <c r="G945" s="30"/>
      <c r="H945" s="30"/>
      <c r="I945" s="30"/>
      <c r="J945" s="65"/>
      <c r="K945" s="83"/>
      <c r="L945" s="30"/>
      <c r="M945" s="39"/>
    </row>
    <row r="946" spans="1:13" x14ac:dyDescent="0.2">
      <c r="A946" s="30"/>
      <c r="B946" s="30"/>
      <c r="C946" s="30"/>
      <c r="D946" s="30"/>
      <c r="E946" s="30"/>
      <c r="F946" s="30"/>
      <c r="G946" s="30"/>
      <c r="H946" s="30"/>
      <c r="I946" s="30"/>
      <c r="J946" s="65"/>
      <c r="K946" s="83"/>
      <c r="L946" s="30"/>
      <c r="M946" s="39"/>
    </row>
    <row r="947" spans="1:13" x14ac:dyDescent="0.2">
      <c r="A947" s="30"/>
      <c r="B947" s="30"/>
      <c r="C947" s="30"/>
      <c r="D947" s="30"/>
      <c r="E947" s="30"/>
      <c r="F947" s="30"/>
      <c r="G947" s="30"/>
      <c r="H947" s="30"/>
      <c r="I947" s="30"/>
      <c r="J947" s="65"/>
      <c r="K947" s="83"/>
      <c r="L947" s="30"/>
      <c r="M947" s="39"/>
    </row>
    <row r="948" spans="1:13" x14ac:dyDescent="0.2">
      <c r="A948" s="30"/>
      <c r="B948" s="30"/>
      <c r="C948" s="30"/>
      <c r="D948" s="30"/>
      <c r="E948" s="30"/>
      <c r="F948" s="30"/>
      <c r="G948" s="30"/>
      <c r="H948" s="30"/>
      <c r="I948" s="30"/>
      <c r="J948" s="65"/>
      <c r="K948" s="83"/>
      <c r="L948" s="30"/>
      <c r="M948" s="39"/>
    </row>
    <row r="949" spans="1:13" x14ac:dyDescent="0.2">
      <c r="A949" s="30"/>
      <c r="B949" s="30"/>
      <c r="C949" s="30"/>
      <c r="D949" s="30"/>
      <c r="E949" s="30"/>
      <c r="F949" s="30"/>
      <c r="G949" s="30"/>
      <c r="H949" s="30"/>
      <c r="I949" s="30"/>
      <c r="J949" s="65"/>
      <c r="K949" s="83"/>
      <c r="L949" s="30"/>
      <c r="M949" s="39"/>
    </row>
    <row r="950" spans="1:13" x14ac:dyDescent="0.2">
      <c r="A950" s="30"/>
      <c r="B950" s="30"/>
      <c r="C950" s="30"/>
      <c r="D950" s="30"/>
      <c r="E950" s="30"/>
      <c r="F950" s="30"/>
      <c r="G950" s="30"/>
      <c r="H950" s="30"/>
      <c r="I950" s="30"/>
      <c r="J950" s="65"/>
      <c r="K950" s="83"/>
      <c r="L950" s="30"/>
      <c r="M950" s="39"/>
    </row>
    <row r="951" spans="1:13" x14ac:dyDescent="0.2">
      <c r="A951" s="30"/>
      <c r="B951" s="30"/>
      <c r="C951" s="30"/>
      <c r="D951" s="30"/>
      <c r="E951" s="30"/>
      <c r="F951" s="30"/>
      <c r="G951" s="30"/>
      <c r="H951" s="30"/>
      <c r="I951" s="30"/>
      <c r="J951" s="65"/>
      <c r="K951" s="83"/>
      <c r="L951" s="30"/>
      <c r="M951" s="39"/>
    </row>
    <row r="952" spans="1:13" x14ac:dyDescent="0.2">
      <c r="A952" s="30"/>
      <c r="B952" s="30"/>
      <c r="C952" s="30"/>
      <c r="D952" s="30"/>
      <c r="E952" s="30"/>
      <c r="F952" s="30"/>
      <c r="G952" s="30"/>
      <c r="H952" s="30"/>
      <c r="I952" s="30"/>
      <c r="J952" s="65"/>
      <c r="K952" s="83"/>
      <c r="L952" s="30"/>
      <c r="M952" s="39"/>
    </row>
    <row r="953" spans="1:13" x14ac:dyDescent="0.2">
      <c r="A953" s="30"/>
      <c r="B953" s="30"/>
      <c r="C953" s="30"/>
      <c r="D953" s="30"/>
      <c r="E953" s="30"/>
      <c r="F953" s="30"/>
      <c r="G953" s="30"/>
      <c r="H953" s="30"/>
      <c r="I953" s="30"/>
      <c r="J953" s="65"/>
      <c r="K953" s="83"/>
      <c r="L953" s="30"/>
      <c r="M953" s="39"/>
    </row>
    <row r="954" spans="1:13" x14ac:dyDescent="0.2">
      <c r="A954" s="30"/>
      <c r="B954" s="30"/>
      <c r="C954" s="30"/>
      <c r="D954" s="30"/>
      <c r="E954" s="30"/>
      <c r="F954" s="30"/>
      <c r="G954" s="30"/>
      <c r="H954" s="30"/>
      <c r="I954" s="30"/>
      <c r="J954" s="65"/>
      <c r="K954" s="83"/>
      <c r="L954" s="30"/>
      <c r="M954" s="39"/>
    </row>
    <row r="955" spans="1:13" x14ac:dyDescent="0.2">
      <c r="A955" s="30"/>
      <c r="B955" s="30"/>
      <c r="C955" s="30"/>
      <c r="D955" s="30"/>
      <c r="E955" s="30"/>
      <c r="F955" s="30"/>
      <c r="G955" s="30"/>
      <c r="H955" s="30"/>
      <c r="I955" s="30"/>
      <c r="J955" s="65"/>
      <c r="K955" s="83"/>
      <c r="L955" s="30"/>
      <c r="M955" s="39"/>
    </row>
    <row r="956" spans="1:13" x14ac:dyDescent="0.2">
      <c r="A956" s="30"/>
      <c r="B956" s="30"/>
      <c r="C956" s="30"/>
      <c r="D956" s="30"/>
      <c r="E956" s="30"/>
      <c r="F956" s="30"/>
      <c r="G956" s="30"/>
      <c r="H956" s="30"/>
      <c r="I956" s="30"/>
      <c r="J956" s="65"/>
      <c r="K956" s="83"/>
      <c r="L956" s="30"/>
      <c r="M956" s="39"/>
    </row>
    <row r="957" spans="1:13" x14ac:dyDescent="0.2">
      <c r="A957" s="30"/>
      <c r="B957" s="30"/>
      <c r="C957" s="30"/>
      <c r="D957" s="30"/>
      <c r="E957" s="30"/>
      <c r="F957" s="30"/>
      <c r="G957" s="30"/>
      <c r="H957" s="30"/>
      <c r="I957" s="30"/>
      <c r="J957" s="65"/>
      <c r="K957" s="83"/>
      <c r="L957" s="30"/>
      <c r="M957" s="39"/>
    </row>
    <row r="958" spans="1:13" x14ac:dyDescent="0.2">
      <c r="A958" s="30"/>
      <c r="B958" s="30"/>
      <c r="C958" s="30"/>
      <c r="D958" s="30"/>
      <c r="E958" s="30"/>
      <c r="F958" s="30"/>
      <c r="G958" s="30"/>
      <c r="H958" s="30"/>
      <c r="I958" s="30"/>
      <c r="J958" s="65"/>
      <c r="K958" s="83"/>
      <c r="L958" s="30"/>
      <c r="M958" s="39"/>
    </row>
    <row r="959" spans="1:13" x14ac:dyDescent="0.2">
      <c r="A959" s="30"/>
      <c r="B959" s="30"/>
      <c r="C959" s="30"/>
      <c r="D959" s="30"/>
      <c r="E959" s="30"/>
      <c r="F959" s="30"/>
      <c r="G959" s="30"/>
      <c r="H959" s="30"/>
      <c r="I959" s="30"/>
      <c r="J959" s="65"/>
      <c r="K959" s="83"/>
      <c r="L959" s="30"/>
      <c r="M959" s="39"/>
    </row>
    <row r="960" spans="1:13" x14ac:dyDescent="0.2">
      <c r="A960" s="30"/>
      <c r="B960" s="30"/>
      <c r="C960" s="30"/>
      <c r="D960" s="30"/>
      <c r="E960" s="30"/>
      <c r="F960" s="30"/>
      <c r="G960" s="30"/>
      <c r="H960" s="30"/>
      <c r="I960" s="30"/>
      <c r="J960" s="65"/>
      <c r="K960" s="83"/>
      <c r="L960" s="30"/>
      <c r="M960" s="39"/>
    </row>
    <row r="961" spans="1:13" x14ac:dyDescent="0.2">
      <c r="A961" s="30"/>
      <c r="B961" s="30"/>
      <c r="C961" s="30"/>
      <c r="D961" s="30"/>
      <c r="E961" s="30"/>
      <c r="F961" s="30"/>
      <c r="G961" s="30"/>
      <c r="H961" s="30"/>
      <c r="I961" s="30"/>
      <c r="J961" s="65"/>
      <c r="K961" s="83"/>
      <c r="L961" s="30"/>
      <c r="M961" s="39"/>
    </row>
    <row r="962" spans="1:13" x14ac:dyDescent="0.2">
      <c r="A962" s="30"/>
      <c r="B962" s="30"/>
      <c r="C962" s="30"/>
      <c r="D962" s="30"/>
      <c r="E962" s="30"/>
      <c r="F962" s="30"/>
      <c r="G962" s="30"/>
      <c r="H962" s="30"/>
      <c r="I962" s="30"/>
      <c r="J962" s="65"/>
      <c r="K962" s="83"/>
      <c r="L962" s="30"/>
      <c r="M962" s="39"/>
    </row>
    <row r="963" spans="1:13" x14ac:dyDescent="0.2">
      <c r="A963" s="30"/>
      <c r="B963" s="30"/>
      <c r="C963" s="30"/>
      <c r="D963" s="30"/>
      <c r="E963" s="30"/>
      <c r="F963" s="30"/>
      <c r="G963" s="30"/>
      <c r="H963" s="30"/>
      <c r="I963" s="30"/>
      <c r="J963" s="65"/>
      <c r="K963" s="83"/>
      <c r="L963" s="30"/>
      <c r="M963" s="39"/>
    </row>
    <row r="964" spans="1:13" x14ac:dyDescent="0.2">
      <c r="A964" s="30"/>
      <c r="B964" s="30"/>
      <c r="C964" s="30"/>
      <c r="D964" s="30"/>
      <c r="E964" s="30"/>
      <c r="F964" s="30"/>
      <c r="G964" s="30"/>
      <c r="H964" s="30"/>
      <c r="I964" s="30"/>
      <c r="J964" s="65"/>
      <c r="K964" s="83"/>
      <c r="L964" s="30"/>
      <c r="M964" s="39"/>
    </row>
    <row r="965" spans="1:13" x14ac:dyDescent="0.2">
      <c r="A965" s="30"/>
      <c r="B965" s="30"/>
      <c r="C965" s="30"/>
      <c r="D965" s="30"/>
      <c r="E965" s="30"/>
      <c r="F965" s="30"/>
      <c r="G965" s="30"/>
      <c r="H965" s="30"/>
      <c r="I965" s="30"/>
      <c r="J965" s="65"/>
      <c r="K965" s="83"/>
      <c r="L965" s="30"/>
      <c r="M965" s="39"/>
    </row>
    <row r="966" spans="1:13" x14ac:dyDescent="0.2">
      <c r="A966" s="30"/>
      <c r="B966" s="30"/>
      <c r="C966" s="30"/>
      <c r="D966" s="30"/>
      <c r="E966" s="30"/>
      <c r="F966" s="30"/>
      <c r="G966" s="30"/>
      <c r="H966" s="30"/>
      <c r="I966" s="30"/>
      <c r="J966" s="65"/>
      <c r="K966" s="83"/>
      <c r="L966" s="30"/>
      <c r="M966" s="39"/>
    </row>
    <row r="967" spans="1:13" x14ac:dyDescent="0.2">
      <c r="A967" s="30"/>
      <c r="B967" s="30"/>
      <c r="C967" s="30"/>
      <c r="D967" s="30"/>
      <c r="E967" s="30"/>
      <c r="F967" s="30"/>
      <c r="G967" s="30"/>
      <c r="H967" s="30"/>
      <c r="I967" s="30"/>
      <c r="J967" s="65"/>
      <c r="K967" s="83"/>
      <c r="L967" s="30"/>
      <c r="M967" s="39"/>
    </row>
    <row r="968" spans="1:13" x14ac:dyDescent="0.2">
      <c r="A968" s="30"/>
      <c r="B968" s="30"/>
      <c r="C968" s="30"/>
      <c r="D968" s="30"/>
      <c r="E968" s="30"/>
      <c r="F968" s="30"/>
      <c r="G968" s="30"/>
      <c r="H968" s="30"/>
      <c r="I968" s="30"/>
      <c r="J968" s="65"/>
      <c r="K968" s="83"/>
      <c r="L968" s="30"/>
      <c r="M968" s="39"/>
    </row>
    <row r="969" spans="1:13" x14ac:dyDescent="0.2">
      <c r="A969" s="30"/>
      <c r="B969" s="30"/>
      <c r="C969" s="30"/>
      <c r="D969" s="30"/>
      <c r="E969" s="30"/>
      <c r="F969" s="30"/>
      <c r="G969" s="30"/>
      <c r="H969" s="30"/>
      <c r="I969" s="30"/>
      <c r="J969" s="65"/>
      <c r="K969" s="83"/>
      <c r="L969" s="30"/>
      <c r="M969" s="39"/>
    </row>
    <row r="970" spans="1:13" x14ac:dyDescent="0.2">
      <c r="A970" s="30"/>
      <c r="B970" s="30"/>
      <c r="C970" s="30"/>
      <c r="D970" s="30"/>
      <c r="E970" s="30"/>
      <c r="F970" s="30"/>
      <c r="G970" s="30"/>
      <c r="H970" s="30"/>
      <c r="I970" s="30"/>
      <c r="J970" s="65"/>
      <c r="K970" s="83"/>
      <c r="L970" s="30"/>
      <c r="M970" s="39"/>
    </row>
    <row r="971" spans="1:13" x14ac:dyDescent="0.2">
      <c r="A971" s="30"/>
      <c r="B971" s="30"/>
      <c r="C971" s="30"/>
      <c r="D971" s="30"/>
      <c r="E971" s="30"/>
      <c r="F971" s="30"/>
      <c r="G971" s="30"/>
      <c r="H971" s="30"/>
      <c r="I971" s="30"/>
      <c r="J971" s="65"/>
      <c r="K971" s="83"/>
      <c r="L971" s="30"/>
      <c r="M971" s="39"/>
    </row>
    <row r="972" spans="1:13" x14ac:dyDescent="0.2">
      <c r="A972" s="30"/>
      <c r="B972" s="30"/>
      <c r="C972" s="30"/>
      <c r="D972" s="30"/>
      <c r="E972" s="30"/>
      <c r="F972" s="30"/>
      <c r="G972" s="30"/>
      <c r="H972" s="30"/>
      <c r="I972" s="30"/>
      <c r="J972" s="65"/>
      <c r="K972" s="83"/>
      <c r="L972" s="30"/>
      <c r="M972" s="39"/>
    </row>
    <row r="973" spans="1:13" x14ac:dyDescent="0.2">
      <c r="A973" s="30"/>
      <c r="B973" s="30"/>
      <c r="C973" s="30"/>
      <c r="D973" s="30"/>
      <c r="E973" s="30"/>
      <c r="F973" s="30"/>
      <c r="G973" s="30"/>
      <c r="H973" s="30"/>
      <c r="I973" s="30"/>
      <c r="J973" s="65"/>
      <c r="K973" s="83"/>
      <c r="L973" s="30"/>
      <c r="M973" s="39"/>
    </row>
    <row r="974" spans="1:13" x14ac:dyDescent="0.2">
      <c r="A974" s="30"/>
      <c r="B974" s="30"/>
      <c r="C974" s="30"/>
      <c r="D974" s="30"/>
      <c r="E974" s="30"/>
      <c r="F974" s="30"/>
      <c r="G974" s="30"/>
      <c r="H974" s="30"/>
      <c r="I974" s="30"/>
      <c r="J974" s="65"/>
      <c r="K974" s="83"/>
      <c r="L974" s="30"/>
      <c r="M974" s="39"/>
    </row>
    <row r="975" spans="1:13" x14ac:dyDescent="0.2">
      <c r="A975" s="30"/>
      <c r="B975" s="30"/>
      <c r="C975" s="30"/>
      <c r="D975" s="30"/>
      <c r="E975" s="30"/>
      <c r="F975" s="30"/>
      <c r="G975" s="30"/>
      <c r="H975" s="30"/>
      <c r="I975" s="30"/>
      <c r="J975" s="65"/>
      <c r="K975" s="83"/>
      <c r="L975" s="30"/>
      <c r="M975" s="39"/>
    </row>
    <row r="976" spans="1:13" x14ac:dyDescent="0.2">
      <c r="A976" s="30"/>
      <c r="B976" s="30"/>
      <c r="C976" s="30"/>
      <c r="D976" s="30"/>
      <c r="E976" s="30"/>
      <c r="F976" s="30"/>
      <c r="G976" s="30"/>
      <c r="H976" s="30"/>
      <c r="I976" s="30"/>
      <c r="J976" s="65"/>
      <c r="K976" s="83"/>
      <c r="L976" s="30"/>
      <c r="M976" s="39"/>
    </row>
    <row r="977" spans="1:13" x14ac:dyDescent="0.2">
      <c r="A977" s="30"/>
      <c r="B977" s="30"/>
      <c r="C977" s="30"/>
      <c r="D977" s="30"/>
      <c r="E977" s="30"/>
      <c r="F977" s="30"/>
      <c r="G977" s="30"/>
      <c r="H977" s="30"/>
      <c r="I977" s="30"/>
      <c r="J977" s="65"/>
      <c r="K977" s="83"/>
      <c r="L977" s="30"/>
      <c r="M977" s="39"/>
    </row>
    <row r="978" spans="1:13" x14ac:dyDescent="0.2">
      <c r="A978" s="30"/>
      <c r="B978" s="30"/>
      <c r="C978" s="30"/>
      <c r="D978" s="30"/>
      <c r="E978" s="30"/>
      <c r="F978" s="30"/>
      <c r="G978" s="30"/>
      <c r="H978" s="30"/>
      <c r="I978" s="30"/>
      <c r="J978" s="65"/>
      <c r="K978" s="83"/>
      <c r="L978" s="30"/>
      <c r="M978" s="39"/>
    </row>
    <row r="979" spans="1:13" x14ac:dyDescent="0.2">
      <c r="A979" s="30"/>
      <c r="B979" s="30"/>
      <c r="C979" s="30"/>
      <c r="D979" s="30"/>
      <c r="E979" s="30"/>
      <c r="F979" s="30"/>
      <c r="G979" s="30"/>
      <c r="H979" s="30"/>
      <c r="I979" s="30"/>
      <c r="J979" s="65"/>
      <c r="K979" s="83"/>
      <c r="L979" s="30"/>
      <c r="M979" s="39"/>
    </row>
    <row r="980" spans="1:13" x14ac:dyDescent="0.2">
      <c r="A980" s="30"/>
      <c r="B980" s="30"/>
      <c r="C980" s="30"/>
      <c r="D980" s="30"/>
      <c r="E980" s="30"/>
      <c r="F980" s="30"/>
      <c r="G980" s="30"/>
      <c r="H980" s="30"/>
      <c r="I980" s="30"/>
      <c r="J980" s="65"/>
      <c r="K980" s="83"/>
      <c r="L980" s="30"/>
      <c r="M980" s="39"/>
    </row>
    <row r="981" spans="1:13" x14ac:dyDescent="0.2">
      <c r="A981" s="30"/>
      <c r="B981" s="30"/>
      <c r="C981" s="30"/>
      <c r="D981" s="30"/>
      <c r="E981" s="30"/>
      <c r="F981" s="30"/>
      <c r="G981" s="30"/>
      <c r="H981" s="30"/>
      <c r="I981" s="30"/>
      <c r="J981" s="65"/>
      <c r="K981" s="83"/>
      <c r="L981" s="30"/>
      <c r="M981" s="39"/>
    </row>
    <row r="982" spans="1:13" x14ac:dyDescent="0.2">
      <c r="A982" s="30"/>
      <c r="B982" s="30"/>
      <c r="C982" s="30"/>
      <c r="D982" s="30"/>
      <c r="E982" s="30"/>
      <c r="F982" s="30"/>
      <c r="G982" s="30"/>
      <c r="H982" s="30"/>
      <c r="I982" s="30"/>
      <c r="J982" s="65"/>
      <c r="K982" s="83"/>
      <c r="L982" s="30"/>
      <c r="M982" s="39"/>
    </row>
    <row r="983" spans="1:13" x14ac:dyDescent="0.2">
      <c r="A983" s="30"/>
      <c r="B983" s="30"/>
      <c r="C983" s="30"/>
      <c r="D983" s="30"/>
      <c r="E983" s="30"/>
      <c r="F983" s="30"/>
      <c r="G983" s="30"/>
      <c r="H983" s="30"/>
      <c r="I983" s="30"/>
      <c r="J983" s="65"/>
      <c r="K983" s="83"/>
      <c r="L983" s="30"/>
      <c r="M983" s="39"/>
    </row>
    <row r="984" spans="1:13" x14ac:dyDescent="0.2">
      <c r="A984" s="30"/>
      <c r="B984" s="30"/>
      <c r="C984" s="30"/>
      <c r="D984" s="30"/>
      <c r="E984" s="30"/>
      <c r="F984" s="30"/>
      <c r="G984" s="30"/>
      <c r="H984" s="30"/>
      <c r="I984" s="30"/>
      <c r="J984" s="65"/>
      <c r="K984" s="83"/>
      <c r="L984" s="30"/>
      <c r="M984" s="39"/>
    </row>
    <row r="985" spans="1:13" x14ac:dyDescent="0.2">
      <c r="A985" s="30"/>
      <c r="B985" s="30"/>
      <c r="C985" s="30"/>
      <c r="D985" s="30"/>
      <c r="E985" s="30"/>
      <c r="F985" s="30"/>
      <c r="G985" s="30"/>
      <c r="H985" s="30"/>
      <c r="I985" s="30"/>
      <c r="J985" s="65"/>
      <c r="K985" s="83"/>
      <c r="L985" s="30"/>
      <c r="M985" s="39"/>
    </row>
    <row r="986" spans="1:13" x14ac:dyDescent="0.2">
      <c r="A986" s="30"/>
      <c r="B986" s="30"/>
      <c r="C986" s="30"/>
      <c r="D986" s="30"/>
      <c r="E986" s="30"/>
      <c r="F986" s="30"/>
      <c r="G986" s="30"/>
      <c r="H986" s="30"/>
      <c r="I986" s="30"/>
      <c r="J986" s="65"/>
      <c r="K986" s="83"/>
      <c r="L986" s="30"/>
      <c r="M986" s="39"/>
    </row>
    <row r="987" spans="1:13" x14ac:dyDescent="0.2">
      <c r="A987" s="30"/>
      <c r="B987" s="30"/>
      <c r="C987" s="30"/>
      <c r="D987" s="30"/>
      <c r="E987" s="30"/>
      <c r="F987" s="30"/>
      <c r="G987" s="30"/>
      <c r="H987" s="30"/>
      <c r="I987" s="30"/>
      <c r="J987" s="65"/>
      <c r="K987" s="83"/>
      <c r="L987" s="30"/>
      <c r="M987" s="39"/>
    </row>
    <row r="988" spans="1:13" x14ac:dyDescent="0.2">
      <c r="A988" s="30"/>
      <c r="B988" s="30"/>
      <c r="C988" s="30"/>
      <c r="D988" s="30"/>
      <c r="E988" s="30"/>
      <c r="F988" s="30"/>
      <c r="G988" s="30"/>
      <c r="H988" s="30"/>
      <c r="I988" s="30"/>
      <c r="J988" s="65"/>
      <c r="K988" s="83"/>
      <c r="L988" s="30"/>
      <c r="M988" s="39"/>
    </row>
    <row r="989" spans="1:13" x14ac:dyDescent="0.2">
      <c r="A989" s="30"/>
      <c r="B989" s="30"/>
      <c r="C989" s="30"/>
      <c r="D989" s="30"/>
      <c r="E989" s="30"/>
      <c r="F989" s="30"/>
      <c r="G989" s="30"/>
      <c r="H989" s="30"/>
      <c r="I989" s="30"/>
      <c r="J989" s="65"/>
      <c r="K989" s="83"/>
      <c r="L989" s="30"/>
      <c r="M989" s="39"/>
    </row>
    <row r="990" spans="1:13" x14ac:dyDescent="0.2">
      <c r="A990" s="30"/>
      <c r="B990" s="30"/>
      <c r="C990" s="30"/>
      <c r="D990" s="30"/>
      <c r="E990" s="30"/>
      <c r="F990" s="30"/>
      <c r="G990" s="30"/>
      <c r="H990" s="30"/>
      <c r="I990" s="30"/>
      <c r="J990" s="65"/>
      <c r="K990" s="83"/>
      <c r="L990" s="30"/>
      <c r="M990" s="39"/>
    </row>
    <row r="991" spans="1:13" x14ac:dyDescent="0.2">
      <c r="A991" s="30"/>
      <c r="B991" s="30"/>
      <c r="C991" s="30"/>
      <c r="D991" s="30"/>
      <c r="E991" s="30"/>
      <c r="F991" s="30"/>
      <c r="G991" s="30"/>
      <c r="H991" s="30"/>
      <c r="I991" s="30"/>
      <c r="J991" s="65"/>
      <c r="K991" s="83"/>
      <c r="L991" s="30"/>
      <c r="M991" s="39"/>
    </row>
    <row r="992" spans="1:13" x14ac:dyDescent="0.2">
      <c r="A992" s="30"/>
      <c r="B992" s="30"/>
      <c r="C992" s="30"/>
      <c r="D992" s="30"/>
      <c r="E992" s="30"/>
      <c r="F992" s="30"/>
      <c r="G992" s="30"/>
      <c r="H992" s="30"/>
      <c r="I992" s="30"/>
      <c r="J992" s="65"/>
      <c r="K992" s="83"/>
      <c r="L992" s="30"/>
      <c r="M992" s="39"/>
    </row>
    <row r="993" spans="1:13" x14ac:dyDescent="0.2">
      <c r="A993" s="30"/>
      <c r="B993" s="30"/>
      <c r="C993" s="30"/>
      <c r="D993" s="30"/>
      <c r="E993" s="30"/>
      <c r="F993" s="30"/>
      <c r="G993" s="30"/>
      <c r="H993" s="30"/>
      <c r="I993" s="30"/>
      <c r="J993" s="65"/>
      <c r="K993" s="83"/>
      <c r="L993" s="30"/>
      <c r="M993" s="39"/>
    </row>
    <row r="994" spans="1:13" x14ac:dyDescent="0.2">
      <c r="A994" s="30"/>
      <c r="B994" s="30"/>
      <c r="C994" s="30"/>
      <c r="D994" s="30"/>
      <c r="E994" s="30"/>
      <c r="F994" s="30"/>
      <c r="G994" s="30"/>
      <c r="H994" s="30"/>
      <c r="I994" s="30"/>
      <c r="J994" s="65"/>
      <c r="K994" s="83"/>
      <c r="L994" s="30"/>
      <c r="M994" s="39"/>
    </row>
    <row r="995" spans="1:13" x14ac:dyDescent="0.2">
      <c r="A995" s="30"/>
      <c r="B995" s="30"/>
      <c r="C995" s="30"/>
      <c r="D995" s="30"/>
      <c r="E995" s="30"/>
      <c r="F995" s="30"/>
      <c r="G995" s="30"/>
      <c r="H995" s="30"/>
      <c r="I995" s="30"/>
      <c r="J995" s="65"/>
      <c r="K995" s="83"/>
      <c r="L995" s="30"/>
      <c r="M995" s="39"/>
    </row>
    <row r="996" spans="1:13" x14ac:dyDescent="0.2">
      <c r="A996" s="30"/>
      <c r="B996" s="30"/>
      <c r="C996" s="30"/>
      <c r="D996" s="30"/>
      <c r="E996" s="30"/>
      <c r="F996" s="30"/>
      <c r="G996" s="30"/>
      <c r="H996" s="30"/>
      <c r="I996" s="30"/>
      <c r="J996" s="65"/>
      <c r="K996" s="83"/>
      <c r="L996" s="30"/>
      <c r="M996" s="39"/>
    </row>
    <row r="997" spans="1:13" x14ac:dyDescent="0.2">
      <c r="A997" s="30"/>
      <c r="B997" s="30"/>
      <c r="C997" s="30"/>
      <c r="D997" s="30"/>
      <c r="E997" s="30"/>
      <c r="F997" s="30"/>
      <c r="G997" s="30"/>
      <c r="H997" s="30"/>
      <c r="I997" s="30"/>
      <c r="J997" s="65"/>
      <c r="K997" s="83"/>
      <c r="L997" s="30"/>
      <c r="M997" s="39"/>
    </row>
    <row r="998" spans="1:13" x14ac:dyDescent="0.2">
      <c r="A998" s="30"/>
      <c r="B998" s="30"/>
      <c r="C998" s="30"/>
      <c r="D998" s="30"/>
      <c r="E998" s="30"/>
      <c r="F998" s="30"/>
      <c r="G998" s="30"/>
      <c r="H998" s="30"/>
      <c r="I998" s="30"/>
      <c r="J998" s="65"/>
      <c r="K998" s="83"/>
      <c r="L998" s="30"/>
      <c r="M998" s="39"/>
    </row>
    <row r="999" spans="1:13" x14ac:dyDescent="0.2">
      <c r="A999" s="30"/>
      <c r="B999" s="30"/>
      <c r="C999" s="30"/>
      <c r="D999" s="30"/>
      <c r="E999" s="30"/>
      <c r="F999" s="30"/>
      <c r="G999" s="30"/>
      <c r="H999" s="30"/>
      <c r="I999" s="30"/>
      <c r="J999" s="65"/>
      <c r="K999" s="83"/>
      <c r="L999" s="30"/>
      <c r="M999" s="39"/>
    </row>
    <row r="1000" spans="1:13" x14ac:dyDescent="0.2">
      <c r="A1000" s="30"/>
      <c r="B1000" s="30"/>
      <c r="C1000" s="30"/>
      <c r="D1000" s="30"/>
      <c r="E1000" s="30"/>
      <c r="F1000" s="30"/>
      <c r="G1000" s="30"/>
      <c r="H1000" s="30"/>
      <c r="I1000" s="30"/>
      <c r="J1000" s="65"/>
      <c r="K1000" s="83"/>
      <c r="L1000" s="30"/>
      <c r="M1000" s="39"/>
    </row>
    <row r="1001" spans="1:13" x14ac:dyDescent="0.2">
      <c r="A1001" s="30"/>
      <c r="B1001" s="30"/>
      <c r="C1001" s="30"/>
      <c r="D1001" s="30"/>
      <c r="E1001" s="30"/>
      <c r="F1001" s="30"/>
      <c r="G1001" s="30"/>
      <c r="H1001" s="30"/>
      <c r="I1001" s="30"/>
      <c r="J1001" s="65"/>
      <c r="K1001" s="83"/>
      <c r="L1001" s="30"/>
      <c r="M1001" s="39"/>
    </row>
    <row r="1002" spans="1:13" x14ac:dyDescent="0.2">
      <c r="A1002" s="30"/>
      <c r="B1002" s="30"/>
      <c r="C1002" s="30"/>
      <c r="D1002" s="30"/>
      <c r="E1002" s="30"/>
      <c r="F1002" s="30"/>
      <c r="G1002" s="30"/>
      <c r="H1002" s="30"/>
      <c r="I1002" s="30"/>
      <c r="J1002" s="65"/>
      <c r="K1002" s="83"/>
      <c r="L1002" s="30"/>
      <c r="M1002" s="39"/>
    </row>
    <row r="1003" spans="1:13" x14ac:dyDescent="0.2">
      <c r="A1003" s="30"/>
      <c r="B1003" s="30"/>
      <c r="C1003" s="30"/>
      <c r="D1003" s="30"/>
      <c r="E1003" s="30"/>
      <c r="F1003" s="30"/>
      <c r="G1003" s="30"/>
      <c r="H1003" s="30"/>
      <c r="I1003" s="30"/>
      <c r="J1003" s="65"/>
      <c r="K1003" s="83"/>
      <c r="L1003" s="30"/>
      <c r="M1003" s="39"/>
    </row>
    <row r="1004" spans="1:13" x14ac:dyDescent="0.2">
      <c r="A1004" s="30"/>
      <c r="B1004" s="30"/>
      <c r="C1004" s="30"/>
      <c r="D1004" s="30"/>
      <c r="E1004" s="30"/>
      <c r="F1004" s="30"/>
      <c r="G1004" s="30"/>
      <c r="H1004" s="30"/>
      <c r="I1004" s="30"/>
      <c r="J1004" s="65"/>
      <c r="K1004" s="83"/>
      <c r="L1004" s="30"/>
      <c r="M1004" s="39"/>
    </row>
    <row r="1005" spans="1:13" x14ac:dyDescent="0.2">
      <c r="A1005" s="30"/>
      <c r="B1005" s="30"/>
      <c r="C1005" s="30"/>
      <c r="D1005" s="30"/>
      <c r="E1005" s="30"/>
      <c r="F1005" s="30"/>
      <c r="G1005" s="30"/>
      <c r="H1005" s="30"/>
      <c r="I1005" s="30"/>
      <c r="J1005" s="65"/>
      <c r="K1005" s="83"/>
      <c r="L1005" s="30"/>
      <c r="M1005" s="39"/>
    </row>
    <row r="1006" spans="1:13" x14ac:dyDescent="0.2">
      <c r="A1006" s="30"/>
      <c r="B1006" s="30"/>
      <c r="C1006" s="30"/>
      <c r="D1006" s="30"/>
      <c r="E1006" s="30"/>
      <c r="F1006" s="30"/>
      <c r="G1006" s="30"/>
      <c r="H1006" s="30"/>
      <c r="I1006" s="30"/>
      <c r="J1006" s="65"/>
      <c r="K1006" s="83"/>
      <c r="L1006" s="30"/>
      <c r="M1006" s="39"/>
    </row>
    <row r="1007" spans="1:13" x14ac:dyDescent="0.2">
      <c r="A1007" s="30"/>
      <c r="B1007" s="30"/>
      <c r="C1007" s="30"/>
      <c r="D1007" s="30"/>
      <c r="E1007" s="30"/>
      <c r="F1007" s="30"/>
      <c r="G1007" s="30"/>
      <c r="H1007" s="30"/>
      <c r="I1007" s="30"/>
      <c r="J1007" s="65"/>
      <c r="K1007" s="83"/>
      <c r="L1007" s="30"/>
      <c r="M1007" s="39"/>
    </row>
    <row r="1008" spans="1:13" x14ac:dyDescent="0.2">
      <c r="A1008" s="30"/>
      <c r="B1008" s="30"/>
      <c r="C1008" s="30"/>
      <c r="D1008" s="30"/>
      <c r="E1008" s="30"/>
      <c r="F1008" s="30"/>
      <c r="G1008" s="30"/>
      <c r="H1008" s="30"/>
      <c r="I1008" s="30"/>
      <c r="J1008" s="65"/>
      <c r="K1008" s="83"/>
      <c r="L1008" s="30"/>
      <c r="M1008" s="39"/>
    </row>
    <row r="1009" spans="1:13" x14ac:dyDescent="0.2">
      <c r="A1009" s="30"/>
      <c r="B1009" s="30"/>
      <c r="C1009" s="30"/>
      <c r="D1009" s="30"/>
      <c r="E1009" s="30"/>
      <c r="F1009" s="30"/>
      <c r="G1009" s="30"/>
      <c r="H1009" s="30"/>
      <c r="I1009" s="30"/>
      <c r="J1009" s="65"/>
      <c r="K1009" s="83"/>
      <c r="L1009" s="30"/>
      <c r="M1009" s="39"/>
    </row>
    <row r="1010" spans="1:13" x14ac:dyDescent="0.2">
      <c r="A1010" s="30"/>
      <c r="B1010" s="30"/>
      <c r="C1010" s="30"/>
      <c r="D1010" s="30"/>
      <c r="E1010" s="30"/>
      <c r="F1010" s="30"/>
      <c r="G1010" s="30"/>
      <c r="H1010" s="30"/>
      <c r="I1010" s="30"/>
      <c r="J1010" s="65"/>
      <c r="K1010" s="83"/>
      <c r="L1010" s="30"/>
      <c r="M1010" s="39"/>
    </row>
    <row r="1011" spans="1:13" x14ac:dyDescent="0.2">
      <c r="A1011" s="30"/>
      <c r="B1011" s="30"/>
      <c r="C1011" s="30"/>
      <c r="D1011" s="30"/>
      <c r="E1011" s="30"/>
      <c r="F1011" s="30"/>
      <c r="G1011" s="30"/>
      <c r="H1011" s="30"/>
      <c r="I1011" s="30"/>
      <c r="J1011" s="65"/>
      <c r="K1011" s="83"/>
      <c r="L1011" s="30"/>
      <c r="M1011" s="39"/>
    </row>
    <row r="1012" spans="1:13" x14ac:dyDescent="0.2">
      <c r="A1012" s="30"/>
      <c r="B1012" s="30"/>
      <c r="C1012" s="30"/>
      <c r="D1012" s="30"/>
      <c r="E1012" s="30"/>
      <c r="F1012" s="30"/>
      <c r="G1012" s="30"/>
      <c r="H1012" s="30"/>
      <c r="I1012" s="30"/>
      <c r="J1012" s="65"/>
      <c r="K1012" s="83"/>
      <c r="L1012" s="30"/>
      <c r="M1012" s="39"/>
    </row>
    <row r="1013" spans="1:13" x14ac:dyDescent="0.2">
      <c r="A1013" s="30"/>
      <c r="B1013" s="30"/>
      <c r="C1013" s="30"/>
      <c r="D1013" s="30"/>
      <c r="E1013" s="30"/>
      <c r="F1013" s="30"/>
      <c r="G1013" s="30"/>
      <c r="H1013" s="30"/>
      <c r="I1013" s="30"/>
      <c r="J1013" s="65"/>
      <c r="K1013" s="83"/>
      <c r="L1013" s="30"/>
      <c r="M1013" s="39"/>
    </row>
    <row r="1014" spans="1:13" x14ac:dyDescent="0.2">
      <c r="A1014" s="30"/>
      <c r="B1014" s="30"/>
      <c r="C1014" s="30"/>
      <c r="D1014" s="30"/>
      <c r="E1014" s="30"/>
      <c r="F1014" s="30"/>
      <c r="G1014" s="30"/>
      <c r="H1014" s="30"/>
      <c r="I1014" s="30"/>
      <c r="J1014" s="65"/>
      <c r="K1014" s="83"/>
      <c r="L1014" s="30"/>
      <c r="M1014" s="39"/>
    </row>
    <row r="1015" spans="1:13" x14ac:dyDescent="0.2">
      <c r="A1015" s="30"/>
      <c r="B1015" s="30"/>
      <c r="C1015" s="30"/>
      <c r="D1015" s="30"/>
      <c r="E1015" s="30"/>
      <c r="F1015" s="30"/>
      <c r="G1015" s="30"/>
      <c r="H1015" s="30"/>
      <c r="I1015" s="30"/>
      <c r="J1015" s="65"/>
      <c r="K1015" s="83"/>
      <c r="L1015" s="30"/>
      <c r="M1015" s="39"/>
    </row>
    <row r="1016" spans="1:13" x14ac:dyDescent="0.2">
      <c r="A1016" s="30"/>
      <c r="B1016" s="30"/>
      <c r="C1016" s="30"/>
      <c r="D1016" s="30"/>
      <c r="E1016" s="30"/>
      <c r="F1016" s="30"/>
      <c r="G1016" s="30"/>
      <c r="H1016" s="30"/>
      <c r="I1016" s="30"/>
      <c r="J1016" s="65"/>
      <c r="K1016" s="83"/>
      <c r="L1016" s="30"/>
      <c r="M1016" s="39"/>
    </row>
    <row r="1017" spans="1:13" x14ac:dyDescent="0.2">
      <c r="A1017" s="30"/>
      <c r="B1017" s="30"/>
      <c r="C1017" s="30"/>
      <c r="D1017" s="30"/>
      <c r="E1017" s="30"/>
      <c r="F1017" s="30"/>
      <c r="G1017" s="30"/>
      <c r="H1017" s="30"/>
      <c r="I1017" s="30"/>
      <c r="J1017" s="65"/>
      <c r="K1017" s="83"/>
      <c r="L1017" s="30"/>
      <c r="M1017" s="39"/>
    </row>
    <row r="1018" spans="1:13" x14ac:dyDescent="0.2">
      <c r="A1018" s="30"/>
      <c r="B1018" s="30"/>
      <c r="C1018" s="30"/>
      <c r="D1018" s="30"/>
      <c r="E1018" s="30"/>
      <c r="F1018" s="30"/>
      <c r="G1018" s="30"/>
      <c r="H1018" s="30"/>
      <c r="I1018" s="30"/>
      <c r="J1018" s="65"/>
      <c r="K1018" s="83"/>
      <c r="L1018" s="30"/>
      <c r="M1018" s="39"/>
    </row>
    <row r="1019" spans="1:13" x14ac:dyDescent="0.2">
      <c r="A1019" s="30"/>
      <c r="B1019" s="30"/>
      <c r="C1019" s="30"/>
      <c r="D1019" s="30"/>
      <c r="E1019" s="30"/>
      <c r="F1019" s="30"/>
      <c r="G1019" s="30"/>
      <c r="H1019" s="30"/>
      <c r="I1019" s="30"/>
      <c r="J1019" s="65"/>
      <c r="K1019" s="83"/>
      <c r="L1019" s="30"/>
      <c r="M1019" s="39"/>
    </row>
    <row r="1020" spans="1:13" x14ac:dyDescent="0.2">
      <c r="A1020" s="30"/>
      <c r="B1020" s="30"/>
      <c r="C1020" s="30"/>
      <c r="D1020" s="30"/>
      <c r="E1020" s="30"/>
      <c r="F1020" s="30"/>
      <c r="G1020" s="30"/>
      <c r="H1020" s="30"/>
      <c r="I1020" s="30"/>
      <c r="J1020" s="65"/>
      <c r="K1020" s="83"/>
      <c r="L1020" s="30"/>
      <c r="M1020" s="39"/>
    </row>
    <row r="1021" spans="1:13" x14ac:dyDescent="0.2">
      <c r="A1021" s="30"/>
      <c r="B1021" s="30"/>
      <c r="C1021" s="30"/>
      <c r="D1021" s="30"/>
      <c r="E1021" s="30"/>
      <c r="F1021" s="30"/>
      <c r="G1021" s="30"/>
      <c r="H1021" s="30"/>
      <c r="I1021" s="30"/>
      <c r="J1021" s="65"/>
      <c r="K1021" s="83"/>
      <c r="L1021" s="30"/>
      <c r="M1021" s="39"/>
    </row>
    <row r="1022" spans="1:13" x14ac:dyDescent="0.2">
      <c r="A1022" s="30"/>
      <c r="B1022" s="30"/>
      <c r="C1022" s="30"/>
      <c r="D1022" s="30"/>
      <c r="E1022" s="30"/>
      <c r="F1022" s="30"/>
      <c r="G1022" s="30"/>
      <c r="H1022" s="30"/>
      <c r="I1022" s="30"/>
      <c r="J1022" s="65"/>
      <c r="K1022" s="83"/>
      <c r="L1022" s="30"/>
      <c r="M1022" s="39"/>
    </row>
    <row r="1023" spans="1:13" x14ac:dyDescent="0.2">
      <c r="A1023" s="30"/>
      <c r="B1023" s="30"/>
      <c r="C1023" s="30"/>
      <c r="D1023" s="30"/>
      <c r="E1023" s="30"/>
      <c r="F1023" s="30"/>
      <c r="G1023" s="30"/>
      <c r="H1023" s="30"/>
      <c r="I1023" s="30"/>
      <c r="J1023" s="65"/>
      <c r="K1023" s="83"/>
      <c r="L1023" s="30"/>
      <c r="M1023" s="39"/>
    </row>
    <row r="1024" spans="1:13" x14ac:dyDescent="0.2">
      <c r="A1024" s="30"/>
      <c r="B1024" s="30"/>
      <c r="C1024" s="30"/>
      <c r="D1024" s="30"/>
      <c r="E1024" s="30"/>
      <c r="F1024" s="30"/>
      <c r="G1024" s="30"/>
      <c r="H1024" s="30"/>
      <c r="I1024" s="30"/>
      <c r="J1024" s="65"/>
      <c r="K1024" s="83"/>
      <c r="L1024" s="30"/>
      <c r="M1024" s="39"/>
    </row>
    <row r="1025" spans="1:13" x14ac:dyDescent="0.2">
      <c r="A1025" s="30"/>
      <c r="B1025" s="30"/>
      <c r="C1025" s="30"/>
      <c r="D1025" s="30"/>
      <c r="E1025" s="30"/>
      <c r="F1025" s="30"/>
      <c r="G1025" s="30"/>
      <c r="H1025" s="30"/>
      <c r="I1025" s="30"/>
      <c r="J1025" s="65"/>
      <c r="K1025" s="83"/>
      <c r="L1025" s="30"/>
      <c r="M1025" s="39"/>
    </row>
    <row r="1026" spans="1:13" x14ac:dyDescent="0.2">
      <c r="A1026" s="30"/>
      <c r="B1026" s="30"/>
      <c r="C1026" s="30"/>
      <c r="D1026" s="30"/>
      <c r="E1026" s="30"/>
      <c r="F1026" s="30"/>
      <c r="G1026" s="30"/>
      <c r="H1026" s="30"/>
      <c r="I1026" s="30"/>
      <c r="J1026" s="65"/>
      <c r="K1026" s="83"/>
      <c r="L1026" s="30"/>
      <c r="M1026" s="39"/>
    </row>
    <row r="1027" spans="1:13" x14ac:dyDescent="0.2">
      <c r="A1027" s="30"/>
      <c r="B1027" s="30"/>
      <c r="C1027" s="30"/>
      <c r="D1027" s="30"/>
      <c r="E1027" s="30"/>
      <c r="F1027" s="30"/>
      <c r="G1027" s="30"/>
      <c r="H1027" s="30"/>
      <c r="I1027" s="30"/>
      <c r="J1027" s="65"/>
      <c r="K1027" s="83"/>
      <c r="L1027" s="30"/>
      <c r="M1027" s="39"/>
    </row>
    <row r="1028" spans="1:13" x14ac:dyDescent="0.2">
      <c r="A1028" s="30"/>
      <c r="B1028" s="30"/>
      <c r="C1028" s="30"/>
      <c r="D1028" s="30"/>
      <c r="E1028" s="30"/>
      <c r="F1028" s="30"/>
      <c r="G1028" s="30"/>
      <c r="H1028" s="30"/>
      <c r="I1028" s="30"/>
      <c r="J1028" s="65"/>
      <c r="K1028" s="83"/>
      <c r="L1028" s="30"/>
      <c r="M1028" s="39"/>
    </row>
    <row r="1029" spans="1:13" x14ac:dyDescent="0.2">
      <c r="A1029" s="30"/>
      <c r="B1029" s="30"/>
      <c r="C1029" s="30"/>
      <c r="D1029" s="30"/>
      <c r="E1029" s="30"/>
      <c r="F1029" s="30"/>
      <c r="G1029" s="30"/>
      <c r="H1029" s="30"/>
      <c r="I1029" s="30"/>
      <c r="J1029" s="65"/>
      <c r="K1029" s="83"/>
      <c r="L1029" s="30"/>
      <c r="M1029" s="39"/>
    </row>
    <row r="1030" spans="1:13" x14ac:dyDescent="0.2">
      <c r="A1030" s="30"/>
      <c r="B1030" s="30"/>
      <c r="C1030" s="30"/>
      <c r="D1030" s="30"/>
      <c r="E1030" s="30"/>
      <c r="F1030" s="30"/>
      <c r="G1030" s="30"/>
      <c r="H1030" s="30"/>
      <c r="I1030" s="30"/>
      <c r="J1030" s="65"/>
      <c r="K1030" s="83"/>
      <c r="L1030" s="30"/>
      <c r="M1030" s="39"/>
    </row>
    <row r="1031" spans="1:13" x14ac:dyDescent="0.2">
      <c r="A1031" s="30"/>
      <c r="B1031" s="30"/>
      <c r="C1031" s="30"/>
      <c r="D1031" s="30"/>
      <c r="E1031" s="30"/>
      <c r="F1031" s="30"/>
      <c r="G1031" s="30"/>
      <c r="H1031" s="30"/>
      <c r="I1031" s="30"/>
      <c r="J1031" s="65"/>
      <c r="K1031" s="83"/>
      <c r="L1031" s="30"/>
      <c r="M1031" s="39"/>
    </row>
    <row r="1032" spans="1:13" x14ac:dyDescent="0.2">
      <c r="A1032" s="30"/>
      <c r="B1032" s="30"/>
      <c r="C1032" s="30"/>
      <c r="D1032" s="30"/>
      <c r="E1032" s="30"/>
      <c r="F1032" s="30"/>
      <c r="G1032" s="30"/>
      <c r="H1032" s="30"/>
      <c r="I1032" s="30"/>
      <c r="J1032" s="65"/>
      <c r="K1032" s="83"/>
      <c r="L1032" s="30"/>
      <c r="M1032" s="39"/>
    </row>
    <row r="1033" spans="1:13" x14ac:dyDescent="0.2">
      <c r="A1033" s="30"/>
      <c r="B1033" s="30"/>
      <c r="C1033" s="30"/>
      <c r="D1033" s="30"/>
      <c r="E1033" s="30"/>
      <c r="F1033" s="30"/>
      <c r="G1033" s="30"/>
      <c r="H1033" s="30"/>
      <c r="I1033" s="30"/>
      <c r="J1033" s="65"/>
      <c r="K1033" s="83"/>
      <c r="L1033" s="30"/>
      <c r="M1033" s="39"/>
    </row>
    <row r="1034" spans="1:13" x14ac:dyDescent="0.2">
      <c r="A1034" s="30"/>
      <c r="B1034" s="30"/>
      <c r="C1034" s="30"/>
      <c r="D1034" s="30"/>
      <c r="E1034" s="30"/>
      <c r="F1034" s="30"/>
      <c r="G1034" s="30"/>
      <c r="H1034" s="30"/>
      <c r="I1034" s="30"/>
      <c r="J1034" s="65"/>
      <c r="K1034" s="83"/>
      <c r="L1034" s="30"/>
      <c r="M1034" s="39"/>
    </row>
    <row r="1035" spans="1:13" x14ac:dyDescent="0.2">
      <c r="A1035" s="30"/>
      <c r="B1035" s="30"/>
      <c r="C1035" s="30"/>
      <c r="D1035" s="30"/>
      <c r="E1035" s="30"/>
      <c r="F1035" s="30"/>
      <c r="G1035" s="30"/>
      <c r="H1035" s="30"/>
      <c r="I1035" s="30"/>
      <c r="J1035" s="65"/>
      <c r="K1035" s="83"/>
      <c r="L1035" s="30"/>
      <c r="M1035" s="39"/>
    </row>
    <row r="1036" spans="1:13" x14ac:dyDescent="0.2">
      <c r="A1036" s="30"/>
      <c r="B1036" s="30"/>
      <c r="C1036" s="30"/>
      <c r="D1036" s="30"/>
      <c r="E1036" s="30"/>
      <c r="F1036" s="30"/>
      <c r="G1036" s="30"/>
      <c r="H1036" s="30"/>
      <c r="I1036" s="30"/>
      <c r="J1036" s="65"/>
      <c r="K1036" s="83"/>
      <c r="L1036" s="30"/>
      <c r="M1036" s="39"/>
    </row>
    <row r="1037" spans="1:13" x14ac:dyDescent="0.2">
      <c r="A1037" s="30"/>
      <c r="B1037" s="30"/>
      <c r="C1037" s="30"/>
      <c r="D1037" s="30"/>
      <c r="E1037" s="30"/>
      <c r="F1037" s="30"/>
      <c r="G1037" s="30"/>
      <c r="H1037" s="30"/>
      <c r="I1037" s="30"/>
      <c r="J1037" s="65"/>
      <c r="K1037" s="83"/>
      <c r="L1037" s="30"/>
      <c r="M1037" s="39"/>
    </row>
    <row r="1038" spans="1:13" x14ac:dyDescent="0.2">
      <c r="A1038" s="30"/>
      <c r="B1038" s="30"/>
      <c r="C1038" s="30"/>
      <c r="D1038" s="30"/>
      <c r="E1038" s="30"/>
      <c r="F1038" s="30"/>
      <c r="G1038" s="30"/>
      <c r="H1038" s="30"/>
      <c r="I1038" s="30"/>
      <c r="J1038" s="65"/>
      <c r="K1038" s="83"/>
      <c r="L1038" s="30"/>
      <c r="M1038" s="39"/>
    </row>
    <row r="1039" spans="1:13" x14ac:dyDescent="0.2">
      <c r="A1039" s="30"/>
      <c r="B1039" s="30"/>
      <c r="C1039" s="30"/>
      <c r="D1039" s="30"/>
      <c r="E1039" s="30"/>
      <c r="F1039" s="30"/>
      <c r="G1039" s="30"/>
      <c r="H1039" s="30"/>
      <c r="I1039" s="30"/>
      <c r="J1039" s="65"/>
      <c r="K1039" s="83"/>
      <c r="L1039" s="30"/>
      <c r="M1039" s="39"/>
    </row>
    <row r="1040" spans="1:13" x14ac:dyDescent="0.2">
      <c r="A1040" s="30"/>
      <c r="B1040" s="30"/>
      <c r="C1040" s="30"/>
      <c r="D1040" s="30"/>
      <c r="E1040" s="30"/>
      <c r="F1040" s="30"/>
      <c r="G1040" s="30"/>
      <c r="H1040" s="30"/>
      <c r="I1040" s="30"/>
      <c r="J1040" s="65"/>
      <c r="K1040" s="83"/>
      <c r="L1040" s="30"/>
      <c r="M1040" s="39"/>
    </row>
    <row r="1041" spans="1:13" x14ac:dyDescent="0.2">
      <c r="A1041" s="30"/>
      <c r="B1041" s="30"/>
      <c r="C1041" s="30"/>
      <c r="D1041" s="30"/>
      <c r="E1041" s="30"/>
      <c r="F1041" s="30"/>
      <c r="G1041" s="30"/>
      <c r="H1041" s="30"/>
      <c r="I1041" s="30"/>
      <c r="J1041" s="65"/>
      <c r="K1041" s="83"/>
      <c r="L1041" s="30"/>
      <c r="M1041" s="39"/>
    </row>
    <row r="1042" spans="1:13" x14ac:dyDescent="0.2">
      <c r="A1042" s="30"/>
      <c r="B1042" s="30"/>
      <c r="C1042" s="30"/>
      <c r="D1042" s="30"/>
      <c r="E1042" s="30"/>
      <c r="F1042" s="30"/>
      <c r="G1042" s="30"/>
      <c r="H1042" s="30"/>
      <c r="I1042" s="30"/>
      <c r="J1042" s="65"/>
      <c r="K1042" s="83"/>
      <c r="L1042" s="30"/>
      <c r="M1042" s="39"/>
    </row>
    <row r="1043" spans="1:13" x14ac:dyDescent="0.2">
      <c r="A1043" s="30"/>
      <c r="B1043" s="30"/>
      <c r="C1043" s="30"/>
      <c r="D1043" s="30"/>
      <c r="E1043" s="30"/>
      <c r="F1043" s="30"/>
      <c r="G1043" s="30"/>
      <c r="H1043" s="30"/>
      <c r="I1043" s="30"/>
      <c r="J1043" s="65"/>
      <c r="K1043" s="83"/>
      <c r="L1043" s="30"/>
      <c r="M1043" s="39"/>
    </row>
    <row r="1044" spans="1:13" x14ac:dyDescent="0.2">
      <c r="A1044" s="30"/>
      <c r="B1044" s="30"/>
      <c r="C1044" s="30"/>
      <c r="D1044" s="30"/>
      <c r="E1044" s="30"/>
      <c r="F1044" s="30"/>
      <c r="G1044" s="30"/>
      <c r="H1044" s="30"/>
      <c r="I1044" s="30"/>
      <c r="J1044" s="65"/>
      <c r="K1044" s="83"/>
      <c r="L1044" s="30"/>
      <c r="M1044" s="39"/>
    </row>
    <row r="1045" spans="1:13" x14ac:dyDescent="0.2">
      <c r="A1045" s="30"/>
      <c r="B1045" s="30"/>
      <c r="C1045" s="30"/>
      <c r="D1045" s="30"/>
      <c r="E1045" s="30"/>
      <c r="F1045" s="30"/>
      <c r="G1045" s="30"/>
      <c r="H1045" s="30"/>
      <c r="I1045" s="30"/>
      <c r="J1045" s="65"/>
      <c r="K1045" s="83"/>
      <c r="L1045" s="30"/>
      <c r="M1045" s="39"/>
    </row>
    <row r="1046" spans="1:13" x14ac:dyDescent="0.2">
      <c r="A1046" s="30"/>
      <c r="B1046" s="30"/>
      <c r="C1046" s="30"/>
      <c r="D1046" s="30"/>
      <c r="E1046" s="30"/>
      <c r="F1046" s="30"/>
      <c r="G1046" s="30"/>
      <c r="H1046" s="30"/>
      <c r="I1046" s="30"/>
      <c r="J1046" s="65"/>
      <c r="K1046" s="83"/>
      <c r="L1046" s="30"/>
      <c r="M1046" s="39"/>
    </row>
    <row r="1047" spans="1:13" x14ac:dyDescent="0.2">
      <c r="A1047" s="30"/>
      <c r="B1047" s="30"/>
      <c r="C1047" s="30"/>
      <c r="D1047" s="30"/>
      <c r="E1047" s="30"/>
      <c r="F1047" s="30"/>
      <c r="G1047" s="30"/>
      <c r="H1047" s="30"/>
      <c r="I1047" s="30"/>
      <c r="J1047" s="65"/>
      <c r="K1047" s="83"/>
      <c r="L1047" s="30"/>
      <c r="M1047" s="39"/>
    </row>
    <row r="1048" spans="1:13" x14ac:dyDescent="0.2">
      <c r="A1048" s="30"/>
      <c r="B1048" s="30"/>
      <c r="C1048" s="30"/>
      <c r="D1048" s="30"/>
      <c r="E1048" s="30"/>
      <c r="F1048" s="30"/>
      <c r="G1048" s="30"/>
      <c r="H1048" s="30"/>
      <c r="I1048" s="30"/>
      <c r="J1048" s="65"/>
      <c r="K1048" s="83"/>
      <c r="L1048" s="30"/>
      <c r="M1048" s="39"/>
    </row>
    <row r="1049" spans="1:13" x14ac:dyDescent="0.2">
      <c r="A1049" s="30"/>
      <c r="B1049" s="30"/>
      <c r="C1049" s="30"/>
      <c r="D1049" s="30"/>
      <c r="E1049" s="30"/>
      <c r="F1049" s="30"/>
      <c r="G1049" s="30"/>
      <c r="H1049" s="30"/>
      <c r="I1049" s="30"/>
      <c r="J1049" s="65"/>
      <c r="K1049" s="83"/>
      <c r="L1049" s="30"/>
      <c r="M1049" s="39"/>
    </row>
    <row r="1050" spans="1:13" x14ac:dyDescent="0.2">
      <c r="A1050" s="30"/>
      <c r="B1050" s="30"/>
      <c r="C1050" s="30"/>
      <c r="D1050" s="30"/>
      <c r="E1050" s="30"/>
      <c r="F1050" s="30"/>
      <c r="G1050" s="30"/>
      <c r="H1050" s="30"/>
      <c r="I1050" s="30"/>
      <c r="J1050" s="65"/>
      <c r="K1050" s="83"/>
      <c r="L1050" s="30"/>
      <c r="M1050" s="39"/>
    </row>
    <row r="1051" spans="1:13" x14ac:dyDescent="0.2">
      <c r="A1051" s="30"/>
      <c r="B1051" s="30"/>
      <c r="C1051" s="30"/>
      <c r="D1051" s="30"/>
      <c r="E1051" s="30"/>
      <c r="F1051" s="30"/>
      <c r="G1051" s="30"/>
      <c r="H1051" s="30"/>
      <c r="I1051" s="30"/>
      <c r="J1051" s="65"/>
      <c r="K1051" s="83"/>
      <c r="L1051" s="30"/>
      <c r="M1051" s="39"/>
    </row>
    <row r="1052" spans="1:13" x14ac:dyDescent="0.2">
      <c r="A1052" s="30"/>
      <c r="B1052" s="30"/>
      <c r="C1052" s="30"/>
      <c r="D1052" s="30"/>
      <c r="E1052" s="30"/>
      <c r="F1052" s="30"/>
      <c r="G1052" s="30"/>
      <c r="H1052" s="30"/>
      <c r="I1052" s="30"/>
      <c r="J1052" s="65"/>
      <c r="K1052" s="83"/>
      <c r="L1052" s="30"/>
      <c r="M1052" s="39"/>
    </row>
    <row r="1053" spans="1:13" x14ac:dyDescent="0.2">
      <c r="A1053" s="30"/>
      <c r="B1053" s="30"/>
      <c r="C1053" s="30"/>
      <c r="D1053" s="30"/>
      <c r="E1053" s="30"/>
      <c r="F1053" s="30"/>
      <c r="G1053" s="30"/>
      <c r="H1053" s="30"/>
      <c r="I1053" s="30"/>
      <c r="J1053" s="65"/>
      <c r="K1053" s="83"/>
      <c r="L1053" s="30"/>
      <c r="M1053" s="39"/>
    </row>
    <row r="1054" spans="1:13" x14ac:dyDescent="0.2">
      <c r="A1054" s="30"/>
      <c r="B1054" s="30"/>
      <c r="C1054" s="30"/>
      <c r="D1054" s="30"/>
      <c r="E1054" s="30"/>
      <c r="F1054" s="30"/>
      <c r="G1054" s="30"/>
      <c r="H1054" s="30"/>
      <c r="I1054" s="30"/>
      <c r="J1054" s="65"/>
      <c r="K1054" s="83"/>
      <c r="L1054" s="30"/>
      <c r="M1054" s="39"/>
    </row>
    <row r="1055" spans="1:13" x14ac:dyDescent="0.2">
      <c r="A1055" s="30"/>
      <c r="B1055" s="30"/>
      <c r="C1055" s="30"/>
      <c r="D1055" s="30"/>
      <c r="E1055" s="30"/>
      <c r="F1055" s="30"/>
      <c r="G1055" s="30"/>
      <c r="H1055" s="30"/>
      <c r="I1055" s="30"/>
      <c r="J1055" s="65"/>
      <c r="K1055" s="83"/>
      <c r="L1055" s="30"/>
      <c r="M1055" s="39"/>
    </row>
    <row r="1056" spans="1:13" x14ac:dyDescent="0.2">
      <c r="A1056" s="30"/>
      <c r="B1056" s="30"/>
      <c r="C1056" s="30"/>
      <c r="D1056" s="30"/>
      <c r="E1056" s="30"/>
      <c r="F1056" s="30"/>
      <c r="G1056" s="30"/>
      <c r="H1056" s="30"/>
      <c r="I1056" s="30"/>
      <c r="J1056" s="65"/>
      <c r="K1056" s="83"/>
      <c r="L1056" s="30"/>
      <c r="M1056" s="39"/>
    </row>
    <row r="1057" spans="1:13" x14ac:dyDescent="0.2">
      <c r="A1057" s="30"/>
      <c r="B1057" s="30"/>
      <c r="C1057" s="30"/>
      <c r="D1057" s="30"/>
      <c r="E1057" s="30"/>
      <c r="F1057" s="30"/>
      <c r="G1057" s="30"/>
      <c r="H1057" s="30"/>
      <c r="I1057" s="30"/>
      <c r="J1057" s="65"/>
      <c r="K1057" s="83"/>
      <c r="L1057" s="30"/>
      <c r="M1057" s="39"/>
    </row>
    <row r="1058" spans="1:13" x14ac:dyDescent="0.2">
      <c r="A1058" s="30"/>
      <c r="B1058" s="30"/>
      <c r="C1058" s="30"/>
      <c r="D1058" s="30"/>
      <c r="E1058" s="30"/>
      <c r="F1058" s="30"/>
      <c r="G1058" s="30"/>
      <c r="H1058" s="30"/>
      <c r="I1058" s="30"/>
      <c r="J1058" s="65"/>
      <c r="K1058" s="83"/>
      <c r="L1058" s="30"/>
      <c r="M1058" s="39"/>
    </row>
    <row r="1059" spans="1:13" x14ac:dyDescent="0.2">
      <c r="A1059" s="30"/>
      <c r="B1059" s="30"/>
      <c r="C1059" s="30"/>
      <c r="D1059" s="30"/>
      <c r="E1059" s="30"/>
      <c r="F1059" s="30"/>
      <c r="G1059" s="30"/>
      <c r="H1059" s="30"/>
      <c r="I1059" s="30"/>
      <c r="J1059" s="65"/>
      <c r="K1059" s="83"/>
      <c r="L1059" s="30"/>
      <c r="M1059" s="39"/>
    </row>
    <row r="1060" spans="1:13" x14ac:dyDescent="0.2">
      <c r="A1060" s="30"/>
      <c r="B1060" s="30"/>
      <c r="C1060" s="30"/>
      <c r="D1060" s="30"/>
      <c r="E1060" s="30"/>
      <c r="F1060" s="30"/>
      <c r="G1060" s="30"/>
      <c r="H1060" s="30"/>
      <c r="I1060" s="30"/>
      <c r="J1060" s="65"/>
      <c r="K1060" s="83"/>
      <c r="L1060" s="30"/>
      <c r="M1060" s="39"/>
    </row>
    <row r="1061" spans="1:13" x14ac:dyDescent="0.2">
      <c r="A1061" s="30"/>
      <c r="B1061" s="30"/>
      <c r="C1061" s="30"/>
      <c r="D1061" s="30"/>
      <c r="E1061" s="30"/>
      <c r="F1061" s="30"/>
      <c r="G1061" s="30"/>
      <c r="H1061" s="30"/>
      <c r="I1061" s="30"/>
      <c r="J1061" s="65"/>
      <c r="K1061" s="83"/>
      <c r="L1061" s="30"/>
      <c r="M1061" s="39"/>
    </row>
    <row r="1062" spans="1:13" x14ac:dyDescent="0.2">
      <c r="A1062" s="30"/>
      <c r="B1062" s="30"/>
      <c r="C1062" s="30"/>
      <c r="D1062" s="30"/>
      <c r="E1062" s="30"/>
      <c r="F1062" s="30"/>
      <c r="G1062" s="30"/>
      <c r="H1062" s="30"/>
      <c r="I1062" s="30"/>
      <c r="J1062" s="65"/>
      <c r="K1062" s="83"/>
      <c r="L1062" s="30"/>
      <c r="M1062" s="39"/>
    </row>
    <row r="1063" spans="1:13" x14ac:dyDescent="0.2">
      <c r="A1063" s="30"/>
      <c r="B1063" s="30"/>
      <c r="C1063" s="30"/>
      <c r="D1063" s="30"/>
      <c r="E1063" s="30"/>
      <c r="F1063" s="30"/>
      <c r="G1063" s="30"/>
      <c r="H1063" s="30"/>
      <c r="I1063" s="30"/>
      <c r="J1063" s="65"/>
      <c r="K1063" s="83"/>
      <c r="L1063" s="30"/>
      <c r="M1063" s="39"/>
    </row>
    <row r="1064" spans="1:13" x14ac:dyDescent="0.2">
      <c r="A1064" s="30"/>
      <c r="B1064" s="30"/>
      <c r="C1064" s="30"/>
      <c r="D1064" s="30"/>
      <c r="E1064" s="30"/>
      <c r="F1064" s="30"/>
      <c r="G1064" s="30"/>
      <c r="H1064" s="30"/>
      <c r="I1064" s="30"/>
      <c r="J1064" s="65"/>
      <c r="K1064" s="83"/>
      <c r="L1064" s="30"/>
      <c r="M1064" s="39"/>
    </row>
    <row r="1065" spans="1:13" x14ac:dyDescent="0.2">
      <c r="A1065" s="30"/>
      <c r="B1065" s="30"/>
      <c r="C1065" s="30"/>
      <c r="D1065" s="30"/>
      <c r="E1065" s="30"/>
      <c r="F1065" s="30"/>
      <c r="G1065" s="30"/>
      <c r="H1065" s="30"/>
      <c r="I1065" s="30"/>
      <c r="J1065" s="65"/>
      <c r="K1065" s="83"/>
      <c r="L1065" s="30"/>
      <c r="M1065" s="39"/>
    </row>
    <row r="1066" spans="1:13" x14ac:dyDescent="0.2">
      <c r="A1066" s="30"/>
      <c r="B1066" s="30"/>
      <c r="C1066" s="30"/>
      <c r="D1066" s="30"/>
      <c r="E1066" s="30"/>
      <c r="F1066" s="30"/>
      <c r="G1066" s="30"/>
      <c r="H1066" s="30"/>
      <c r="I1066" s="30"/>
      <c r="J1066" s="65"/>
      <c r="K1066" s="83"/>
      <c r="L1066" s="30"/>
      <c r="M1066" s="39"/>
    </row>
    <row r="1067" spans="1:13" x14ac:dyDescent="0.2">
      <c r="A1067" s="30"/>
      <c r="B1067" s="30"/>
      <c r="C1067" s="30"/>
      <c r="D1067" s="30"/>
      <c r="E1067" s="30"/>
      <c r="F1067" s="30"/>
      <c r="G1067" s="30"/>
      <c r="H1067" s="30"/>
      <c r="I1067" s="30"/>
      <c r="J1067" s="65"/>
      <c r="K1067" s="83"/>
      <c r="L1067" s="30"/>
      <c r="M1067" s="39"/>
    </row>
    <row r="1068" spans="1:13" x14ac:dyDescent="0.2">
      <c r="A1068" s="30"/>
      <c r="B1068" s="30"/>
      <c r="C1068" s="30"/>
      <c r="D1068" s="30"/>
      <c r="E1068" s="30"/>
      <c r="F1068" s="30"/>
      <c r="G1068" s="30"/>
      <c r="H1068" s="30"/>
      <c r="I1068" s="30"/>
      <c r="J1068" s="65"/>
      <c r="K1068" s="83"/>
      <c r="L1068" s="30"/>
      <c r="M1068" s="39"/>
    </row>
    <row r="1069" spans="1:13" x14ac:dyDescent="0.2">
      <c r="A1069" s="30"/>
      <c r="B1069" s="30"/>
      <c r="C1069" s="30"/>
      <c r="D1069" s="30"/>
      <c r="E1069" s="30"/>
      <c r="F1069" s="30"/>
      <c r="G1069" s="30"/>
      <c r="H1069" s="30"/>
      <c r="I1069" s="30"/>
      <c r="J1069" s="65"/>
      <c r="K1069" s="83"/>
      <c r="L1069" s="30"/>
      <c r="M1069" s="39"/>
    </row>
    <row r="1070" spans="1:13" x14ac:dyDescent="0.2">
      <c r="A1070" s="30"/>
      <c r="B1070" s="30"/>
      <c r="C1070" s="30"/>
      <c r="D1070" s="30"/>
      <c r="E1070" s="30"/>
      <c r="F1070" s="30"/>
      <c r="G1070" s="30"/>
      <c r="H1070" s="30"/>
      <c r="I1070" s="30"/>
      <c r="J1070" s="65"/>
      <c r="K1070" s="83"/>
      <c r="L1070" s="30"/>
      <c r="M1070" s="39"/>
    </row>
    <row r="1071" spans="1:13" x14ac:dyDescent="0.2">
      <c r="A1071" s="30"/>
      <c r="B1071" s="30"/>
      <c r="C1071" s="30"/>
      <c r="D1071" s="30"/>
      <c r="E1071" s="30"/>
      <c r="F1071" s="30"/>
      <c r="G1071" s="30"/>
      <c r="H1071" s="30"/>
      <c r="I1071" s="30"/>
      <c r="J1071" s="65"/>
      <c r="K1071" s="83"/>
      <c r="L1071" s="30"/>
      <c r="M1071" s="39"/>
    </row>
    <row r="1072" spans="1:13" x14ac:dyDescent="0.2">
      <c r="A1072" s="30"/>
      <c r="B1072" s="30"/>
      <c r="C1072" s="30"/>
      <c r="D1072" s="30"/>
      <c r="E1072" s="30"/>
      <c r="F1072" s="30"/>
      <c r="G1072" s="30"/>
      <c r="H1072" s="30"/>
      <c r="I1072" s="30"/>
      <c r="J1072" s="65"/>
      <c r="K1072" s="83"/>
      <c r="L1072" s="30"/>
      <c r="M1072" s="39"/>
    </row>
    <row r="1073" spans="1:13" x14ac:dyDescent="0.2">
      <c r="A1073" s="30"/>
      <c r="B1073" s="30"/>
      <c r="C1073" s="30"/>
      <c r="D1073" s="30"/>
      <c r="E1073" s="30"/>
      <c r="F1073" s="30"/>
      <c r="G1073" s="30"/>
      <c r="H1073" s="30"/>
      <c r="I1073" s="30"/>
      <c r="J1073" s="65"/>
      <c r="K1073" s="83"/>
      <c r="L1073" s="30"/>
      <c r="M1073" s="39"/>
    </row>
    <row r="1074" spans="1:13" x14ac:dyDescent="0.2">
      <c r="A1074" s="30"/>
      <c r="B1074" s="30"/>
      <c r="C1074" s="30"/>
      <c r="D1074" s="30"/>
      <c r="E1074" s="30"/>
      <c r="F1074" s="30"/>
      <c r="G1074" s="30"/>
      <c r="H1074" s="30"/>
      <c r="I1074" s="30"/>
      <c r="J1074" s="65"/>
      <c r="K1074" s="83"/>
      <c r="L1074" s="30"/>
      <c r="M1074" s="39"/>
    </row>
    <row r="1075" spans="1:13" x14ac:dyDescent="0.2">
      <c r="A1075" s="30"/>
      <c r="B1075" s="30"/>
      <c r="C1075" s="30"/>
      <c r="D1075" s="30"/>
      <c r="E1075" s="30"/>
      <c r="F1075" s="30"/>
      <c r="G1075" s="30"/>
      <c r="H1075" s="30"/>
      <c r="I1075" s="30"/>
      <c r="J1075" s="65"/>
      <c r="K1075" s="83"/>
      <c r="L1075" s="30"/>
      <c r="M1075" s="39"/>
    </row>
    <row r="1076" spans="1:13" x14ac:dyDescent="0.2">
      <c r="A1076" s="30"/>
      <c r="B1076" s="30"/>
      <c r="C1076" s="30"/>
      <c r="D1076" s="30"/>
      <c r="E1076" s="30"/>
      <c r="F1076" s="30"/>
      <c r="G1076" s="30"/>
      <c r="H1076" s="30"/>
      <c r="I1076" s="30"/>
      <c r="J1076" s="65"/>
      <c r="K1076" s="83"/>
      <c r="L1076" s="30"/>
      <c r="M1076" s="39"/>
    </row>
    <row r="1077" spans="1:13" x14ac:dyDescent="0.2">
      <c r="A1077" s="30"/>
      <c r="B1077" s="30"/>
      <c r="C1077" s="30"/>
      <c r="D1077" s="30"/>
      <c r="E1077" s="30"/>
      <c r="F1077" s="30"/>
      <c r="G1077" s="30"/>
      <c r="H1077" s="30"/>
      <c r="I1077" s="30"/>
      <c r="J1077" s="65"/>
      <c r="K1077" s="83"/>
      <c r="L1077" s="30"/>
      <c r="M1077" s="39"/>
    </row>
    <row r="1078" spans="1:13" x14ac:dyDescent="0.2">
      <c r="A1078" s="30"/>
      <c r="B1078" s="30"/>
      <c r="C1078" s="30"/>
      <c r="D1078" s="30"/>
      <c r="E1078" s="30"/>
      <c r="F1078" s="30"/>
      <c r="G1078" s="30"/>
      <c r="H1078" s="30"/>
      <c r="I1078" s="30"/>
      <c r="J1078" s="65"/>
      <c r="K1078" s="83"/>
      <c r="L1078" s="30"/>
      <c r="M1078" s="39"/>
    </row>
    <row r="1079" spans="1:13" x14ac:dyDescent="0.2">
      <c r="A1079" s="30"/>
      <c r="B1079" s="30"/>
      <c r="C1079" s="30"/>
      <c r="D1079" s="30"/>
      <c r="E1079" s="30"/>
      <c r="F1079" s="30"/>
      <c r="G1079" s="30"/>
      <c r="H1079" s="30"/>
      <c r="I1079" s="30"/>
      <c r="J1079" s="65"/>
      <c r="K1079" s="83"/>
      <c r="L1079" s="30"/>
      <c r="M1079" s="39"/>
    </row>
    <row r="1080" spans="1:13" x14ac:dyDescent="0.2">
      <c r="A1080" s="30"/>
      <c r="B1080" s="30"/>
      <c r="C1080" s="30"/>
      <c r="D1080" s="30"/>
      <c r="E1080" s="30"/>
      <c r="F1080" s="30"/>
      <c r="G1080" s="30"/>
      <c r="H1080" s="30"/>
      <c r="I1080" s="30"/>
      <c r="J1080" s="65"/>
      <c r="K1080" s="83"/>
      <c r="L1080" s="30"/>
      <c r="M1080" s="39"/>
    </row>
    <row r="1081" spans="1:13" x14ac:dyDescent="0.2">
      <c r="A1081" s="30"/>
      <c r="B1081" s="30"/>
      <c r="C1081" s="30"/>
      <c r="D1081" s="30"/>
      <c r="E1081" s="30"/>
      <c r="F1081" s="30"/>
      <c r="G1081" s="30"/>
      <c r="H1081" s="30"/>
      <c r="I1081" s="30"/>
      <c r="J1081" s="65"/>
      <c r="K1081" s="83"/>
      <c r="L1081" s="30"/>
      <c r="M1081" s="39"/>
    </row>
    <row r="1082" spans="1:13" x14ac:dyDescent="0.2">
      <c r="A1082" s="30"/>
      <c r="B1082" s="30"/>
      <c r="C1082" s="30"/>
      <c r="D1082" s="30"/>
      <c r="E1082" s="30"/>
      <c r="F1082" s="30"/>
      <c r="G1082" s="30"/>
      <c r="H1082" s="30"/>
      <c r="I1082" s="30"/>
      <c r="J1082" s="65"/>
      <c r="K1082" s="83"/>
      <c r="L1082" s="30"/>
      <c r="M1082" s="39"/>
    </row>
    <row r="1083" spans="1:13" x14ac:dyDescent="0.2">
      <c r="A1083" s="30"/>
      <c r="B1083" s="30"/>
      <c r="C1083" s="30"/>
      <c r="D1083" s="30"/>
      <c r="E1083" s="30"/>
      <c r="F1083" s="30"/>
      <c r="G1083" s="30"/>
      <c r="H1083" s="30"/>
      <c r="I1083" s="30"/>
      <c r="J1083" s="65"/>
      <c r="K1083" s="83"/>
      <c r="L1083" s="30"/>
      <c r="M1083" s="39"/>
    </row>
    <row r="1084" spans="1:13" x14ac:dyDescent="0.2">
      <c r="A1084" s="30"/>
      <c r="B1084" s="30"/>
      <c r="C1084" s="30"/>
      <c r="D1084" s="30"/>
      <c r="E1084" s="30"/>
      <c r="F1084" s="30"/>
      <c r="G1084" s="30"/>
      <c r="H1084" s="30"/>
      <c r="I1084" s="30"/>
      <c r="J1084" s="65"/>
      <c r="K1084" s="83"/>
      <c r="L1084" s="30"/>
      <c r="M1084" s="39"/>
    </row>
    <row r="1085" spans="1:13" x14ac:dyDescent="0.2">
      <c r="A1085" s="30"/>
      <c r="B1085" s="30"/>
      <c r="C1085" s="30"/>
      <c r="D1085" s="30"/>
      <c r="E1085" s="30"/>
      <c r="F1085" s="30"/>
      <c r="G1085" s="30"/>
      <c r="H1085" s="30"/>
      <c r="I1085" s="30"/>
      <c r="J1085" s="65"/>
      <c r="K1085" s="83"/>
      <c r="L1085" s="30"/>
      <c r="M1085" s="39"/>
    </row>
    <row r="1086" spans="1:13" x14ac:dyDescent="0.2">
      <c r="A1086" s="30"/>
      <c r="B1086" s="30"/>
      <c r="C1086" s="30"/>
      <c r="D1086" s="30"/>
      <c r="E1086" s="30"/>
      <c r="F1086" s="30"/>
      <c r="G1086" s="30"/>
      <c r="H1086" s="30"/>
      <c r="I1086" s="30"/>
      <c r="J1086" s="65"/>
      <c r="K1086" s="83"/>
      <c r="L1086" s="30"/>
      <c r="M1086" s="39"/>
    </row>
    <row r="1087" spans="1:13" x14ac:dyDescent="0.2">
      <c r="A1087" s="30"/>
      <c r="B1087" s="30"/>
      <c r="C1087" s="30"/>
      <c r="D1087" s="30"/>
      <c r="E1087" s="30"/>
      <c r="F1087" s="30"/>
      <c r="G1087" s="30"/>
      <c r="H1087" s="30"/>
      <c r="I1087" s="30"/>
      <c r="J1087" s="65"/>
      <c r="K1087" s="83"/>
      <c r="L1087" s="30"/>
      <c r="M1087" s="39"/>
    </row>
    <row r="1088" spans="1:13" x14ac:dyDescent="0.2">
      <c r="A1088" s="30"/>
      <c r="B1088" s="30"/>
      <c r="C1088" s="30"/>
      <c r="D1088" s="30"/>
      <c r="E1088" s="30"/>
      <c r="F1088" s="30"/>
      <c r="G1088" s="30"/>
      <c r="H1088" s="30"/>
      <c r="I1088" s="30"/>
      <c r="J1088" s="65"/>
      <c r="K1088" s="83"/>
      <c r="L1088" s="30"/>
      <c r="M1088" s="39"/>
    </row>
    <row r="1089" spans="1:13" x14ac:dyDescent="0.2">
      <c r="A1089" s="30"/>
      <c r="B1089" s="30"/>
      <c r="C1089" s="30"/>
      <c r="D1089" s="30"/>
      <c r="E1089" s="30"/>
      <c r="F1089" s="30"/>
      <c r="G1089" s="30"/>
      <c r="H1089" s="30"/>
      <c r="I1089" s="30"/>
      <c r="J1089" s="65"/>
      <c r="K1089" s="83"/>
      <c r="L1089" s="30"/>
      <c r="M1089" s="39"/>
    </row>
    <row r="1090" spans="1:13" x14ac:dyDescent="0.2">
      <c r="A1090" s="30"/>
      <c r="B1090" s="30"/>
      <c r="C1090" s="30"/>
      <c r="D1090" s="30"/>
      <c r="E1090" s="30"/>
      <c r="F1090" s="30"/>
      <c r="G1090" s="30"/>
      <c r="H1090" s="30"/>
      <c r="I1090" s="30"/>
      <c r="J1090" s="65"/>
      <c r="K1090" s="83"/>
      <c r="L1090" s="30"/>
      <c r="M1090" s="39"/>
    </row>
    <row r="1091" spans="1:13" x14ac:dyDescent="0.2">
      <c r="A1091" s="30"/>
      <c r="B1091" s="30"/>
      <c r="C1091" s="30"/>
      <c r="D1091" s="30"/>
      <c r="E1091" s="30"/>
      <c r="F1091" s="30"/>
      <c r="G1091" s="30"/>
      <c r="H1091" s="30"/>
      <c r="I1091" s="30"/>
      <c r="J1091" s="65"/>
      <c r="K1091" s="83"/>
      <c r="L1091" s="30"/>
      <c r="M1091" s="39"/>
    </row>
    <row r="1092" spans="1:13" x14ac:dyDescent="0.2">
      <c r="A1092" s="30"/>
      <c r="B1092" s="30"/>
      <c r="C1092" s="30"/>
      <c r="D1092" s="30"/>
      <c r="E1092" s="30"/>
      <c r="F1092" s="30"/>
      <c r="G1092" s="30"/>
      <c r="H1092" s="30"/>
      <c r="I1092" s="30"/>
      <c r="J1092" s="65"/>
      <c r="K1092" s="83"/>
      <c r="L1092" s="30"/>
      <c r="M1092" s="39"/>
    </row>
    <row r="1093" spans="1:13" x14ac:dyDescent="0.2">
      <c r="A1093" s="30"/>
      <c r="B1093" s="30"/>
      <c r="C1093" s="30"/>
      <c r="D1093" s="30"/>
      <c r="E1093" s="30"/>
      <c r="F1093" s="30"/>
      <c r="G1093" s="30"/>
      <c r="H1093" s="30"/>
      <c r="I1093" s="30"/>
      <c r="J1093" s="65"/>
      <c r="K1093" s="83"/>
      <c r="L1093" s="30"/>
      <c r="M1093" s="39"/>
    </row>
    <row r="1094" spans="1:13" x14ac:dyDescent="0.2">
      <c r="A1094" s="30"/>
      <c r="B1094" s="30"/>
      <c r="C1094" s="30"/>
      <c r="D1094" s="30"/>
      <c r="E1094" s="30"/>
      <c r="F1094" s="30"/>
      <c r="G1094" s="30"/>
      <c r="H1094" s="30"/>
      <c r="I1094" s="30"/>
      <c r="J1094" s="65"/>
      <c r="K1094" s="83"/>
      <c r="L1094" s="30"/>
      <c r="M1094" s="39"/>
    </row>
    <row r="1095" spans="1:13" x14ac:dyDescent="0.2">
      <c r="A1095" s="30"/>
      <c r="B1095" s="30"/>
      <c r="C1095" s="30"/>
      <c r="D1095" s="30"/>
      <c r="E1095" s="30"/>
      <c r="F1095" s="30"/>
      <c r="G1095" s="30"/>
      <c r="H1095" s="30"/>
      <c r="I1095" s="30"/>
      <c r="J1095" s="65"/>
      <c r="K1095" s="83"/>
      <c r="L1095" s="30"/>
      <c r="M1095" s="39"/>
    </row>
    <row r="1096" spans="1:13" x14ac:dyDescent="0.2">
      <c r="A1096" s="30"/>
      <c r="B1096" s="30"/>
      <c r="C1096" s="30"/>
      <c r="D1096" s="30"/>
      <c r="E1096" s="30"/>
      <c r="F1096" s="30"/>
      <c r="G1096" s="30"/>
      <c r="H1096" s="30"/>
      <c r="I1096" s="30"/>
      <c r="J1096" s="65"/>
      <c r="K1096" s="83"/>
      <c r="L1096" s="30"/>
      <c r="M1096" s="39"/>
    </row>
    <row r="1097" spans="1:13" x14ac:dyDescent="0.2">
      <c r="A1097" s="30"/>
      <c r="B1097" s="30"/>
      <c r="C1097" s="30"/>
      <c r="D1097" s="30"/>
      <c r="E1097" s="30"/>
      <c r="F1097" s="30"/>
      <c r="G1097" s="30"/>
      <c r="H1097" s="30"/>
      <c r="I1097" s="30"/>
      <c r="J1097" s="65"/>
      <c r="K1097" s="83"/>
      <c r="L1097" s="30"/>
      <c r="M1097" s="39"/>
    </row>
    <row r="1098" spans="1:13" x14ac:dyDescent="0.2">
      <c r="A1098" s="30"/>
      <c r="B1098" s="30"/>
      <c r="C1098" s="30"/>
      <c r="D1098" s="30"/>
      <c r="E1098" s="30"/>
      <c r="F1098" s="30"/>
      <c r="G1098" s="30"/>
      <c r="H1098" s="30"/>
      <c r="I1098" s="30"/>
      <c r="J1098" s="65"/>
      <c r="K1098" s="83"/>
      <c r="L1098" s="30"/>
      <c r="M1098" s="39"/>
    </row>
    <row r="1099" spans="1:13" x14ac:dyDescent="0.2">
      <c r="A1099" s="30"/>
      <c r="B1099" s="30"/>
      <c r="C1099" s="30"/>
      <c r="D1099" s="30"/>
      <c r="E1099" s="30"/>
      <c r="F1099" s="30"/>
      <c r="G1099" s="30"/>
      <c r="H1099" s="30"/>
      <c r="I1099" s="30"/>
      <c r="J1099" s="65"/>
      <c r="K1099" s="83"/>
      <c r="L1099" s="30"/>
      <c r="M1099" s="39"/>
    </row>
    <row r="1100" spans="1:13" x14ac:dyDescent="0.2">
      <c r="A1100" s="30"/>
      <c r="B1100" s="30"/>
      <c r="C1100" s="30"/>
      <c r="D1100" s="30"/>
      <c r="E1100" s="30"/>
      <c r="F1100" s="30"/>
      <c r="G1100" s="30"/>
      <c r="H1100" s="30"/>
      <c r="I1100" s="30"/>
      <c r="J1100" s="65"/>
      <c r="K1100" s="83"/>
      <c r="L1100" s="30"/>
      <c r="M1100" s="39"/>
    </row>
    <row r="1101" spans="1:13" x14ac:dyDescent="0.2">
      <c r="A1101" s="30"/>
      <c r="B1101" s="30"/>
      <c r="C1101" s="30"/>
      <c r="D1101" s="30"/>
      <c r="E1101" s="30"/>
      <c r="F1101" s="30"/>
      <c r="G1101" s="30"/>
      <c r="H1101" s="30"/>
      <c r="I1101" s="30"/>
      <c r="J1101" s="65"/>
      <c r="K1101" s="83"/>
      <c r="L1101" s="30"/>
      <c r="M1101" s="39"/>
    </row>
    <row r="1102" spans="1:13" x14ac:dyDescent="0.2">
      <c r="A1102" s="30"/>
      <c r="B1102" s="30"/>
      <c r="C1102" s="30"/>
      <c r="D1102" s="30"/>
      <c r="E1102" s="30"/>
      <c r="F1102" s="30"/>
      <c r="G1102" s="30"/>
      <c r="H1102" s="30"/>
      <c r="I1102" s="30"/>
      <c r="J1102" s="65"/>
      <c r="K1102" s="83"/>
      <c r="L1102" s="30"/>
      <c r="M1102" s="39"/>
    </row>
    <row r="1103" spans="1:13" x14ac:dyDescent="0.2">
      <c r="A1103" s="30"/>
      <c r="B1103" s="30"/>
      <c r="C1103" s="30"/>
      <c r="D1103" s="30"/>
      <c r="E1103" s="30"/>
      <c r="F1103" s="30"/>
      <c r="G1103" s="30"/>
      <c r="H1103" s="30"/>
      <c r="I1103" s="30"/>
      <c r="J1103" s="65"/>
      <c r="K1103" s="83"/>
      <c r="L1103" s="30"/>
      <c r="M1103" s="39"/>
    </row>
    <row r="1104" spans="1:13" x14ac:dyDescent="0.2">
      <c r="A1104" s="30"/>
      <c r="B1104" s="30"/>
      <c r="C1104" s="30"/>
      <c r="D1104" s="30"/>
      <c r="E1104" s="30"/>
      <c r="F1104" s="30"/>
      <c r="G1104" s="30"/>
      <c r="H1104" s="30"/>
      <c r="I1104" s="30"/>
      <c r="J1104" s="65"/>
      <c r="K1104" s="83"/>
      <c r="L1104" s="30"/>
      <c r="M1104" s="39"/>
    </row>
    <row r="1105" spans="1:13" x14ac:dyDescent="0.2">
      <c r="A1105" s="30"/>
      <c r="B1105" s="30"/>
      <c r="C1105" s="30"/>
      <c r="D1105" s="30"/>
      <c r="E1105" s="30"/>
      <c r="F1105" s="30"/>
      <c r="G1105" s="30"/>
      <c r="H1105" s="30"/>
      <c r="I1105" s="30"/>
      <c r="J1105" s="65"/>
      <c r="K1105" s="83"/>
      <c r="L1105" s="30"/>
      <c r="M1105" s="39"/>
    </row>
    <row r="1106" spans="1:13" x14ac:dyDescent="0.2">
      <c r="A1106" s="30"/>
      <c r="B1106" s="30"/>
      <c r="C1106" s="30"/>
      <c r="D1106" s="30"/>
      <c r="E1106" s="30"/>
      <c r="F1106" s="30"/>
      <c r="G1106" s="30"/>
      <c r="H1106" s="30"/>
      <c r="I1106" s="30"/>
      <c r="J1106" s="65"/>
      <c r="K1106" s="83"/>
      <c r="L1106" s="30"/>
      <c r="M1106" s="39"/>
    </row>
    <row r="1107" spans="1:13" x14ac:dyDescent="0.2">
      <c r="A1107" s="30"/>
      <c r="B1107" s="30"/>
      <c r="C1107" s="30"/>
      <c r="D1107" s="30"/>
      <c r="E1107" s="30"/>
      <c r="F1107" s="30"/>
      <c r="G1107" s="30"/>
      <c r="H1107" s="30"/>
      <c r="I1107" s="30"/>
      <c r="J1107" s="65"/>
      <c r="K1107" s="83"/>
      <c r="L1107" s="30"/>
      <c r="M1107" s="39"/>
    </row>
    <row r="1108" spans="1:13" x14ac:dyDescent="0.2">
      <c r="A1108" s="30"/>
      <c r="B1108" s="30"/>
      <c r="C1108" s="30"/>
      <c r="D1108" s="30"/>
      <c r="E1108" s="30"/>
      <c r="F1108" s="30"/>
      <c r="G1108" s="30"/>
      <c r="H1108" s="30"/>
      <c r="I1108" s="30"/>
      <c r="J1108" s="65"/>
      <c r="K1108" s="83"/>
      <c r="L1108" s="30"/>
      <c r="M1108" s="39"/>
    </row>
    <row r="1109" spans="1:13" x14ac:dyDescent="0.2">
      <c r="A1109" s="30"/>
      <c r="B1109" s="30"/>
      <c r="C1109" s="30"/>
      <c r="D1109" s="30"/>
      <c r="E1109" s="30"/>
      <c r="F1109" s="30"/>
      <c r="G1109" s="30"/>
      <c r="H1109" s="30"/>
      <c r="I1109" s="30"/>
      <c r="J1109" s="65"/>
      <c r="K1109" s="83"/>
      <c r="L1109" s="30"/>
      <c r="M1109" s="39"/>
    </row>
    <row r="1110" spans="1:13" x14ac:dyDescent="0.2">
      <c r="A1110" s="30"/>
      <c r="B1110" s="30"/>
      <c r="C1110" s="30"/>
      <c r="D1110" s="30"/>
      <c r="E1110" s="30"/>
      <c r="F1110" s="30"/>
      <c r="G1110" s="30"/>
      <c r="H1110" s="30"/>
      <c r="I1110" s="30"/>
      <c r="J1110" s="65"/>
      <c r="K1110" s="83"/>
      <c r="L1110" s="30"/>
      <c r="M1110" s="39"/>
    </row>
    <row r="1111" spans="1:13" x14ac:dyDescent="0.2">
      <c r="A1111" s="30"/>
      <c r="B1111" s="30"/>
      <c r="C1111" s="30"/>
      <c r="D1111" s="30"/>
      <c r="E1111" s="30"/>
      <c r="F1111" s="30"/>
      <c r="G1111" s="30"/>
      <c r="H1111" s="30"/>
      <c r="I1111" s="30"/>
      <c r="J1111" s="65"/>
      <c r="K1111" s="83"/>
      <c r="L1111" s="30"/>
      <c r="M1111" s="39"/>
    </row>
    <row r="1112" spans="1:13" x14ac:dyDescent="0.2">
      <c r="A1112" s="30"/>
      <c r="B1112" s="30"/>
      <c r="C1112" s="30"/>
      <c r="D1112" s="30"/>
      <c r="E1112" s="30"/>
      <c r="F1112" s="30"/>
      <c r="G1112" s="30"/>
      <c r="H1112" s="30"/>
      <c r="I1112" s="30"/>
      <c r="J1112" s="65"/>
      <c r="K1112" s="83"/>
      <c r="L1112" s="30"/>
      <c r="M1112" s="39"/>
    </row>
    <row r="1113" spans="1:13" x14ac:dyDescent="0.2">
      <c r="A1113" s="30"/>
      <c r="B1113" s="30"/>
      <c r="C1113" s="30"/>
      <c r="D1113" s="30"/>
      <c r="E1113" s="30"/>
      <c r="F1113" s="30"/>
      <c r="G1113" s="30"/>
      <c r="H1113" s="30"/>
      <c r="I1113" s="30"/>
      <c r="J1113" s="65"/>
      <c r="K1113" s="83"/>
      <c r="L1113" s="30"/>
      <c r="M1113" s="39"/>
    </row>
    <row r="1114" spans="1:13" x14ac:dyDescent="0.2">
      <c r="A1114" s="30"/>
      <c r="B1114" s="30"/>
      <c r="C1114" s="30"/>
      <c r="D1114" s="30"/>
      <c r="E1114" s="30"/>
      <c r="F1114" s="30"/>
      <c r="G1114" s="30"/>
      <c r="H1114" s="30"/>
      <c r="I1114" s="30"/>
      <c r="J1114" s="65"/>
      <c r="K1114" s="83"/>
      <c r="L1114" s="30"/>
      <c r="M1114" s="39"/>
    </row>
    <row r="1115" spans="1:13" x14ac:dyDescent="0.2">
      <c r="A1115" s="30"/>
      <c r="B1115" s="30"/>
      <c r="C1115" s="30"/>
      <c r="D1115" s="30"/>
      <c r="E1115" s="30"/>
      <c r="F1115" s="30"/>
      <c r="G1115" s="30"/>
      <c r="H1115" s="30"/>
      <c r="I1115" s="30"/>
      <c r="J1115" s="65"/>
      <c r="K1115" s="83"/>
      <c r="L1115" s="30"/>
      <c r="M1115" s="39"/>
    </row>
    <row r="1116" spans="1:13" x14ac:dyDescent="0.2">
      <c r="A1116" s="30"/>
      <c r="B1116" s="30"/>
      <c r="C1116" s="30"/>
      <c r="D1116" s="30"/>
      <c r="E1116" s="30"/>
      <c r="F1116" s="30"/>
      <c r="G1116" s="30"/>
      <c r="H1116" s="30"/>
      <c r="I1116" s="30"/>
      <c r="J1116" s="65"/>
      <c r="K1116" s="83"/>
      <c r="L1116" s="30"/>
      <c r="M1116" s="39"/>
    </row>
    <row r="1117" spans="1:13" x14ac:dyDescent="0.2">
      <c r="A1117" s="30"/>
      <c r="B1117" s="30"/>
      <c r="C1117" s="30"/>
      <c r="D1117" s="30"/>
      <c r="E1117" s="30"/>
      <c r="F1117" s="30"/>
      <c r="G1117" s="30"/>
      <c r="H1117" s="30"/>
      <c r="I1117" s="30"/>
      <c r="J1117" s="65"/>
      <c r="K1117" s="83"/>
      <c r="L1117" s="30"/>
      <c r="M1117" s="39"/>
    </row>
    <row r="1118" spans="1:13" x14ac:dyDescent="0.2">
      <c r="A1118" s="30"/>
      <c r="B1118" s="30"/>
      <c r="C1118" s="30"/>
      <c r="D1118" s="30"/>
      <c r="E1118" s="30"/>
      <c r="F1118" s="30"/>
      <c r="G1118" s="30"/>
      <c r="H1118" s="30"/>
      <c r="I1118" s="30"/>
      <c r="J1118" s="65"/>
      <c r="K1118" s="83"/>
      <c r="L1118" s="30"/>
      <c r="M1118" s="39"/>
    </row>
    <row r="1119" spans="1:13" x14ac:dyDescent="0.2">
      <c r="A1119" s="30"/>
      <c r="B1119" s="30"/>
      <c r="C1119" s="30"/>
      <c r="D1119" s="30"/>
      <c r="E1119" s="30"/>
      <c r="F1119" s="30"/>
      <c r="G1119" s="30"/>
      <c r="H1119" s="30"/>
      <c r="I1119" s="30"/>
      <c r="J1119" s="65"/>
      <c r="K1119" s="83"/>
      <c r="L1119" s="30"/>
      <c r="M1119" s="39"/>
    </row>
    <row r="1120" spans="1:13" x14ac:dyDescent="0.2">
      <c r="A1120" s="30"/>
      <c r="B1120" s="30"/>
      <c r="C1120" s="30"/>
      <c r="D1120" s="30"/>
      <c r="E1120" s="30"/>
      <c r="F1120" s="30"/>
      <c r="G1120" s="30"/>
      <c r="H1120" s="30"/>
      <c r="I1120" s="30"/>
      <c r="J1120" s="65"/>
      <c r="K1120" s="83"/>
      <c r="L1120" s="30"/>
      <c r="M1120" s="39"/>
    </row>
    <row r="1121" spans="1:13" x14ac:dyDescent="0.2">
      <c r="A1121" s="30"/>
      <c r="B1121" s="30"/>
      <c r="C1121" s="30"/>
      <c r="D1121" s="30"/>
      <c r="E1121" s="30"/>
      <c r="F1121" s="30"/>
      <c r="G1121" s="30"/>
      <c r="H1121" s="30"/>
      <c r="I1121" s="30"/>
      <c r="J1121" s="65"/>
      <c r="K1121" s="83"/>
      <c r="L1121" s="30"/>
      <c r="M1121" s="39"/>
    </row>
    <row r="1122" spans="1:13" x14ac:dyDescent="0.2">
      <c r="A1122" s="30"/>
      <c r="B1122" s="30"/>
      <c r="C1122" s="30"/>
      <c r="D1122" s="30"/>
      <c r="E1122" s="30"/>
      <c r="F1122" s="30"/>
      <c r="G1122" s="30"/>
      <c r="H1122" s="30"/>
      <c r="I1122" s="30"/>
      <c r="J1122" s="65"/>
      <c r="K1122" s="83"/>
      <c r="L1122" s="30"/>
      <c r="M1122" s="39"/>
    </row>
    <row r="1123" spans="1:13" x14ac:dyDescent="0.2">
      <c r="A1123" s="30"/>
      <c r="B1123" s="30"/>
      <c r="C1123" s="30"/>
      <c r="D1123" s="30"/>
      <c r="E1123" s="30"/>
      <c r="F1123" s="30"/>
      <c r="G1123" s="30"/>
      <c r="H1123" s="30"/>
      <c r="I1123" s="30"/>
      <c r="J1123" s="65"/>
      <c r="K1123" s="83"/>
      <c r="L1123" s="30"/>
      <c r="M1123" s="39"/>
    </row>
    <row r="1124" spans="1:13" x14ac:dyDescent="0.2">
      <c r="A1124" s="30"/>
      <c r="B1124" s="30"/>
      <c r="C1124" s="30"/>
      <c r="D1124" s="30"/>
      <c r="E1124" s="30"/>
      <c r="F1124" s="30"/>
      <c r="G1124" s="30"/>
      <c r="H1124" s="30"/>
      <c r="I1124" s="30"/>
      <c r="J1124" s="65"/>
      <c r="K1124" s="83"/>
      <c r="L1124" s="30"/>
      <c r="M1124" s="39"/>
    </row>
    <row r="1125" spans="1:13" x14ac:dyDescent="0.2">
      <c r="A1125" s="30"/>
      <c r="B1125" s="30"/>
      <c r="C1125" s="30"/>
      <c r="D1125" s="30"/>
      <c r="E1125" s="30"/>
      <c r="F1125" s="30"/>
      <c r="G1125" s="30"/>
      <c r="H1125" s="30"/>
      <c r="I1125" s="30"/>
      <c r="J1125" s="65"/>
      <c r="K1125" s="83"/>
      <c r="L1125" s="30"/>
      <c r="M1125" s="39"/>
    </row>
    <row r="1126" spans="1:13" x14ac:dyDescent="0.2">
      <c r="A1126" s="30"/>
      <c r="B1126" s="30"/>
      <c r="C1126" s="30"/>
      <c r="D1126" s="30"/>
      <c r="E1126" s="30"/>
      <c r="F1126" s="30"/>
      <c r="G1126" s="30"/>
      <c r="H1126" s="30"/>
      <c r="I1126" s="30"/>
      <c r="J1126" s="65"/>
      <c r="K1126" s="83"/>
      <c r="L1126" s="30"/>
      <c r="M1126" s="39"/>
    </row>
    <row r="1127" spans="1:13" x14ac:dyDescent="0.2">
      <c r="A1127" s="30"/>
      <c r="B1127" s="30"/>
      <c r="C1127" s="30"/>
      <c r="D1127" s="30"/>
      <c r="E1127" s="30"/>
      <c r="F1127" s="30"/>
      <c r="G1127" s="30"/>
      <c r="H1127" s="30"/>
      <c r="I1127" s="30"/>
      <c r="J1127" s="65"/>
      <c r="K1127" s="83"/>
      <c r="L1127" s="30"/>
      <c r="M1127" s="39"/>
    </row>
    <row r="1128" spans="1:13" x14ac:dyDescent="0.2">
      <c r="A1128" s="30"/>
      <c r="B1128" s="30"/>
      <c r="C1128" s="30"/>
      <c r="D1128" s="30"/>
      <c r="E1128" s="30"/>
      <c r="F1128" s="30"/>
      <c r="G1128" s="30"/>
      <c r="H1128" s="30"/>
      <c r="I1128" s="30"/>
      <c r="J1128" s="65"/>
      <c r="K1128" s="83"/>
      <c r="L1128" s="30"/>
      <c r="M1128" s="39"/>
    </row>
    <row r="1129" spans="1:13" x14ac:dyDescent="0.2">
      <c r="A1129" s="30"/>
      <c r="B1129" s="30"/>
      <c r="C1129" s="30"/>
      <c r="D1129" s="30"/>
      <c r="E1129" s="30"/>
      <c r="F1129" s="30"/>
      <c r="G1129" s="30"/>
      <c r="H1129" s="30"/>
      <c r="I1129" s="30"/>
      <c r="J1129" s="65"/>
      <c r="K1129" s="83"/>
      <c r="L1129" s="30"/>
      <c r="M1129" s="39"/>
    </row>
    <row r="1130" spans="1:13" x14ac:dyDescent="0.2">
      <c r="A1130" s="30"/>
      <c r="B1130" s="30"/>
      <c r="C1130" s="30"/>
      <c r="D1130" s="30"/>
      <c r="E1130" s="30"/>
      <c r="F1130" s="30"/>
      <c r="G1130" s="30"/>
      <c r="H1130" s="30"/>
      <c r="I1130" s="30"/>
      <c r="J1130" s="65"/>
      <c r="K1130" s="83"/>
      <c r="L1130" s="30"/>
      <c r="M1130" s="39"/>
    </row>
    <row r="1131" spans="1:13" x14ac:dyDescent="0.2">
      <c r="A1131" s="30"/>
      <c r="B1131" s="30"/>
      <c r="C1131" s="30"/>
      <c r="D1131" s="30"/>
      <c r="E1131" s="30"/>
      <c r="F1131" s="30"/>
      <c r="G1131" s="30"/>
      <c r="H1131" s="30"/>
      <c r="I1131" s="30"/>
      <c r="J1131" s="65"/>
      <c r="K1131" s="83"/>
      <c r="L1131" s="30"/>
      <c r="M1131" s="39"/>
    </row>
    <row r="1132" spans="1:13" x14ac:dyDescent="0.2">
      <c r="A1132" s="30"/>
      <c r="B1132" s="30"/>
      <c r="C1132" s="30"/>
      <c r="D1132" s="30"/>
      <c r="E1132" s="30"/>
      <c r="F1132" s="30"/>
      <c r="G1132" s="30"/>
      <c r="H1132" s="30"/>
      <c r="I1132" s="30"/>
      <c r="J1132" s="65"/>
      <c r="K1132" s="83"/>
      <c r="L1132" s="30"/>
      <c r="M1132" s="39"/>
    </row>
    <row r="1133" spans="1:13" x14ac:dyDescent="0.2">
      <c r="A1133" s="30"/>
      <c r="B1133" s="30"/>
      <c r="C1133" s="30"/>
      <c r="D1133" s="30"/>
      <c r="E1133" s="30"/>
      <c r="F1133" s="30"/>
      <c r="G1133" s="30"/>
      <c r="H1133" s="30"/>
      <c r="I1133" s="30"/>
      <c r="J1133" s="65"/>
      <c r="K1133" s="83"/>
      <c r="L1133" s="30"/>
      <c r="M1133" s="39"/>
    </row>
    <row r="1134" spans="1:13" x14ac:dyDescent="0.2">
      <c r="A1134" s="30"/>
      <c r="B1134" s="30"/>
      <c r="C1134" s="30"/>
      <c r="D1134" s="30"/>
      <c r="E1134" s="30"/>
      <c r="F1134" s="30"/>
      <c r="G1134" s="30"/>
      <c r="H1134" s="30"/>
      <c r="I1134" s="30"/>
      <c r="J1134" s="65"/>
      <c r="K1134" s="83"/>
      <c r="L1134" s="30"/>
      <c r="M1134" s="39"/>
    </row>
    <row r="1135" spans="1:13" x14ac:dyDescent="0.2">
      <c r="A1135" s="30"/>
      <c r="B1135" s="30"/>
      <c r="C1135" s="30"/>
      <c r="D1135" s="30"/>
      <c r="E1135" s="30"/>
      <c r="F1135" s="30"/>
      <c r="G1135" s="30"/>
      <c r="H1135" s="30"/>
      <c r="I1135" s="30"/>
      <c r="J1135" s="65"/>
      <c r="K1135" s="83"/>
      <c r="L1135" s="30"/>
      <c r="M1135" s="39"/>
    </row>
    <row r="1136" spans="1:13" x14ac:dyDescent="0.2">
      <c r="A1136" s="30"/>
      <c r="B1136" s="30"/>
      <c r="C1136" s="30"/>
      <c r="D1136" s="30"/>
      <c r="E1136" s="30"/>
      <c r="F1136" s="30"/>
      <c r="G1136" s="30"/>
      <c r="H1136" s="30"/>
      <c r="I1136" s="30"/>
      <c r="J1136" s="65"/>
      <c r="K1136" s="83"/>
      <c r="L1136" s="30"/>
      <c r="M1136" s="39"/>
    </row>
    <row r="1137" spans="1:13" x14ac:dyDescent="0.2">
      <c r="A1137" s="30"/>
      <c r="B1137" s="30"/>
      <c r="C1137" s="30"/>
      <c r="D1137" s="30"/>
      <c r="E1137" s="30"/>
      <c r="F1137" s="30"/>
      <c r="G1137" s="30"/>
      <c r="H1137" s="30"/>
      <c r="I1137" s="30"/>
      <c r="J1137" s="65"/>
      <c r="K1137" s="83"/>
      <c r="L1137" s="30"/>
      <c r="M1137" s="39"/>
    </row>
    <row r="1138" spans="1:13" x14ac:dyDescent="0.2">
      <c r="A1138" s="30"/>
      <c r="B1138" s="30"/>
      <c r="C1138" s="30"/>
      <c r="D1138" s="30"/>
      <c r="E1138" s="30"/>
      <c r="F1138" s="30"/>
      <c r="G1138" s="30"/>
      <c r="H1138" s="30"/>
      <c r="I1138" s="30"/>
      <c r="J1138" s="65"/>
      <c r="K1138" s="83"/>
      <c r="L1138" s="30"/>
      <c r="M1138" s="39"/>
    </row>
    <row r="1139" spans="1:13" x14ac:dyDescent="0.2">
      <c r="A1139" s="30"/>
      <c r="B1139" s="30"/>
      <c r="C1139" s="30"/>
      <c r="D1139" s="30"/>
      <c r="E1139" s="30"/>
      <c r="F1139" s="30"/>
      <c r="G1139" s="30"/>
      <c r="H1139" s="30"/>
      <c r="I1139" s="30"/>
      <c r="J1139" s="65"/>
      <c r="K1139" s="83"/>
      <c r="L1139" s="30"/>
      <c r="M1139" s="39"/>
    </row>
    <row r="1140" spans="1:13" x14ac:dyDescent="0.2">
      <c r="A1140" s="30"/>
      <c r="B1140" s="30"/>
      <c r="C1140" s="30"/>
      <c r="D1140" s="30"/>
      <c r="E1140" s="30"/>
      <c r="F1140" s="30"/>
      <c r="G1140" s="30"/>
      <c r="H1140" s="30"/>
      <c r="I1140" s="30"/>
      <c r="J1140" s="65"/>
      <c r="K1140" s="83"/>
      <c r="L1140" s="30"/>
      <c r="M1140" s="39"/>
    </row>
    <row r="1141" spans="1:13" x14ac:dyDescent="0.2">
      <c r="A1141" s="30"/>
      <c r="B1141" s="30"/>
      <c r="C1141" s="30"/>
      <c r="D1141" s="30"/>
      <c r="E1141" s="30"/>
      <c r="F1141" s="30"/>
      <c r="G1141" s="30"/>
      <c r="H1141" s="30"/>
      <c r="I1141" s="30"/>
      <c r="J1141" s="65"/>
      <c r="K1141" s="83"/>
      <c r="L1141" s="30"/>
      <c r="M1141" s="39"/>
    </row>
    <row r="1142" spans="1:13" x14ac:dyDescent="0.2">
      <c r="A1142" s="30"/>
      <c r="B1142" s="30"/>
      <c r="C1142" s="30"/>
      <c r="D1142" s="30"/>
      <c r="E1142" s="30"/>
      <c r="F1142" s="30"/>
      <c r="G1142" s="30"/>
      <c r="H1142" s="30"/>
      <c r="I1142" s="30"/>
      <c r="J1142" s="65"/>
      <c r="K1142" s="83"/>
      <c r="L1142" s="30"/>
      <c r="M1142" s="39"/>
    </row>
    <row r="1143" spans="1:13" x14ac:dyDescent="0.2">
      <c r="A1143" s="30"/>
      <c r="B1143" s="30"/>
      <c r="C1143" s="30"/>
      <c r="D1143" s="30"/>
      <c r="E1143" s="30"/>
      <c r="F1143" s="30"/>
      <c r="G1143" s="30"/>
      <c r="H1143" s="30"/>
      <c r="I1143" s="30"/>
      <c r="J1143" s="65"/>
      <c r="K1143" s="83"/>
      <c r="L1143" s="30"/>
      <c r="M1143" s="39"/>
    </row>
    <row r="1144" spans="1:13" x14ac:dyDescent="0.2">
      <c r="A1144" s="30"/>
      <c r="B1144" s="30"/>
      <c r="C1144" s="30"/>
      <c r="D1144" s="30"/>
      <c r="E1144" s="30"/>
      <c r="F1144" s="30"/>
      <c r="G1144" s="30"/>
      <c r="H1144" s="30"/>
      <c r="I1144" s="30"/>
      <c r="J1144" s="65"/>
      <c r="K1144" s="83"/>
      <c r="L1144" s="30"/>
      <c r="M1144" s="39"/>
    </row>
    <row r="1145" spans="1:13" x14ac:dyDescent="0.2">
      <c r="A1145" s="30"/>
      <c r="B1145" s="30"/>
      <c r="C1145" s="30"/>
      <c r="D1145" s="30"/>
      <c r="E1145" s="30"/>
      <c r="F1145" s="30"/>
      <c r="G1145" s="30"/>
      <c r="H1145" s="30"/>
      <c r="I1145" s="30"/>
      <c r="J1145" s="65"/>
      <c r="K1145" s="83"/>
      <c r="L1145" s="30"/>
      <c r="M1145" s="39"/>
    </row>
    <row r="1146" spans="1:13" x14ac:dyDescent="0.2">
      <c r="A1146" s="30"/>
      <c r="B1146" s="30"/>
      <c r="C1146" s="30"/>
      <c r="D1146" s="30"/>
      <c r="E1146" s="30"/>
      <c r="F1146" s="30"/>
      <c r="G1146" s="30"/>
      <c r="H1146" s="30"/>
      <c r="I1146" s="30"/>
      <c r="J1146" s="65"/>
      <c r="K1146" s="83"/>
      <c r="L1146" s="30"/>
      <c r="M1146" s="39"/>
    </row>
    <row r="1147" spans="1:13" x14ac:dyDescent="0.2">
      <c r="A1147" s="30"/>
      <c r="B1147" s="30"/>
      <c r="C1147" s="30"/>
      <c r="D1147" s="30"/>
      <c r="E1147" s="30"/>
      <c r="F1147" s="30"/>
      <c r="G1147" s="30"/>
      <c r="H1147" s="30"/>
      <c r="I1147" s="30"/>
      <c r="J1147" s="65"/>
      <c r="K1147" s="83"/>
      <c r="L1147" s="30"/>
      <c r="M1147" s="39"/>
    </row>
    <row r="1148" spans="1:13" x14ac:dyDescent="0.2">
      <c r="A1148" s="30"/>
      <c r="B1148" s="30"/>
      <c r="C1148" s="30"/>
      <c r="D1148" s="30"/>
      <c r="E1148" s="30"/>
      <c r="F1148" s="30"/>
      <c r="G1148" s="30"/>
      <c r="H1148" s="30"/>
      <c r="I1148" s="30"/>
      <c r="J1148" s="65"/>
      <c r="K1148" s="83"/>
      <c r="L1148" s="30"/>
      <c r="M1148" s="39"/>
    </row>
    <row r="1149" spans="1:13" x14ac:dyDescent="0.2">
      <c r="A1149" s="30"/>
      <c r="B1149" s="30"/>
      <c r="C1149" s="30"/>
      <c r="D1149" s="30"/>
      <c r="E1149" s="30"/>
      <c r="F1149" s="30"/>
      <c r="G1149" s="30"/>
      <c r="H1149" s="30"/>
      <c r="I1149" s="30"/>
      <c r="J1149" s="65"/>
      <c r="K1149" s="83"/>
      <c r="L1149" s="30"/>
      <c r="M1149" s="39"/>
    </row>
    <row r="1150" spans="1:13" x14ac:dyDescent="0.2">
      <c r="A1150" s="30"/>
      <c r="B1150" s="30"/>
      <c r="C1150" s="30"/>
      <c r="D1150" s="30"/>
      <c r="E1150" s="30"/>
      <c r="F1150" s="30"/>
      <c r="G1150" s="30"/>
      <c r="H1150" s="30"/>
      <c r="I1150" s="30"/>
      <c r="J1150" s="65"/>
      <c r="K1150" s="83"/>
      <c r="L1150" s="30"/>
      <c r="M1150" s="39"/>
    </row>
    <row r="1151" spans="1:13" x14ac:dyDescent="0.2">
      <c r="A1151" s="30"/>
      <c r="B1151" s="30"/>
      <c r="C1151" s="30"/>
      <c r="D1151" s="30"/>
      <c r="E1151" s="30"/>
      <c r="F1151" s="30"/>
      <c r="G1151" s="30"/>
      <c r="H1151" s="30"/>
      <c r="I1151" s="30"/>
      <c r="J1151" s="65"/>
      <c r="K1151" s="83"/>
      <c r="L1151" s="30"/>
      <c r="M1151" s="39"/>
    </row>
    <row r="1152" spans="1:13" x14ac:dyDescent="0.2">
      <c r="A1152" s="30"/>
      <c r="B1152" s="30"/>
      <c r="C1152" s="30"/>
      <c r="D1152" s="30"/>
      <c r="E1152" s="30"/>
      <c r="F1152" s="30"/>
      <c r="G1152" s="30"/>
      <c r="H1152" s="30"/>
      <c r="I1152" s="30"/>
      <c r="J1152" s="65"/>
      <c r="K1152" s="83"/>
      <c r="L1152" s="30"/>
      <c r="M1152" s="39"/>
    </row>
    <row r="1153" spans="1:13" x14ac:dyDescent="0.2">
      <c r="A1153" s="30"/>
      <c r="B1153" s="30"/>
      <c r="C1153" s="30"/>
      <c r="D1153" s="30"/>
      <c r="E1153" s="30"/>
      <c r="F1153" s="30"/>
      <c r="G1153" s="30"/>
      <c r="H1153" s="30"/>
      <c r="I1153" s="30"/>
      <c r="J1153" s="65"/>
      <c r="K1153" s="83"/>
      <c r="L1153" s="30"/>
      <c r="M1153" s="39"/>
    </row>
    <row r="1154" spans="1:13" x14ac:dyDescent="0.2">
      <c r="A1154" s="30"/>
      <c r="B1154" s="30"/>
      <c r="C1154" s="30"/>
      <c r="D1154" s="30"/>
      <c r="E1154" s="30"/>
      <c r="F1154" s="30"/>
      <c r="G1154" s="30"/>
      <c r="H1154" s="30"/>
      <c r="I1154" s="30"/>
      <c r="J1154" s="65"/>
      <c r="K1154" s="83"/>
      <c r="L1154" s="30"/>
      <c r="M1154" s="39"/>
    </row>
    <row r="1155" spans="1:13" x14ac:dyDescent="0.2">
      <c r="A1155" s="30"/>
      <c r="B1155" s="30"/>
      <c r="C1155" s="30"/>
      <c r="D1155" s="30"/>
      <c r="E1155" s="30"/>
      <c r="F1155" s="30"/>
      <c r="G1155" s="30"/>
      <c r="H1155" s="30"/>
      <c r="I1155" s="30"/>
      <c r="J1155" s="65"/>
      <c r="K1155" s="83"/>
      <c r="L1155" s="30"/>
      <c r="M1155" s="39"/>
    </row>
    <row r="1156" spans="1:13" x14ac:dyDescent="0.2">
      <c r="A1156" s="30"/>
      <c r="B1156" s="30"/>
      <c r="C1156" s="30"/>
      <c r="D1156" s="30"/>
      <c r="E1156" s="30"/>
      <c r="F1156" s="30"/>
      <c r="G1156" s="30"/>
      <c r="H1156" s="30"/>
      <c r="I1156" s="30"/>
      <c r="J1156" s="65"/>
      <c r="K1156" s="83"/>
      <c r="L1156" s="30"/>
      <c r="M1156" s="39"/>
    </row>
    <row r="1157" spans="1:13" x14ac:dyDescent="0.2">
      <c r="A1157" s="30"/>
      <c r="B1157" s="30"/>
      <c r="C1157" s="30"/>
      <c r="D1157" s="30"/>
      <c r="E1157" s="30"/>
      <c r="F1157" s="30"/>
      <c r="G1157" s="30"/>
      <c r="H1157" s="30"/>
      <c r="I1157" s="30"/>
      <c r="J1157" s="65"/>
      <c r="K1157" s="83"/>
      <c r="L1157" s="30"/>
      <c r="M1157" s="39"/>
    </row>
    <row r="1158" spans="1:13" x14ac:dyDescent="0.2">
      <c r="A1158" s="30"/>
      <c r="B1158" s="30"/>
      <c r="C1158" s="30"/>
      <c r="D1158" s="30"/>
      <c r="E1158" s="30"/>
      <c r="F1158" s="30"/>
      <c r="G1158" s="30"/>
      <c r="H1158" s="30"/>
      <c r="I1158" s="30"/>
      <c r="J1158" s="65"/>
      <c r="K1158" s="83"/>
      <c r="L1158" s="30"/>
      <c r="M1158" s="39"/>
    </row>
    <row r="1159" spans="1:13" x14ac:dyDescent="0.2">
      <c r="A1159" s="30"/>
      <c r="B1159" s="30"/>
      <c r="C1159" s="30"/>
      <c r="D1159" s="30"/>
      <c r="E1159" s="30"/>
      <c r="F1159" s="30"/>
      <c r="G1159" s="30"/>
      <c r="H1159" s="30"/>
      <c r="I1159" s="30"/>
      <c r="J1159" s="65"/>
      <c r="K1159" s="83"/>
      <c r="L1159" s="30"/>
      <c r="M1159" s="39"/>
    </row>
    <row r="1160" spans="1:13" x14ac:dyDescent="0.2">
      <c r="A1160" s="30"/>
      <c r="B1160" s="30"/>
      <c r="C1160" s="30"/>
      <c r="D1160" s="30"/>
      <c r="E1160" s="30"/>
      <c r="F1160" s="30"/>
      <c r="G1160" s="30"/>
      <c r="H1160" s="30"/>
      <c r="I1160" s="30"/>
      <c r="J1160" s="65"/>
      <c r="K1160" s="83"/>
      <c r="L1160" s="30"/>
      <c r="M1160" s="39"/>
    </row>
    <row r="1161" spans="1:13" x14ac:dyDescent="0.2">
      <c r="A1161" s="30"/>
      <c r="B1161" s="30"/>
      <c r="C1161" s="30"/>
      <c r="D1161" s="30"/>
      <c r="E1161" s="30"/>
      <c r="F1161" s="30"/>
      <c r="G1161" s="30"/>
      <c r="H1161" s="30"/>
      <c r="I1161" s="30"/>
      <c r="J1161" s="65"/>
      <c r="K1161" s="83"/>
      <c r="L1161" s="30"/>
      <c r="M1161" s="39"/>
    </row>
    <row r="1162" spans="1:13" x14ac:dyDescent="0.2">
      <c r="A1162" s="30"/>
      <c r="B1162" s="30"/>
      <c r="C1162" s="30"/>
      <c r="D1162" s="30"/>
      <c r="E1162" s="30"/>
      <c r="F1162" s="30"/>
      <c r="G1162" s="30"/>
      <c r="H1162" s="30"/>
      <c r="I1162" s="30"/>
      <c r="J1162" s="65"/>
      <c r="K1162" s="83"/>
      <c r="L1162" s="30"/>
      <c r="M1162" s="39"/>
    </row>
    <row r="1163" spans="1:13" x14ac:dyDescent="0.2">
      <c r="A1163" s="30"/>
      <c r="B1163" s="30"/>
      <c r="C1163" s="30"/>
      <c r="D1163" s="30"/>
      <c r="E1163" s="30"/>
      <c r="F1163" s="30"/>
      <c r="G1163" s="30"/>
      <c r="H1163" s="30"/>
      <c r="I1163" s="30"/>
      <c r="J1163" s="65"/>
      <c r="K1163" s="83"/>
      <c r="L1163" s="30"/>
      <c r="M1163" s="39"/>
    </row>
    <row r="1164" spans="1:13" x14ac:dyDescent="0.2">
      <c r="A1164" s="30"/>
      <c r="B1164" s="30"/>
      <c r="C1164" s="30"/>
      <c r="D1164" s="30"/>
      <c r="E1164" s="30"/>
      <c r="F1164" s="30"/>
      <c r="G1164" s="30"/>
      <c r="H1164" s="30"/>
      <c r="I1164" s="30"/>
      <c r="J1164" s="65"/>
      <c r="K1164" s="83"/>
      <c r="L1164" s="30"/>
      <c r="M1164" s="39"/>
    </row>
    <row r="1165" spans="1:13" x14ac:dyDescent="0.2">
      <c r="A1165" s="30"/>
      <c r="B1165" s="30"/>
      <c r="C1165" s="30"/>
      <c r="D1165" s="30"/>
      <c r="E1165" s="30"/>
      <c r="F1165" s="30"/>
      <c r="G1165" s="30"/>
      <c r="H1165" s="30"/>
      <c r="I1165" s="30"/>
      <c r="J1165" s="65"/>
      <c r="K1165" s="83"/>
      <c r="L1165" s="30"/>
      <c r="M1165" s="39"/>
    </row>
    <row r="1166" spans="1:13" x14ac:dyDescent="0.2">
      <c r="A1166" s="30"/>
      <c r="B1166" s="30"/>
      <c r="C1166" s="30"/>
      <c r="D1166" s="30"/>
      <c r="E1166" s="30"/>
      <c r="F1166" s="30"/>
      <c r="G1166" s="30"/>
      <c r="H1166" s="30"/>
      <c r="I1166" s="30"/>
      <c r="J1166" s="65"/>
      <c r="K1166" s="83"/>
      <c r="L1166" s="30"/>
      <c r="M1166" s="39"/>
    </row>
    <row r="1167" spans="1:13" x14ac:dyDescent="0.2">
      <c r="A1167" s="30"/>
      <c r="B1167" s="30"/>
      <c r="C1167" s="30"/>
      <c r="D1167" s="30"/>
      <c r="E1167" s="30"/>
      <c r="F1167" s="30"/>
      <c r="G1167" s="30"/>
      <c r="H1167" s="30"/>
      <c r="I1167" s="30"/>
      <c r="J1167" s="65"/>
      <c r="K1167" s="83"/>
      <c r="L1167" s="30"/>
      <c r="M1167" s="39"/>
    </row>
    <row r="1168" spans="1:13" x14ac:dyDescent="0.2">
      <c r="A1168" s="30"/>
      <c r="B1168" s="30"/>
      <c r="C1168" s="30"/>
      <c r="D1168" s="30"/>
      <c r="E1168" s="30"/>
      <c r="F1168" s="30"/>
      <c r="G1168" s="30"/>
      <c r="H1168" s="30"/>
      <c r="I1168" s="30"/>
      <c r="J1168" s="65"/>
      <c r="K1168" s="83"/>
      <c r="L1168" s="30"/>
      <c r="M1168" s="39"/>
    </row>
    <row r="1169" spans="1:13" x14ac:dyDescent="0.2">
      <c r="A1169" s="30"/>
      <c r="B1169" s="30"/>
      <c r="C1169" s="30"/>
      <c r="D1169" s="30"/>
      <c r="E1169" s="30"/>
      <c r="F1169" s="30"/>
      <c r="G1169" s="30"/>
      <c r="H1169" s="30"/>
      <c r="I1169" s="30"/>
      <c r="J1169" s="65"/>
      <c r="K1169" s="83"/>
      <c r="L1169" s="30"/>
      <c r="M1169" s="39"/>
    </row>
    <row r="1170" spans="1:13" x14ac:dyDescent="0.2">
      <c r="A1170" s="30"/>
      <c r="B1170" s="30"/>
      <c r="C1170" s="30"/>
      <c r="D1170" s="30"/>
      <c r="E1170" s="30"/>
      <c r="F1170" s="30"/>
      <c r="G1170" s="30"/>
      <c r="H1170" s="30"/>
      <c r="I1170" s="30"/>
      <c r="J1170" s="65"/>
      <c r="K1170" s="83"/>
      <c r="L1170" s="30"/>
      <c r="M1170" s="39"/>
    </row>
    <row r="1171" spans="1:13" x14ac:dyDescent="0.2">
      <c r="A1171" s="30"/>
      <c r="B1171" s="30"/>
      <c r="C1171" s="30"/>
      <c r="D1171" s="30"/>
      <c r="E1171" s="30"/>
      <c r="F1171" s="30"/>
      <c r="G1171" s="30"/>
      <c r="H1171" s="30"/>
      <c r="I1171" s="30"/>
      <c r="J1171" s="65"/>
      <c r="K1171" s="83"/>
      <c r="L1171" s="30"/>
      <c r="M1171" s="39"/>
    </row>
    <row r="1172" spans="1:13" x14ac:dyDescent="0.2">
      <c r="A1172" s="30"/>
      <c r="B1172" s="30"/>
      <c r="C1172" s="30"/>
      <c r="D1172" s="30"/>
      <c r="E1172" s="30"/>
      <c r="F1172" s="30"/>
      <c r="G1172" s="30"/>
      <c r="H1172" s="30"/>
      <c r="I1172" s="30"/>
      <c r="J1172" s="65"/>
      <c r="K1172" s="83"/>
      <c r="L1172" s="30"/>
      <c r="M1172" s="39"/>
    </row>
    <row r="1173" spans="1:13" x14ac:dyDescent="0.2">
      <c r="A1173" s="30"/>
      <c r="B1173" s="30"/>
      <c r="C1173" s="30"/>
      <c r="D1173" s="30"/>
      <c r="E1173" s="30"/>
      <c r="F1173" s="30"/>
      <c r="G1173" s="30"/>
      <c r="H1173" s="30"/>
      <c r="I1173" s="30"/>
      <c r="J1173" s="65"/>
      <c r="K1173" s="83"/>
      <c r="L1173" s="30"/>
      <c r="M1173" s="39"/>
    </row>
    <row r="1174" spans="1:13" x14ac:dyDescent="0.2">
      <c r="A1174" s="30"/>
      <c r="B1174" s="30"/>
      <c r="C1174" s="30"/>
      <c r="D1174" s="30"/>
      <c r="E1174" s="30"/>
      <c r="F1174" s="30"/>
      <c r="G1174" s="30"/>
      <c r="H1174" s="30"/>
      <c r="I1174" s="30"/>
      <c r="J1174" s="65"/>
      <c r="K1174" s="83"/>
      <c r="L1174" s="30"/>
      <c r="M1174" s="39"/>
    </row>
    <row r="1175" spans="1:13" x14ac:dyDescent="0.2">
      <c r="A1175" s="30"/>
      <c r="B1175" s="30"/>
      <c r="C1175" s="30"/>
      <c r="D1175" s="30"/>
      <c r="E1175" s="30"/>
      <c r="F1175" s="30"/>
      <c r="G1175" s="30"/>
      <c r="H1175" s="30"/>
      <c r="I1175" s="30"/>
      <c r="J1175" s="65"/>
      <c r="K1175" s="83"/>
      <c r="L1175" s="30"/>
      <c r="M1175" s="39"/>
    </row>
    <row r="1176" spans="1:13" x14ac:dyDescent="0.2">
      <c r="A1176" s="30"/>
      <c r="B1176" s="30"/>
      <c r="C1176" s="30"/>
      <c r="D1176" s="30"/>
      <c r="E1176" s="30"/>
      <c r="F1176" s="30"/>
      <c r="G1176" s="30"/>
      <c r="H1176" s="30"/>
      <c r="I1176" s="30"/>
      <c r="J1176" s="65"/>
      <c r="K1176" s="83"/>
      <c r="L1176" s="30"/>
      <c r="M1176" s="39"/>
    </row>
    <row r="1177" spans="1:13" x14ac:dyDescent="0.2">
      <c r="A1177" s="30"/>
      <c r="B1177" s="30"/>
      <c r="C1177" s="30"/>
      <c r="D1177" s="30"/>
      <c r="E1177" s="30"/>
      <c r="F1177" s="30"/>
      <c r="G1177" s="30"/>
      <c r="H1177" s="30"/>
      <c r="I1177" s="30"/>
      <c r="J1177" s="65"/>
      <c r="K1177" s="83"/>
      <c r="L1177" s="30"/>
      <c r="M1177" s="39"/>
    </row>
    <row r="1178" spans="1:13" x14ac:dyDescent="0.2">
      <c r="A1178" s="30"/>
      <c r="B1178" s="30"/>
      <c r="C1178" s="30"/>
      <c r="D1178" s="30"/>
      <c r="E1178" s="30"/>
      <c r="F1178" s="30"/>
      <c r="G1178" s="30"/>
      <c r="H1178" s="30"/>
      <c r="I1178" s="30"/>
      <c r="J1178" s="65"/>
      <c r="K1178" s="83"/>
      <c r="L1178" s="30"/>
      <c r="M1178" s="39"/>
    </row>
    <row r="1179" spans="1:13" x14ac:dyDescent="0.2">
      <c r="A1179" s="30"/>
      <c r="B1179" s="30"/>
      <c r="C1179" s="30"/>
      <c r="D1179" s="30"/>
      <c r="E1179" s="30"/>
      <c r="F1179" s="30"/>
      <c r="G1179" s="30"/>
      <c r="H1179" s="30"/>
      <c r="I1179" s="30"/>
      <c r="J1179" s="65"/>
      <c r="K1179" s="83"/>
      <c r="L1179" s="30"/>
      <c r="M1179" s="39"/>
    </row>
    <row r="1180" spans="1:13" x14ac:dyDescent="0.2">
      <c r="A1180" s="30"/>
      <c r="B1180" s="30"/>
      <c r="C1180" s="30"/>
      <c r="D1180" s="30"/>
      <c r="E1180" s="30"/>
      <c r="F1180" s="30"/>
      <c r="G1180" s="30"/>
      <c r="H1180" s="30"/>
      <c r="I1180" s="30"/>
      <c r="J1180" s="65"/>
      <c r="K1180" s="83"/>
      <c r="L1180" s="30"/>
      <c r="M1180" s="39"/>
    </row>
    <row r="1181" spans="1:13" x14ac:dyDescent="0.2">
      <c r="A1181" s="30"/>
      <c r="B1181" s="30"/>
      <c r="C1181" s="30"/>
      <c r="D1181" s="30"/>
      <c r="E1181" s="30"/>
      <c r="F1181" s="30"/>
      <c r="G1181" s="30"/>
      <c r="H1181" s="30"/>
      <c r="I1181" s="30"/>
      <c r="J1181" s="65"/>
      <c r="K1181" s="83"/>
      <c r="L1181" s="30"/>
      <c r="M1181" s="39"/>
    </row>
    <row r="1182" spans="1:13" x14ac:dyDescent="0.2">
      <c r="A1182" s="30"/>
      <c r="B1182" s="30"/>
      <c r="C1182" s="30"/>
      <c r="D1182" s="30"/>
      <c r="E1182" s="30"/>
      <c r="F1182" s="30"/>
      <c r="G1182" s="30"/>
      <c r="H1182" s="30"/>
      <c r="I1182" s="30"/>
      <c r="J1182" s="65"/>
      <c r="K1182" s="83"/>
      <c r="L1182" s="30"/>
      <c r="M1182" s="39"/>
    </row>
    <row r="1183" spans="1:13" x14ac:dyDescent="0.2">
      <c r="A1183" s="30"/>
      <c r="B1183" s="30"/>
      <c r="C1183" s="30"/>
      <c r="D1183" s="30"/>
      <c r="E1183" s="30"/>
      <c r="F1183" s="30"/>
      <c r="G1183" s="30"/>
      <c r="H1183" s="30"/>
      <c r="I1183" s="30"/>
      <c r="J1183" s="65"/>
      <c r="K1183" s="83"/>
      <c r="L1183" s="30"/>
      <c r="M1183" s="39"/>
    </row>
    <row r="1184" spans="1:13" x14ac:dyDescent="0.2">
      <c r="A1184" s="30"/>
      <c r="B1184" s="30"/>
      <c r="C1184" s="30"/>
      <c r="D1184" s="30"/>
      <c r="E1184" s="30"/>
      <c r="F1184" s="30"/>
      <c r="G1184" s="30"/>
      <c r="H1184" s="30"/>
      <c r="I1184" s="30"/>
      <c r="J1184" s="65"/>
      <c r="K1184" s="83"/>
      <c r="L1184" s="30"/>
      <c r="M1184" s="39"/>
    </row>
    <row r="1185" spans="1:13" x14ac:dyDescent="0.2">
      <c r="A1185" s="30"/>
      <c r="B1185" s="30"/>
      <c r="C1185" s="30"/>
      <c r="D1185" s="30"/>
      <c r="E1185" s="30"/>
      <c r="F1185" s="30"/>
      <c r="G1185" s="30"/>
      <c r="H1185" s="30"/>
      <c r="I1185" s="30"/>
      <c r="J1185" s="65"/>
      <c r="K1185" s="83"/>
      <c r="L1185" s="30"/>
      <c r="M1185" s="39"/>
    </row>
    <row r="1186" spans="1:13" x14ac:dyDescent="0.2">
      <c r="A1186" s="30"/>
      <c r="B1186" s="30"/>
      <c r="C1186" s="30"/>
      <c r="D1186" s="30"/>
      <c r="E1186" s="30"/>
      <c r="F1186" s="30"/>
      <c r="G1186" s="30"/>
      <c r="H1186" s="30"/>
      <c r="I1186" s="30"/>
      <c r="J1186" s="65"/>
      <c r="K1186" s="83"/>
      <c r="L1186" s="30"/>
      <c r="M1186" s="39"/>
    </row>
    <row r="1187" spans="1:13" x14ac:dyDescent="0.2">
      <c r="A1187" s="30"/>
      <c r="B1187" s="30"/>
      <c r="C1187" s="30"/>
      <c r="D1187" s="30"/>
      <c r="E1187" s="30"/>
      <c r="F1187" s="30"/>
      <c r="G1187" s="30"/>
      <c r="H1187" s="30"/>
      <c r="I1187" s="30"/>
      <c r="J1187" s="65"/>
      <c r="K1187" s="83"/>
      <c r="L1187" s="30"/>
      <c r="M1187" s="39"/>
    </row>
    <row r="1188" spans="1:13" x14ac:dyDescent="0.2">
      <c r="A1188" s="30"/>
      <c r="B1188" s="30"/>
      <c r="C1188" s="30"/>
      <c r="D1188" s="30"/>
      <c r="E1188" s="30"/>
      <c r="F1188" s="30"/>
      <c r="G1188" s="30"/>
      <c r="H1188" s="30"/>
      <c r="I1188" s="30"/>
      <c r="J1188" s="65"/>
      <c r="K1188" s="83"/>
      <c r="L1188" s="30"/>
      <c r="M1188" s="39"/>
    </row>
    <row r="1189" spans="1:13" x14ac:dyDescent="0.2">
      <c r="A1189" s="30"/>
      <c r="B1189" s="30"/>
      <c r="C1189" s="30"/>
      <c r="D1189" s="30"/>
      <c r="E1189" s="30"/>
      <c r="F1189" s="30"/>
      <c r="G1189" s="30"/>
      <c r="H1189" s="30"/>
      <c r="I1189" s="30"/>
      <c r="J1189" s="65"/>
      <c r="K1189" s="83"/>
      <c r="L1189" s="30"/>
      <c r="M1189" s="39"/>
    </row>
    <row r="1190" spans="1:13" x14ac:dyDescent="0.2">
      <c r="A1190" s="30"/>
      <c r="B1190" s="30"/>
      <c r="C1190" s="30"/>
      <c r="D1190" s="30"/>
      <c r="E1190" s="30"/>
      <c r="F1190" s="30"/>
      <c r="G1190" s="30"/>
      <c r="H1190" s="30"/>
      <c r="I1190" s="30"/>
      <c r="J1190" s="65"/>
      <c r="K1190" s="83"/>
      <c r="L1190" s="30"/>
      <c r="M1190" s="39"/>
    </row>
    <row r="1191" spans="1:13" x14ac:dyDescent="0.2">
      <c r="A1191" s="30"/>
      <c r="B1191" s="30"/>
      <c r="C1191" s="30"/>
      <c r="D1191" s="30"/>
      <c r="E1191" s="30"/>
      <c r="F1191" s="30"/>
      <c r="G1191" s="30"/>
      <c r="H1191" s="30"/>
      <c r="I1191" s="30"/>
      <c r="J1191" s="65"/>
      <c r="K1191" s="83"/>
      <c r="L1191" s="30"/>
      <c r="M1191" s="39"/>
    </row>
    <row r="1192" spans="1:13" x14ac:dyDescent="0.2">
      <c r="A1192" s="30"/>
      <c r="B1192" s="30"/>
      <c r="C1192" s="30"/>
      <c r="D1192" s="30"/>
      <c r="E1192" s="30"/>
      <c r="F1192" s="30"/>
      <c r="G1192" s="30"/>
      <c r="H1192" s="30"/>
      <c r="I1192" s="30"/>
      <c r="J1192" s="65"/>
      <c r="K1192" s="83"/>
      <c r="L1192" s="30"/>
      <c r="M1192" s="39"/>
    </row>
    <row r="1193" spans="1:13" x14ac:dyDescent="0.2">
      <c r="A1193" s="30"/>
      <c r="B1193" s="30"/>
      <c r="C1193" s="30"/>
      <c r="D1193" s="30"/>
      <c r="E1193" s="30"/>
      <c r="F1193" s="30"/>
      <c r="G1193" s="30"/>
      <c r="H1193" s="30"/>
      <c r="I1193" s="30"/>
      <c r="J1193" s="65"/>
      <c r="K1193" s="83"/>
      <c r="L1193" s="30"/>
      <c r="M1193" s="39"/>
    </row>
    <row r="1194" spans="1:13" x14ac:dyDescent="0.2">
      <c r="A1194" s="30"/>
      <c r="B1194" s="30"/>
      <c r="C1194" s="30"/>
      <c r="D1194" s="30"/>
      <c r="E1194" s="30"/>
      <c r="F1194" s="30"/>
      <c r="G1194" s="30"/>
      <c r="H1194" s="30"/>
      <c r="I1194" s="30"/>
      <c r="J1194" s="65"/>
      <c r="K1194" s="83"/>
      <c r="L1194" s="30"/>
      <c r="M1194" s="39"/>
    </row>
    <row r="1195" spans="1:13" x14ac:dyDescent="0.2">
      <c r="A1195" s="30"/>
      <c r="B1195" s="30"/>
      <c r="C1195" s="30"/>
      <c r="D1195" s="30"/>
      <c r="E1195" s="30"/>
      <c r="F1195" s="30"/>
      <c r="G1195" s="30"/>
      <c r="H1195" s="30"/>
      <c r="I1195" s="30"/>
      <c r="J1195" s="65"/>
      <c r="K1195" s="83"/>
      <c r="L1195" s="30"/>
      <c r="M1195" s="39"/>
    </row>
    <row r="1196" spans="1:13" x14ac:dyDescent="0.2">
      <c r="A1196" s="30"/>
      <c r="B1196" s="30"/>
      <c r="C1196" s="30"/>
      <c r="D1196" s="30"/>
      <c r="E1196" s="30"/>
      <c r="F1196" s="30"/>
      <c r="G1196" s="30"/>
      <c r="H1196" s="30"/>
      <c r="I1196" s="30"/>
      <c r="J1196" s="65"/>
      <c r="K1196" s="83"/>
      <c r="L1196" s="30"/>
      <c r="M1196" s="39"/>
    </row>
    <row r="1197" spans="1:13" x14ac:dyDescent="0.2">
      <c r="A1197" s="30"/>
      <c r="B1197" s="30"/>
      <c r="C1197" s="30"/>
      <c r="D1197" s="30"/>
      <c r="E1197" s="30"/>
      <c r="F1197" s="30"/>
      <c r="G1197" s="30"/>
      <c r="H1197" s="30"/>
      <c r="I1197" s="30"/>
      <c r="J1197" s="65"/>
      <c r="K1197" s="83"/>
      <c r="L1197" s="30"/>
      <c r="M1197" s="39"/>
    </row>
    <row r="1198" spans="1:13" x14ac:dyDescent="0.2">
      <c r="A1198" s="30"/>
      <c r="B1198" s="30"/>
      <c r="C1198" s="30"/>
      <c r="D1198" s="30"/>
      <c r="E1198" s="30"/>
      <c r="F1198" s="30"/>
      <c r="G1198" s="30"/>
      <c r="H1198" s="30"/>
      <c r="I1198" s="30"/>
      <c r="J1198" s="65"/>
      <c r="K1198" s="83"/>
      <c r="L1198" s="30"/>
      <c r="M1198" s="39"/>
    </row>
    <row r="1199" spans="1:13" x14ac:dyDescent="0.2">
      <c r="A1199" s="30"/>
      <c r="B1199" s="30"/>
      <c r="C1199" s="30"/>
      <c r="D1199" s="30"/>
      <c r="E1199" s="30"/>
      <c r="F1199" s="30"/>
      <c r="G1199" s="30"/>
      <c r="H1199" s="30"/>
      <c r="I1199" s="30"/>
      <c r="J1199" s="65"/>
      <c r="K1199" s="83"/>
      <c r="L1199" s="30"/>
      <c r="M1199" s="39"/>
    </row>
    <row r="1200" spans="1:13" x14ac:dyDescent="0.2">
      <c r="A1200" s="30"/>
      <c r="B1200" s="30"/>
      <c r="C1200" s="30"/>
      <c r="D1200" s="30"/>
      <c r="E1200" s="30"/>
      <c r="F1200" s="30"/>
      <c r="G1200" s="30"/>
      <c r="H1200" s="30"/>
      <c r="I1200" s="30"/>
      <c r="J1200" s="65"/>
      <c r="K1200" s="83"/>
      <c r="L1200" s="30"/>
      <c r="M1200" s="39"/>
    </row>
    <row r="1201" spans="1:13" x14ac:dyDescent="0.2">
      <c r="A1201" s="30"/>
      <c r="B1201" s="30"/>
      <c r="C1201" s="30"/>
      <c r="D1201" s="30"/>
      <c r="E1201" s="30"/>
      <c r="F1201" s="30"/>
      <c r="G1201" s="30"/>
      <c r="H1201" s="30"/>
      <c r="I1201" s="30"/>
      <c r="J1201" s="65"/>
      <c r="K1201" s="83"/>
      <c r="L1201" s="30"/>
      <c r="M1201" s="39"/>
    </row>
    <row r="1202" spans="1:13" x14ac:dyDescent="0.2">
      <c r="A1202" s="30"/>
      <c r="B1202" s="30"/>
      <c r="C1202" s="30"/>
      <c r="D1202" s="30"/>
      <c r="E1202" s="30"/>
      <c r="F1202" s="30"/>
      <c r="G1202" s="30"/>
      <c r="H1202" s="30"/>
      <c r="I1202" s="30"/>
      <c r="J1202" s="65"/>
      <c r="K1202" s="83"/>
      <c r="L1202" s="30"/>
      <c r="M1202" s="39"/>
    </row>
    <row r="1203" spans="1:13" x14ac:dyDescent="0.2">
      <c r="A1203" s="30"/>
      <c r="B1203" s="30"/>
      <c r="C1203" s="30"/>
      <c r="D1203" s="30"/>
      <c r="E1203" s="30"/>
      <c r="F1203" s="30"/>
      <c r="G1203" s="30"/>
      <c r="H1203" s="30"/>
      <c r="I1203" s="30"/>
      <c r="J1203" s="65"/>
      <c r="K1203" s="83"/>
      <c r="L1203" s="30"/>
      <c r="M1203" s="39"/>
    </row>
    <row r="1204" spans="1:13" x14ac:dyDescent="0.2">
      <c r="A1204" s="30"/>
      <c r="B1204" s="30"/>
      <c r="C1204" s="30"/>
      <c r="D1204" s="30"/>
      <c r="E1204" s="30"/>
      <c r="F1204" s="30"/>
      <c r="G1204" s="30"/>
      <c r="H1204" s="30"/>
      <c r="I1204" s="30"/>
      <c r="J1204" s="65"/>
      <c r="K1204" s="83"/>
      <c r="L1204" s="30"/>
      <c r="M1204" s="39"/>
    </row>
    <row r="1205" spans="1:13" x14ac:dyDescent="0.2">
      <c r="A1205" s="30"/>
      <c r="B1205" s="30"/>
      <c r="C1205" s="30"/>
      <c r="D1205" s="30"/>
      <c r="E1205" s="30"/>
      <c r="F1205" s="30"/>
      <c r="G1205" s="30"/>
      <c r="H1205" s="30"/>
      <c r="I1205" s="30"/>
      <c r="J1205" s="65"/>
      <c r="K1205" s="83"/>
      <c r="L1205" s="30"/>
      <c r="M1205" s="39"/>
    </row>
    <row r="1206" spans="1:13" x14ac:dyDescent="0.2">
      <c r="A1206" s="30"/>
      <c r="B1206" s="30"/>
      <c r="C1206" s="30"/>
      <c r="D1206" s="30"/>
      <c r="E1206" s="30"/>
      <c r="F1206" s="30"/>
      <c r="G1206" s="30"/>
      <c r="H1206" s="30"/>
      <c r="I1206" s="30"/>
      <c r="J1206" s="65"/>
      <c r="K1206" s="83"/>
      <c r="L1206" s="30"/>
      <c r="M1206" s="39"/>
    </row>
    <row r="1207" spans="1:13" x14ac:dyDescent="0.2">
      <c r="A1207" s="30"/>
      <c r="B1207" s="30"/>
      <c r="C1207" s="30"/>
      <c r="D1207" s="30"/>
      <c r="E1207" s="30"/>
      <c r="F1207" s="30"/>
      <c r="G1207" s="30"/>
      <c r="H1207" s="30"/>
      <c r="I1207" s="30"/>
      <c r="J1207" s="65"/>
      <c r="K1207" s="83"/>
      <c r="L1207" s="30"/>
      <c r="M1207" s="39"/>
    </row>
    <row r="1208" spans="1:13" x14ac:dyDescent="0.2">
      <c r="A1208" s="30"/>
      <c r="B1208" s="30"/>
      <c r="C1208" s="30"/>
      <c r="D1208" s="30"/>
      <c r="E1208" s="30"/>
      <c r="F1208" s="30"/>
      <c r="G1208" s="30"/>
      <c r="H1208" s="30"/>
      <c r="I1208" s="30"/>
      <c r="J1208" s="65"/>
      <c r="K1208" s="83"/>
      <c r="L1208" s="30"/>
      <c r="M1208" s="39"/>
    </row>
    <row r="1209" spans="1:13" x14ac:dyDescent="0.2">
      <c r="A1209" s="30"/>
      <c r="B1209" s="30"/>
      <c r="C1209" s="30"/>
      <c r="D1209" s="30"/>
      <c r="E1209" s="30"/>
      <c r="F1209" s="30"/>
      <c r="G1209" s="30"/>
      <c r="H1209" s="30"/>
      <c r="I1209" s="30"/>
      <c r="J1209" s="65"/>
      <c r="K1209" s="83"/>
      <c r="L1209" s="30"/>
      <c r="M1209" s="39"/>
    </row>
    <row r="1210" spans="1:13" x14ac:dyDescent="0.2">
      <c r="A1210" s="30"/>
      <c r="B1210" s="30"/>
      <c r="C1210" s="30"/>
      <c r="D1210" s="30"/>
      <c r="E1210" s="30"/>
      <c r="F1210" s="30"/>
      <c r="G1210" s="30"/>
      <c r="H1210" s="30"/>
      <c r="I1210" s="30"/>
      <c r="J1210" s="65"/>
      <c r="K1210" s="83"/>
      <c r="L1210" s="30"/>
      <c r="M1210" s="39"/>
    </row>
    <row r="1211" spans="1:13" x14ac:dyDescent="0.2">
      <c r="A1211" s="30"/>
      <c r="B1211" s="30"/>
      <c r="C1211" s="30"/>
      <c r="D1211" s="30"/>
      <c r="E1211" s="30"/>
      <c r="F1211" s="30"/>
      <c r="G1211" s="30"/>
      <c r="H1211" s="30"/>
      <c r="I1211" s="30"/>
      <c r="J1211" s="65"/>
      <c r="K1211" s="83"/>
      <c r="L1211" s="30"/>
      <c r="M1211" s="39"/>
    </row>
    <row r="1212" spans="1:13" x14ac:dyDescent="0.2">
      <c r="A1212" s="30"/>
      <c r="B1212" s="30"/>
      <c r="C1212" s="30"/>
      <c r="D1212" s="30"/>
      <c r="E1212" s="30"/>
      <c r="F1212" s="30"/>
      <c r="G1212" s="30"/>
      <c r="H1212" s="30"/>
      <c r="I1212" s="30"/>
      <c r="J1212" s="65"/>
      <c r="K1212" s="83"/>
      <c r="L1212" s="30"/>
      <c r="M1212" s="39"/>
    </row>
    <row r="1213" spans="1:13" x14ac:dyDescent="0.2">
      <c r="A1213" s="30"/>
      <c r="B1213" s="30"/>
      <c r="C1213" s="30"/>
      <c r="D1213" s="30"/>
      <c r="E1213" s="30"/>
      <c r="F1213" s="30"/>
      <c r="G1213" s="30"/>
      <c r="H1213" s="30"/>
      <c r="I1213" s="30"/>
      <c r="J1213" s="65"/>
      <c r="K1213" s="83"/>
      <c r="L1213" s="30"/>
      <c r="M1213" s="39"/>
    </row>
    <row r="1214" spans="1:13" x14ac:dyDescent="0.2">
      <c r="A1214" s="30"/>
      <c r="B1214" s="30"/>
      <c r="C1214" s="30"/>
      <c r="D1214" s="30"/>
      <c r="E1214" s="30"/>
      <c r="F1214" s="30"/>
      <c r="G1214" s="30"/>
      <c r="H1214" s="30"/>
      <c r="I1214" s="30"/>
      <c r="J1214" s="65"/>
      <c r="K1214" s="83"/>
      <c r="L1214" s="30"/>
      <c r="M1214" s="39"/>
    </row>
    <row r="1215" spans="1:13" x14ac:dyDescent="0.2">
      <c r="A1215" s="30"/>
      <c r="B1215" s="30"/>
      <c r="C1215" s="30"/>
      <c r="D1215" s="30"/>
      <c r="E1215" s="30"/>
      <c r="F1215" s="30"/>
      <c r="G1215" s="30"/>
      <c r="H1215" s="30"/>
      <c r="I1215" s="30"/>
      <c r="J1215" s="65"/>
      <c r="K1215" s="83"/>
      <c r="L1215" s="30"/>
      <c r="M1215" s="39"/>
    </row>
    <row r="1216" spans="1:13" x14ac:dyDescent="0.2">
      <c r="A1216" s="30"/>
      <c r="B1216" s="30"/>
      <c r="C1216" s="30"/>
      <c r="D1216" s="30"/>
      <c r="E1216" s="30"/>
      <c r="F1216" s="30"/>
      <c r="G1216" s="30"/>
      <c r="H1216" s="30"/>
      <c r="I1216" s="30"/>
      <c r="J1216" s="65"/>
      <c r="K1216" s="83"/>
      <c r="L1216" s="30"/>
      <c r="M1216" s="39"/>
    </row>
    <row r="1217" spans="1:13" x14ac:dyDescent="0.2">
      <c r="A1217" s="30"/>
      <c r="B1217" s="30"/>
      <c r="C1217" s="30"/>
      <c r="D1217" s="30"/>
      <c r="E1217" s="30"/>
      <c r="F1217" s="30"/>
      <c r="G1217" s="30"/>
      <c r="H1217" s="30"/>
      <c r="I1217" s="30"/>
      <c r="J1217" s="65"/>
      <c r="K1217" s="83"/>
      <c r="L1217" s="30"/>
      <c r="M1217" s="39"/>
    </row>
    <row r="1218" spans="1:13" x14ac:dyDescent="0.2">
      <c r="A1218" s="30"/>
      <c r="B1218" s="30"/>
      <c r="C1218" s="30"/>
      <c r="D1218" s="30"/>
      <c r="E1218" s="30"/>
      <c r="F1218" s="30"/>
      <c r="G1218" s="30"/>
      <c r="H1218" s="30"/>
      <c r="I1218" s="30"/>
      <c r="J1218" s="65"/>
      <c r="K1218" s="83"/>
      <c r="L1218" s="30"/>
      <c r="M1218" s="39"/>
    </row>
    <row r="1219" spans="1:13" x14ac:dyDescent="0.2">
      <c r="A1219" s="30"/>
      <c r="B1219" s="30"/>
      <c r="C1219" s="30"/>
      <c r="D1219" s="30"/>
      <c r="E1219" s="30"/>
      <c r="F1219" s="30"/>
      <c r="G1219" s="30"/>
      <c r="H1219" s="30"/>
      <c r="I1219" s="30"/>
      <c r="J1219" s="65"/>
      <c r="K1219" s="83"/>
      <c r="L1219" s="30"/>
      <c r="M1219" s="39"/>
    </row>
    <row r="1220" spans="1:13" x14ac:dyDescent="0.2">
      <c r="A1220" s="30"/>
      <c r="B1220" s="30"/>
      <c r="C1220" s="30"/>
      <c r="D1220" s="30"/>
      <c r="E1220" s="30"/>
      <c r="F1220" s="30"/>
      <c r="G1220" s="30"/>
      <c r="H1220" s="30"/>
      <c r="I1220" s="30"/>
      <c r="J1220" s="65"/>
      <c r="K1220" s="83"/>
      <c r="L1220" s="30"/>
      <c r="M1220" s="39"/>
    </row>
    <row r="1221" spans="1:13" x14ac:dyDescent="0.2">
      <c r="A1221" s="30"/>
      <c r="B1221" s="30"/>
      <c r="C1221" s="30"/>
      <c r="D1221" s="30"/>
      <c r="E1221" s="30"/>
      <c r="F1221" s="30"/>
      <c r="G1221" s="30"/>
      <c r="H1221" s="30"/>
      <c r="I1221" s="30"/>
      <c r="J1221" s="65"/>
      <c r="K1221" s="83"/>
      <c r="L1221" s="30"/>
      <c r="M1221" s="39"/>
    </row>
    <row r="1222" spans="1:13" x14ac:dyDescent="0.2">
      <c r="A1222" s="30"/>
      <c r="B1222" s="30"/>
      <c r="C1222" s="30"/>
      <c r="D1222" s="30"/>
      <c r="E1222" s="30"/>
      <c r="F1222" s="30"/>
      <c r="G1222" s="30"/>
      <c r="H1222" s="30"/>
      <c r="I1222" s="30"/>
      <c r="J1222" s="65"/>
      <c r="K1222" s="83"/>
      <c r="L1222" s="30"/>
      <c r="M1222" s="39"/>
    </row>
    <row r="1223" spans="1:13" x14ac:dyDescent="0.2">
      <c r="A1223" s="30"/>
      <c r="B1223" s="30"/>
      <c r="C1223" s="30"/>
      <c r="D1223" s="30"/>
      <c r="E1223" s="30"/>
      <c r="F1223" s="30"/>
      <c r="G1223" s="30"/>
      <c r="H1223" s="30"/>
      <c r="I1223" s="30"/>
      <c r="J1223" s="65"/>
      <c r="K1223" s="83"/>
      <c r="L1223" s="30"/>
      <c r="M1223" s="39"/>
    </row>
    <row r="1224" spans="1:13" x14ac:dyDescent="0.2">
      <c r="A1224" s="30"/>
      <c r="B1224" s="30"/>
      <c r="C1224" s="30"/>
      <c r="D1224" s="30"/>
      <c r="E1224" s="30"/>
      <c r="F1224" s="30"/>
      <c r="G1224" s="30"/>
      <c r="H1224" s="30"/>
      <c r="I1224" s="30"/>
      <c r="J1224" s="65"/>
      <c r="K1224" s="83"/>
      <c r="L1224" s="30"/>
      <c r="M1224" s="39"/>
    </row>
    <row r="1225" spans="1:13" x14ac:dyDescent="0.2">
      <c r="A1225" s="30"/>
      <c r="B1225" s="30"/>
      <c r="C1225" s="30"/>
      <c r="D1225" s="30"/>
      <c r="E1225" s="30"/>
      <c r="F1225" s="30"/>
      <c r="G1225" s="30"/>
      <c r="H1225" s="30"/>
      <c r="I1225" s="30"/>
      <c r="J1225" s="65"/>
      <c r="K1225" s="81"/>
      <c r="L1225" s="30"/>
      <c r="M1225" s="39"/>
    </row>
    <row r="1226" spans="1:13" x14ac:dyDescent="0.2">
      <c r="A1226" s="30"/>
      <c r="B1226" s="30"/>
      <c r="C1226" s="30"/>
      <c r="D1226" s="30"/>
      <c r="E1226" s="30"/>
      <c r="F1226" s="30"/>
      <c r="G1226" s="30"/>
      <c r="H1226" s="30"/>
      <c r="I1226" s="30"/>
      <c r="J1226" s="65"/>
      <c r="K1226" s="81"/>
      <c r="L1226" s="30"/>
      <c r="M1226" s="39"/>
    </row>
    <row r="1227" spans="1:13" x14ac:dyDescent="0.2">
      <c r="A1227" s="30"/>
      <c r="B1227" s="30"/>
      <c r="C1227" s="30"/>
      <c r="D1227" s="30"/>
      <c r="E1227" s="30"/>
      <c r="F1227" s="30"/>
      <c r="G1227" s="30"/>
      <c r="H1227" s="30"/>
      <c r="I1227" s="30"/>
      <c r="J1227" s="65"/>
      <c r="K1227" s="81"/>
      <c r="L1227" s="30"/>
      <c r="M1227" s="39"/>
    </row>
    <row r="1228" spans="1:13" x14ac:dyDescent="0.2">
      <c r="A1228" s="30"/>
      <c r="B1228" s="30"/>
      <c r="C1228" s="66"/>
      <c r="D1228" s="66"/>
      <c r="E1228" s="66"/>
      <c r="F1228" s="66"/>
      <c r="G1228" s="66"/>
      <c r="H1228" s="66"/>
      <c r="I1228" s="66"/>
      <c r="J1228" s="66"/>
      <c r="K1228" s="66"/>
      <c r="L1228" s="66"/>
      <c r="M1228" s="67"/>
    </row>
    <row r="1229" spans="1:13" x14ac:dyDescent="0.2">
      <c r="C1229" s="17"/>
    </row>
    <row r="1230" spans="1:13" x14ac:dyDescent="0.2">
      <c r="C1230" s="17"/>
    </row>
    <row r="1231" spans="1:13" x14ac:dyDescent="0.2">
      <c r="C1231" s="17"/>
    </row>
    <row r="1232" spans="1:13" x14ac:dyDescent="0.2">
      <c r="C1232" s="17"/>
    </row>
    <row r="1233" spans="3:3" x14ac:dyDescent="0.2">
      <c r="C1233" s="17"/>
    </row>
    <row r="1234" spans="3:3" x14ac:dyDescent="0.2">
      <c r="C1234" s="17"/>
    </row>
    <row r="1235" spans="3:3" x14ac:dyDescent="0.2">
      <c r="C1235" s="17"/>
    </row>
    <row r="1236" spans="3:3" x14ac:dyDescent="0.2">
      <c r="C1236" s="17"/>
    </row>
    <row r="1237" spans="3:3" x14ac:dyDescent="0.2">
      <c r="C1237" s="17"/>
    </row>
    <row r="1238" spans="3:3" x14ac:dyDescent="0.2">
      <c r="C1238" s="17"/>
    </row>
    <row r="1239" spans="3:3" x14ac:dyDescent="0.2">
      <c r="C1239" s="17"/>
    </row>
    <row r="1240" spans="3:3" x14ac:dyDescent="0.2">
      <c r="C1240" s="17"/>
    </row>
    <row r="1241" spans="3:3" x14ac:dyDescent="0.2">
      <c r="C1241" s="17"/>
    </row>
    <row r="1242" spans="3:3" x14ac:dyDescent="0.2">
      <c r="C1242" s="17"/>
    </row>
    <row r="1243" spans="3:3" x14ac:dyDescent="0.2">
      <c r="C1243" s="17"/>
    </row>
    <row r="1244" spans="3:3" x14ac:dyDescent="0.2">
      <c r="C1244" s="17"/>
    </row>
    <row r="1245" spans="3:3" x14ac:dyDescent="0.2">
      <c r="C1245" s="17"/>
    </row>
    <row r="1246" spans="3:3" x14ac:dyDescent="0.2">
      <c r="C1246" s="17"/>
    </row>
    <row r="1247" spans="3:3" x14ac:dyDescent="0.2">
      <c r="C1247" s="17"/>
    </row>
    <row r="1248" spans="3:3" x14ac:dyDescent="0.2">
      <c r="C1248" s="17"/>
    </row>
    <row r="1249" spans="3:3" x14ac:dyDescent="0.2">
      <c r="C1249" s="17"/>
    </row>
    <row r="1250" spans="3:3" x14ac:dyDescent="0.2">
      <c r="C1250" s="17"/>
    </row>
    <row r="1251" spans="3:3" x14ac:dyDescent="0.2">
      <c r="C1251" s="17"/>
    </row>
    <row r="1252" spans="3:3" x14ac:dyDescent="0.2">
      <c r="C1252" s="17"/>
    </row>
    <row r="1253" spans="3:3" x14ac:dyDescent="0.2">
      <c r="C1253" s="17"/>
    </row>
    <row r="1254" spans="3:3" x14ac:dyDescent="0.2">
      <c r="C1254" s="17"/>
    </row>
    <row r="1255" spans="3:3" x14ac:dyDescent="0.2">
      <c r="C1255" s="17"/>
    </row>
    <row r="1256" spans="3:3" x14ac:dyDescent="0.2">
      <c r="C1256" s="17"/>
    </row>
    <row r="1257" spans="3:3" x14ac:dyDescent="0.2">
      <c r="C1257" s="17"/>
    </row>
    <row r="1258" spans="3:3" x14ac:dyDescent="0.2">
      <c r="C1258" s="17"/>
    </row>
    <row r="1259" spans="3:3" x14ac:dyDescent="0.2">
      <c r="C1259" s="17"/>
    </row>
    <row r="1260" spans="3:3" x14ac:dyDescent="0.2">
      <c r="C1260" s="17"/>
    </row>
    <row r="1261" spans="3:3" x14ac:dyDescent="0.2">
      <c r="C1261" s="17"/>
    </row>
    <row r="1262" spans="3:3" x14ac:dyDescent="0.2">
      <c r="C1262" s="17"/>
    </row>
    <row r="1263" spans="3:3" x14ac:dyDescent="0.2">
      <c r="C1263" s="17"/>
    </row>
    <row r="1264" spans="3:3" x14ac:dyDescent="0.2">
      <c r="C1264" s="17"/>
    </row>
    <row r="1265" spans="3:3" x14ac:dyDescent="0.2">
      <c r="C1265" s="17"/>
    </row>
    <row r="1266" spans="3:3" x14ac:dyDescent="0.2">
      <c r="C1266" s="17"/>
    </row>
    <row r="1267" spans="3:3" x14ac:dyDescent="0.2">
      <c r="C1267" s="17"/>
    </row>
    <row r="1268" spans="3:3" x14ac:dyDescent="0.2">
      <c r="C1268" s="17"/>
    </row>
    <row r="1269" spans="3:3" x14ac:dyDescent="0.2">
      <c r="C1269" s="17"/>
    </row>
    <row r="1270" spans="3:3" x14ac:dyDescent="0.2">
      <c r="C1270" s="17"/>
    </row>
    <row r="1271" spans="3:3" x14ac:dyDescent="0.2">
      <c r="C1271" s="17"/>
    </row>
    <row r="1272" spans="3:3" x14ac:dyDescent="0.2">
      <c r="C1272" s="17"/>
    </row>
    <row r="1273" spans="3:3" x14ac:dyDescent="0.2">
      <c r="C1273" s="17"/>
    </row>
    <row r="1274" spans="3:3" x14ac:dyDescent="0.2">
      <c r="C1274" s="17"/>
    </row>
    <row r="1275" spans="3:3" x14ac:dyDescent="0.2">
      <c r="C1275" s="17"/>
    </row>
    <row r="1276" spans="3:3" x14ac:dyDescent="0.2">
      <c r="C1276" s="17"/>
    </row>
    <row r="1277" spans="3:3" x14ac:dyDescent="0.2">
      <c r="C1277" s="17"/>
    </row>
    <row r="1278" spans="3:3" x14ac:dyDescent="0.2">
      <c r="C1278" s="17"/>
    </row>
    <row r="1279" spans="3:3" x14ac:dyDescent="0.2">
      <c r="C1279" s="17"/>
    </row>
    <row r="1280" spans="3:3" x14ac:dyDescent="0.2">
      <c r="C1280" s="17"/>
    </row>
    <row r="1281" spans="3:3" x14ac:dyDescent="0.2">
      <c r="C1281" s="17"/>
    </row>
    <row r="1282" spans="3:3" x14ac:dyDescent="0.2">
      <c r="C1282" s="17"/>
    </row>
    <row r="1283" spans="3:3" x14ac:dyDescent="0.2">
      <c r="C1283" s="17"/>
    </row>
    <row r="1284" spans="3:3" x14ac:dyDescent="0.2">
      <c r="C1284" s="17"/>
    </row>
    <row r="1285" spans="3:3" x14ac:dyDescent="0.2">
      <c r="C1285" s="17"/>
    </row>
    <row r="1286" spans="3:3" x14ac:dyDescent="0.2">
      <c r="C1286" s="17"/>
    </row>
    <row r="1287" spans="3:3" x14ac:dyDescent="0.2">
      <c r="C1287" s="17"/>
    </row>
    <row r="1288" spans="3:3" x14ac:dyDescent="0.2">
      <c r="C1288" s="17"/>
    </row>
    <row r="1289" spans="3:3" x14ac:dyDescent="0.2">
      <c r="C1289" s="17"/>
    </row>
    <row r="1290" spans="3:3" x14ac:dyDescent="0.2">
      <c r="C1290" s="17"/>
    </row>
    <row r="1291" spans="3:3" x14ac:dyDescent="0.2">
      <c r="C1291" s="17"/>
    </row>
    <row r="1292" spans="3:3" x14ac:dyDescent="0.2">
      <c r="C1292" s="17"/>
    </row>
    <row r="1293" spans="3:3" x14ac:dyDescent="0.2">
      <c r="C1293" s="17"/>
    </row>
    <row r="1294" spans="3:3" x14ac:dyDescent="0.2">
      <c r="C1294" s="17"/>
    </row>
    <row r="1295" spans="3:3" x14ac:dyDescent="0.2">
      <c r="C1295" s="17"/>
    </row>
    <row r="1296" spans="3:3" x14ac:dyDescent="0.2">
      <c r="C1296" s="17"/>
    </row>
    <row r="1297" spans="3:3" x14ac:dyDescent="0.2">
      <c r="C1297" s="17"/>
    </row>
    <row r="1298" spans="3:3" x14ac:dyDescent="0.2">
      <c r="C1298" s="17"/>
    </row>
    <row r="1299" spans="3:3" x14ac:dyDescent="0.2">
      <c r="C1299" s="17"/>
    </row>
    <row r="1300" spans="3:3" x14ac:dyDescent="0.2">
      <c r="C1300" s="17"/>
    </row>
    <row r="1301" spans="3:3" x14ac:dyDescent="0.2">
      <c r="C1301" s="17"/>
    </row>
    <row r="1302" spans="3:3" x14ac:dyDescent="0.2">
      <c r="C1302" s="17"/>
    </row>
    <row r="1303" spans="3:3" x14ac:dyDescent="0.2">
      <c r="C1303" s="17"/>
    </row>
    <row r="1304" spans="3:3" x14ac:dyDescent="0.2">
      <c r="C1304" s="17"/>
    </row>
    <row r="1305" spans="3:3" x14ac:dyDescent="0.2">
      <c r="C1305" s="17"/>
    </row>
    <row r="1306" spans="3:3" x14ac:dyDescent="0.2">
      <c r="C1306" s="17"/>
    </row>
    <row r="1307" spans="3:3" x14ac:dyDescent="0.2">
      <c r="C1307" s="17"/>
    </row>
    <row r="1308" spans="3:3" x14ac:dyDescent="0.2">
      <c r="C1308" s="17"/>
    </row>
    <row r="1309" spans="3:3" x14ac:dyDescent="0.2">
      <c r="C1309" s="17"/>
    </row>
    <row r="1310" spans="3:3" x14ac:dyDescent="0.2">
      <c r="C1310" s="17"/>
    </row>
    <row r="1311" spans="3:3" x14ac:dyDescent="0.2">
      <c r="C1311" s="17"/>
    </row>
    <row r="1312" spans="3:3" x14ac:dyDescent="0.2">
      <c r="C1312" s="17"/>
    </row>
    <row r="1313" spans="3:3" x14ac:dyDescent="0.2">
      <c r="C1313" s="17"/>
    </row>
    <row r="1314" spans="3:3" x14ac:dyDescent="0.2">
      <c r="C1314" s="17"/>
    </row>
    <row r="1315" spans="3:3" x14ac:dyDescent="0.2">
      <c r="C1315" s="17"/>
    </row>
    <row r="1316" spans="3:3" x14ac:dyDescent="0.2">
      <c r="C1316" s="17"/>
    </row>
    <row r="1317" spans="3:3" x14ac:dyDescent="0.2">
      <c r="C1317" s="17"/>
    </row>
    <row r="1318" spans="3:3" x14ac:dyDescent="0.2">
      <c r="C1318" s="17"/>
    </row>
    <row r="1319" spans="3:3" x14ac:dyDescent="0.2">
      <c r="C1319" s="17"/>
    </row>
    <row r="1320" spans="3:3" x14ac:dyDescent="0.2">
      <c r="C1320" s="17"/>
    </row>
    <row r="1321" spans="3:3" x14ac:dyDescent="0.2">
      <c r="C1321" s="17"/>
    </row>
    <row r="1322" spans="3:3" x14ac:dyDescent="0.2">
      <c r="C1322" s="17"/>
    </row>
    <row r="1323" spans="3:3" x14ac:dyDescent="0.2">
      <c r="C1323" s="17"/>
    </row>
    <row r="1324" spans="3:3" x14ac:dyDescent="0.2">
      <c r="C1324" s="17"/>
    </row>
    <row r="1325" spans="3:3" x14ac:dyDescent="0.2">
      <c r="C1325" s="17"/>
    </row>
    <row r="1326" spans="3:3" x14ac:dyDescent="0.2">
      <c r="C1326" s="17"/>
    </row>
    <row r="1327" spans="3:3" x14ac:dyDescent="0.2">
      <c r="C1327" s="17"/>
    </row>
    <row r="1328" spans="3:3" x14ac:dyDescent="0.2">
      <c r="C1328" s="17"/>
    </row>
    <row r="1329" spans="3:3" x14ac:dyDescent="0.2">
      <c r="C1329" s="17"/>
    </row>
    <row r="1330" spans="3:3" x14ac:dyDescent="0.2">
      <c r="C1330" s="17"/>
    </row>
    <row r="1331" spans="3:3" x14ac:dyDescent="0.2">
      <c r="C1331" s="17"/>
    </row>
    <row r="1332" spans="3:3" x14ac:dyDescent="0.2">
      <c r="C1332" s="17"/>
    </row>
    <row r="1333" spans="3:3" x14ac:dyDescent="0.2">
      <c r="C1333" s="17"/>
    </row>
    <row r="1334" spans="3:3" x14ac:dyDescent="0.2">
      <c r="C1334" s="17"/>
    </row>
    <row r="1335" spans="3:3" x14ac:dyDescent="0.2">
      <c r="C1335" s="17"/>
    </row>
    <row r="1336" spans="3:3" x14ac:dyDescent="0.2">
      <c r="C1336" s="17"/>
    </row>
    <row r="1337" spans="3:3" x14ac:dyDescent="0.2">
      <c r="C1337" s="17"/>
    </row>
    <row r="1338" spans="3:3" x14ac:dyDescent="0.2">
      <c r="C1338" s="17"/>
    </row>
    <row r="1339" spans="3:3" x14ac:dyDescent="0.2">
      <c r="C1339" s="17"/>
    </row>
    <row r="1340" spans="3:3" x14ac:dyDescent="0.2">
      <c r="C1340" s="17"/>
    </row>
    <row r="1341" spans="3:3" x14ac:dyDescent="0.2">
      <c r="C1341" s="17"/>
    </row>
    <row r="1342" spans="3:3" x14ac:dyDescent="0.2">
      <c r="C1342" s="17"/>
    </row>
    <row r="1343" spans="3:3" x14ac:dyDescent="0.2">
      <c r="C1343" s="17"/>
    </row>
    <row r="1344" spans="3:3" x14ac:dyDescent="0.2">
      <c r="C1344" s="17"/>
    </row>
    <row r="1345" spans="3:3" x14ac:dyDescent="0.2">
      <c r="C1345" s="17"/>
    </row>
    <row r="1346" spans="3:3" x14ac:dyDescent="0.2">
      <c r="C1346" s="17"/>
    </row>
    <row r="1347" spans="3:3" x14ac:dyDescent="0.2">
      <c r="C1347" s="17"/>
    </row>
    <row r="1348" spans="3:3" x14ac:dyDescent="0.2">
      <c r="C1348" s="17"/>
    </row>
    <row r="1349" spans="3:3" x14ac:dyDescent="0.2">
      <c r="C1349" s="17"/>
    </row>
    <row r="1350" spans="3:3" x14ac:dyDescent="0.2">
      <c r="C1350" s="17"/>
    </row>
    <row r="1351" spans="3:3" x14ac:dyDescent="0.2">
      <c r="C1351" s="17"/>
    </row>
    <row r="1352" spans="3:3" x14ac:dyDescent="0.2">
      <c r="C1352" s="17"/>
    </row>
    <row r="1353" spans="3:3" x14ac:dyDescent="0.2">
      <c r="C1353" s="17"/>
    </row>
    <row r="1354" spans="3:3" x14ac:dyDescent="0.2">
      <c r="C1354" s="17"/>
    </row>
    <row r="1355" spans="3:3" x14ac:dyDescent="0.2">
      <c r="C1355" s="17"/>
    </row>
    <row r="1356" spans="3:3" x14ac:dyDescent="0.2">
      <c r="C1356" s="17"/>
    </row>
    <row r="1357" spans="3:3" x14ac:dyDescent="0.2">
      <c r="C1357" s="17"/>
    </row>
    <row r="1358" spans="3:3" x14ac:dyDescent="0.2">
      <c r="C1358" s="17"/>
    </row>
    <row r="1359" spans="3:3" x14ac:dyDescent="0.2">
      <c r="C1359" s="17"/>
    </row>
    <row r="1360" spans="3:3" x14ac:dyDescent="0.2">
      <c r="C1360" s="17"/>
    </row>
    <row r="1361" spans="3:3" x14ac:dyDescent="0.2">
      <c r="C1361" s="17"/>
    </row>
    <row r="1362" spans="3:3" x14ac:dyDescent="0.2">
      <c r="C1362" s="17"/>
    </row>
    <row r="1363" spans="3:3" x14ac:dyDescent="0.2">
      <c r="C1363" s="17"/>
    </row>
    <row r="1364" spans="3:3" x14ac:dyDescent="0.2">
      <c r="C1364" s="17"/>
    </row>
    <row r="1365" spans="3:3" x14ac:dyDescent="0.2">
      <c r="C1365" s="17"/>
    </row>
    <row r="1366" spans="3:3" x14ac:dyDescent="0.2">
      <c r="C1366" s="17"/>
    </row>
    <row r="1367" spans="3:3" x14ac:dyDescent="0.2">
      <c r="C1367" s="17"/>
    </row>
    <row r="1368" spans="3:3" x14ac:dyDescent="0.2">
      <c r="C1368" s="17"/>
    </row>
    <row r="1369" spans="3:3" x14ac:dyDescent="0.2">
      <c r="C1369" s="17"/>
    </row>
    <row r="1370" spans="3:3" x14ac:dyDescent="0.2">
      <c r="C1370" s="17"/>
    </row>
    <row r="1371" spans="3:3" x14ac:dyDescent="0.2">
      <c r="C1371" s="17"/>
    </row>
    <row r="1372" spans="3:3" x14ac:dyDescent="0.2">
      <c r="C1372" s="17"/>
    </row>
    <row r="1373" spans="3:3" x14ac:dyDescent="0.2">
      <c r="C1373" s="17"/>
    </row>
    <row r="1374" spans="3:3" x14ac:dyDescent="0.2">
      <c r="C1374" s="17"/>
    </row>
    <row r="1375" spans="3:3" x14ac:dyDescent="0.2">
      <c r="C1375" s="17"/>
    </row>
    <row r="1376" spans="3:3" x14ac:dyDescent="0.2">
      <c r="C1376" s="17"/>
    </row>
    <row r="1377" spans="3:3" x14ac:dyDescent="0.2">
      <c r="C1377" s="17"/>
    </row>
    <row r="1378" spans="3:3" x14ac:dyDescent="0.2">
      <c r="C1378" s="17"/>
    </row>
    <row r="1379" spans="3:3" x14ac:dyDescent="0.2">
      <c r="C1379" s="17"/>
    </row>
    <row r="1380" spans="3:3" x14ac:dyDescent="0.2">
      <c r="C1380" s="17"/>
    </row>
    <row r="1381" spans="3:3" x14ac:dyDescent="0.2">
      <c r="C1381" s="17"/>
    </row>
    <row r="1382" spans="3:3" x14ac:dyDescent="0.2">
      <c r="C1382" s="17"/>
    </row>
    <row r="1383" spans="3:3" x14ac:dyDescent="0.2">
      <c r="C1383" s="17"/>
    </row>
    <row r="1384" spans="3:3" x14ac:dyDescent="0.2">
      <c r="C1384" s="17"/>
    </row>
    <row r="1385" spans="3:3" x14ac:dyDescent="0.2">
      <c r="C1385" s="17"/>
    </row>
    <row r="1386" spans="3:3" x14ac:dyDescent="0.2">
      <c r="C1386" s="17"/>
    </row>
    <row r="1387" spans="3:3" x14ac:dyDescent="0.2">
      <c r="C1387" s="17"/>
    </row>
    <row r="1388" spans="3:3" x14ac:dyDescent="0.2">
      <c r="C1388" s="17"/>
    </row>
    <row r="1389" spans="3:3" x14ac:dyDescent="0.2">
      <c r="C1389" s="17"/>
    </row>
    <row r="1390" spans="3:3" x14ac:dyDescent="0.2">
      <c r="C1390" s="17"/>
    </row>
    <row r="1391" spans="3:3" x14ac:dyDescent="0.2">
      <c r="C1391" s="17"/>
    </row>
    <row r="1392" spans="3:3" x14ac:dyDescent="0.2">
      <c r="C1392" s="17"/>
    </row>
    <row r="1393" spans="3:3" x14ac:dyDescent="0.2">
      <c r="C1393" s="17"/>
    </row>
    <row r="1394" spans="3:3" x14ac:dyDescent="0.2">
      <c r="C1394" s="17"/>
    </row>
    <row r="1395" spans="3:3" x14ac:dyDescent="0.2">
      <c r="C1395" s="17"/>
    </row>
    <row r="1396" spans="3:3" x14ac:dyDescent="0.2">
      <c r="C1396" s="17"/>
    </row>
    <row r="1397" spans="3:3" x14ac:dyDescent="0.2">
      <c r="C1397" s="17"/>
    </row>
    <row r="1398" spans="3:3" x14ac:dyDescent="0.2">
      <c r="C1398" s="17"/>
    </row>
    <row r="1399" spans="3:3" x14ac:dyDescent="0.2">
      <c r="C1399" s="17"/>
    </row>
    <row r="1400" spans="3:3" x14ac:dyDescent="0.2">
      <c r="C1400" s="17"/>
    </row>
    <row r="1401" spans="3:3" x14ac:dyDescent="0.2">
      <c r="C1401" s="17"/>
    </row>
    <row r="1402" spans="3:3" x14ac:dyDescent="0.2">
      <c r="C1402" s="17"/>
    </row>
    <row r="1403" spans="3:3" x14ac:dyDescent="0.2">
      <c r="C1403" s="17"/>
    </row>
    <row r="1404" spans="3:3" x14ac:dyDescent="0.2">
      <c r="C1404" s="17"/>
    </row>
    <row r="1405" spans="3:3" x14ac:dyDescent="0.2">
      <c r="C1405" s="17"/>
    </row>
    <row r="1406" spans="3:3" x14ac:dyDescent="0.2">
      <c r="C1406" s="17"/>
    </row>
    <row r="1407" spans="3:3" x14ac:dyDescent="0.2">
      <c r="C1407" s="17"/>
    </row>
    <row r="1408" spans="3:3" x14ac:dyDescent="0.2">
      <c r="C1408" s="17"/>
    </row>
    <row r="1409" spans="3:3" x14ac:dyDescent="0.2">
      <c r="C1409" s="17"/>
    </row>
    <row r="1410" spans="3:3" x14ac:dyDescent="0.2">
      <c r="C1410" s="17"/>
    </row>
    <row r="1411" spans="3:3" x14ac:dyDescent="0.2">
      <c r="C1411" s="17"/>
    </row>
    <row r="1412" spans="3:3" x14ac:dyDescent="0.2">
      <c r="C1412" s="17"/>
    </row>
    <row r="1413" spans="3:3" x14ac:dyDescent="0.2">
      <c r="C1413" s="17"/>
    </row>
    <row r="1414" spans="3:3" x14ac:dyDescent="0.2">
      <c r="C1414" s="17"/>
    </row>
    <row r="1415" spans="3:3" x14ac:dyDescent="0.2">
      <c r="C1415" s="17"/>
    </row>
    <row r="1416" spans="3:3" x14ac:dyDescent="0.2">
      <c r="C1416" s="17"/>
    </row>
    <row r="1417" spans="3:3" x14ac:dyDescent="0.2">
      <c r="C1417" s="17"/>
    </row>
    <row r="1418" spans="3:3" x14ac:dyDescent="0.2">
      <c r="C1418" s="17"/>
    </row>
    <row r="1419" spans="3:3" x14ac:dyDescent="0.2">
      <c r="C1419" s="17"/>
    </row>
    <row r="1420" spans="3:3" x14ac:dyDescent="0.2">
      <c r="C1420" s="17"/>
    </row>
    <row r="1421" spans="3:3" x14ac:dyDescent="0.2">
      <c r="C1421" s="17"/>
    </row>
    <row r="1422" spans="3:3" x14ac:dyDescent="0.2">
      <c r="C1422" s="17"/>
    </row>
    <row r="1423" spans="3:3" x14ac:dyDescent="0.2">
      <c r="C1423" s="17"/>
    </row>
    <row r="1424" spans="3:3" x14ac:dyDescent="0.2">
      <c r="C1424" s="17"/>
    </row>
    <row r="1425" spans="3:3" x14ac:dyDescent="0.2">
      <c r="C1425" s="17"/>
    </row>
    <row r="1426" spans="3:3" x14ac:dyDescent="0.2">
      <c r="C1426" s="17"/>
    </row>
    <row r="1427" spans="3:3" x14ac:dyDescent="0.2">
      <c r="C1427" s="17"/>
    </row>
    <row r="1428" spans="3:3" x14ac:dyDescent="0.2">
      <c r="C1428" s="17"/>
    </row>
    <row r="1429" spans="3:3" x14ac:dyDescent="0.2">
      <c r="C1429" s="17"/>
    </row>
    <row r="1430" spans="3:3" x14ac:dyDescent="0.2">
      <c r="C1430" s="17"/>
    </row>
    <row r="1431" spans="3:3" x14ac:dyDescent="0.2">
      <c r="C1431" s="17"/>
    </row>
    <row r="1432" spans="3:3" x14ac:dyDescent="0.2">
      <c r="C1432" s="17"/>
    </row>
    <row r="1433" spans="3:3" x14ac:dyDescent="0.2">
      <c r="C1433" s="17"/>
    </row>
    <row r="1434" spans="3:3" x14ac:dyDescent="0.2">
      <c r="C1434" s="17"/>
    </row>
    <row r="1435" spans="3:3" x14ac:dyDescent="0.2">
      <c r="C1435" s="17"/>
    </row>
    <row r="1436" spans="3:3" x14ac:dyDescent="0.2">
      <c r="C1436" s="17"/>
    </row>
    <row r="1437" spans="3:3" x14ac:dyDescent="0.2">
      <c r="C1437" s="17"/>
    </row>
    <row r="1438" spans="3:3" x14ac:dyDescent="0.2">
      <c r="C1438" s="17"/>
    </row>
    <row r="1439" spans="3:3" x14ac:dyDescent="0.2">
      <c r="C1439" s="17"/>
    </row>
    <row r="1440" spans="3:3" x14ac:dyDescent="0.2">
      <c r="C1440" s="17"/>
    </row>
    <row r="1441" spans="3:3" x14ac:dyDescent="0.2">
      <c r="C1441" s="17"/>
    </row>
    <row r="1442" spans="3:3" x14ac:dyDescent="0.2">
      <c r="C1442" s="17"/>
    </row>
    <row r="1443" spans="3:3" x14ac:dyDescent="0.2">
      <c r="C1443" s="17"/>
    </row>
    <row r="1444" spans="3:3" x14ac:dyDescent="0.2">
      <c r="C1444" s="17"/>
    </row>
    <row r="1445" spans="3:3" x14ac:dyDescent="0.2">
      <c r="C1445" s="17"/>
    </row>
    <row r="1446" spans="3:3" x14ac:dyDescent="0.2">
      <c r="C1446" s="17"/>
    </row>
    <row r="1447" spans="3:3" x14ac:dyDescent="0.2">
      <c r="C1447" s="17"/>
    </row>
    <row r="1448" spans="3:3" x14ac:dyDescent="0.2">
      <c r="C1448" s="17"/>
    </row>
    <row r="1449" spans="3:3" x14ac:dyDescent="0.2">
      <c r="C1449" s="17"/>
    </row>
    <row r="1450" spans="3:3" x14ac:dyDescent="0.2">
      <c r="C1450" s="17"/>
    </row>
    <row r="1451" spans="3:3" x14ac:dyDescent="0.2">
      <c r="C1451" s="17"/>
    </row>
    <row r="1452" spans="3:3" x14ac:dyDescent="0.2">
      <c r="C1452" s="17"/>
    </row>
    <row r="1453" spans="3:3" x14ac:dyDescent="0.2">
      <c r="C1453" s="17"/>
    </row>
    <row r="1454" spans="3:3" x14ac:dyDescent="0.2">
      <c r="C1454" s="17"/>
    </row>
    <row r="1455" spans="3:3" x14ac:dyDescent="0.2">
      <c r="C1455" s="17"/>
    </row>
    <row r="1456" spans="3:3" x14ac:dyDescent="0.2">
      <c r="C1456" s="17"/>
    </row>
    <row r="1457" spans="3:3" x14ac:dyDescent="0.2">
      <c r="C1457" s="17"/>
    </row>
    <row r="1458" spans="3:3" x14ac:dyDescent="0.2">
      <c r="C1458" s="17"/>
    </row>
    <row r="1459" spans="3:3" x14ac:dyDescent="0.2">
      <c r="C1459" s="17"/>
    </row>
    <row r="1460" spans="3:3" x14ac:dyDescent="0.2">
      <c r="C1460" s="17"/>
    </row>
    <row r="1461" spans="3:3" x14ac:dyDescent="0.2">
      <c r="C1461" s="17"/>
    </row>
    <row r="1462" spans="3:3" x14ac:dyDescent="0.2">
      <c r="C1462" s="17"/>
    </row>
    <row r="1463" spans="3:3" x14ac:dyDescent="0.2">
      <c r="C1463" s="17"/>
    </row>
    <row r="1464" spans="3:3" x14ac:dyDescent="0.2">
      <c r="C1464" s="17"/>
    </row>
    <row r="1465" spans="3:3" x14ac:dyDescent="0.2">
      <c r="C1465" s="17"/>
    </row>
    <row r="1466" spans="3:3" x14ac:dyDescent="0.2">
      <c r="C1466" s="17"/>
    </row>
    <row r="1467" spans="3:3" x14ac:dyDescent="0.2">
      <c r="C1467" s="17"/>
    </row>
    <row r="1468" spans="3:3" x14ac:dyDescent="0.2">
      <c r="C1468" s="17"/>
    </row>
    <row r="1469" spans="3:3" x14ac:dyDescent="0.2">
      <c r="C1469" s="17"/>
    </row>
    <row r="1470" spans="3:3" x14ac:dyDescent="0.2">
      <c r="C1470" s="17"/>
    </row>
    <row r="1471" spans="3:3" x14ac:dyDescent="0.2">
      <c r="C1471" s="17"/>
    </row>
    <row r="1472" spans="3:3" x14ac:dyDescent="0.2">
      <c r="C1472" s="17"/>
    </row>
    <row r="1473" spans="3:3" x14ac:dyDescent="0.2">
      <c r="C1473" s="17"/>
    </row>
    <row r="1474" spans="3:3" x14ac:dyDescent="0.2">
      <c r="C1474" s="17"/>
    </row>
    <row r="1475" spans="3:3" x14ac:dyDescent="0.2">
      <c r="C1475" s="17"/>
    </row>
    <row r="1476" spans="3:3" x14ac:dyDescent="0.2">
      <c r="C1476" s="17"/>
    </row>
    <row r="1477" spans="3:3" x14ac:dyDescent="0.2">
      <c r="C1477" s="17"/>
    </row>
    <row r="1478" spans="3:3" x14ac:dyDescent="0.2">
      <c r="C1478" s="17"/>
    </row>
    <row r="1479" spans="3:3" x14ac:dyDescent="0.2">
      <c r="C1479" s="17"/>
    </row>
    <row r="1480" spans="3:3" x14ac:dyDescent="0.2">
      <c r="C1480" s="17"/>
    </row>
    <row r="1481" spans="3:3" x14ac:dyDescent="0.2">
      <c r="C1481" s="17"/>
    </row>
    <row r="1482" spans="3:3" x14ac:dyDescent="0.2">
      <c r="C1482" s="17"/>
    </row>
    <row r="1483" spans="3:3" x14ac:dyDescent="0.2">
      <c r="C1483" s="17"/>
    </row>
    <row r="1484" spans="3:3" x14ac:dyDescent="0.2">
      <c r="C1484" s="17"/>
    </row>
    <row r="1485" spans="3:3" x14ac:dyDescent="0.2">
      <c r="C1485" s="17"/>
    </row>
    <row r="1486" spans="3:3" x14ac:dyDescent="0.2">
      <c r="C1486" s="17"/>
    </row>
    <row r="1487" spans="3:3" x14ac:dyDescent="0.2">
      <c r="C1487" s="17"/>
    </row>
    <row r="1488" spans="3:3" x14ac:dyDescent="0.2">
      <c r="C1488" s="17"/>
    </row>
    <row r="1489" spans="3:3" x14ac:dyDescent="0.2">
      <c r="C1489" s="17"/>
    </row>
    <row r="1490" spans="3:3" x14ac:dyDescent="0.2">
      <c r="C1490" s="17"/>
    </row>
    <row r="1491" spans="3:3" x14ac:dyDescent="0.2">
      <c r="C1491" s="17"/>
    </row>
    <row r="1492" spans="3:3" x14ac:dyDescent="0.2">
      <c r="C1492" s="17"/>
    </row>
    <row r="1493" spans="3:3" x14ac:dyDescent="0.2">
      <c r="C1493" s="17"/>
    </row>
    <row r="1494" spans="3:3" x14ac:dyDescent="0.2">
      <c r="C1494" s="17"/>
    </row>
    <row r="1495" spans="3:3" x14ac:dyDescent="0.2">
      <c r="C1495" s="17"/>
    </row>
    <row r="1496" spans="3:3" x14ac:dyDescent="0.2">
      <c r="C1496" s="17"/>
    </row>
    <row r="1497" spans="3:3" x14ac:dyDescent="0.2">
      <c r="C1497" s="17"/>
    </row>
    <row r="1498" spans="3:3" x14ac:dyDescent="0.2">
      <c r="C1498" s="17"/>
    </row>
    <row r="1499" spans="3:3" x14ac:dyDescent="0.2">
      <c r="C1499" s="17"/>
    </row>
    <row r="1500" spans="3:3" x14ac:dyDescent="0.2">
      <c r="C1500" s="17"/>
    </row>
    <row r="1501" spans="3:3" x14ac:dyDescent="0.2">
      <c r="C1501" s="17"/>
    </row>
    <row r="1502" spans="3:3" x14ac:dyDescent="0.2">
      <c r="C1502" s="17"/>
    </row>
    <row r="1503" spans="3:3" x14ac:dyDescent="0.2">
      <c r="C1503" s="17"/>
    </row>
    <row r="1504" spans="3:3" x14ac:dyDescent="0.2">
      <c r="C1504" s="17"/>
    </row>
    <row r="1505" spans="3:3" x14ac:dyDescent="0.2">
      <c r="C1505" s="17"/>
    </row>
    <row r="1506" spans="3:3" x14ac:dyDescent="0.2">
      <c r="C1506" s="17"/>
    </row>
    <row r="1507" spans="3:3" x14ac:dyDescent="0.2">
      <c r="C1507" s="17"/>
    </row>
    <row r="1508" spans="3:3" x14ac:dyDescent="0.2">
      <c r="C1508" s="17"/>
    </row>
    <row r="1509" spans="3:3" x14ac:dyDescent="0.2">
      <c r="C1509" s="17"/>
    </row>
    <row r="1510" spans="3:3" x14ac:dyDescent="0.2">
      <c r="C1510" s="17"/>
    </row>
    <row r="1511" spans="3:3" x14ac:dyDescent="0.2">
      <c r="C1511" s="17"/>
    </row>
    <row r="1512" spans="3:3" x14ac:dyDescent="0.2">
      <c r="C1512" s="17"/>
    </row>
    <row r="1513" spans="3:3" x14ac:dyDescent="0.2">
      <c r="C1513" s="17"/>
    </row>
    <row r="1514" spans="3:3" x14ac:dyDescent="0.2">
      <c r="C1514" s="17"/>
    </row>
    <row r="1515" spans="3:3" x14ac:dyDescent="0.2">
      <c r="C1515" s="17"/>
    </row>
    <row r="1516" spans="3:3" x14ac:dyDescent="0.2">
      <c r="C1516" s="17"/>
    </row>
    <row r="1517" spans="3:3" x14ac:dyDescent="0.2">
      <c r="C1517" s="17"/>
    </row>
    <row r="1518" spans="3:3" x14ac:dyDescent="0.2">
      <c r="C1518" s="17"/>
    </row>
    <row r="1519" spans="3:3" x14ac:dyDescent="0.2">
      <c r="C1519" s="17"/>
    </row>
    <row r="1520" spans="3:3" x14ac:dyDescent="0.2">
      <c r="C1520" s="17"/>
    </row>
    <row r="1521" spans="3:3" x14ac:dyDescent="0.2">
      <c r="C1521" s="17"/>
    </row>
    <row r="1522" spans="3:3" x14ac:dyDescent="0.2">
      <c r="C1522" s="17"/>
    </row>
    <row r="1523" spans="3:3" x14ac:dyDescent="0.2">
      <c r="C1523" s="17"/>
    </row>
    <row r="1524" spans="3:3" x14ac:dyDescent="0.2">
      <c r="C1524" s="17"/>
    </row>
    <row r="1525" spans="3:3" x14ac:dyDescent="0.2">
      <c r="C1525" s="17"/>
    </row>
    <row r="1526" spans="3:3" x14ac:dyDescent="0.2">
      <c r="C1526" s="17"/>
    </row>
    <row r="1527" spans="3:3" x14ac:dyDescent="0.2">
      <c r="C1527" s="17"/>
    </row>
    <row r="1528" spans="3:3" x14ac:dyDescent="0.2">
      <c r="C1528" s="17"/>
    </row>
    <row r="1529" spans="3:3" x14ac:dyDescent="0.2">
      <c r="C1529" s="17"/>
    </row>
    <row r="1530" spans="3:3" x14ac:dyDescent="0.2">
      <c r="C1530" s="17"/>
    </row>
    <row r="1531" spans="3:3" x14ac:dyDescent="0.2">
      <c r="C1531" s="17"/>
    </row>
    <row r="1532" spans="3:3" x14ac:dyDescent="0.2">
      <c r="C1532" s="17"/>
    </row>
    <row r="1533" spans="3:3" x14ac:dyDescent="0.2">
      <c r="C1533" s="17"/>
    </row>
    <row r="1534" spans="3:3" x14ac:dyDescent="0.2">
      <c r="C1534" s="17"/>
    </row>
    <row r="1535" spans="3:3" x14ac:dyDescent="0.2">
      <c r="C1535" s="17"/>
    </row>
    <row r="1536" spans="3:3" x14ac:dyDescent="0.2">
      <c r="C1536" s="17"/>
    </row>
    <row r="1537" spans="3:3" x14ac:dyDescent="0.2">
      <c r="C1537" s="17"/>
    </row>
    <row r="1538" spans="3:3" x14ac:dyDescent="0.2">
      <c r="C1538" s="17"/>
    </row>
    <row r="1539" spans="3:3" x14ac:dyDescent="0.2">
      <c r="C1539" s="17"/>
    </row>
    <row r="1540" spans="3:3" x14ac:dyDescent="0.2">
      <c r="C1540" s="17"/>
    </row>
    <row r="1541" spans="3:3" x14ac:dyDescent="0.2">
      <c r="C1541" s="17"/>
    </row>
    <row r="1542" spans="3:3" x14ac:dyDescent="0.2">
      <c r="C1542" s="17"/>
    </row>
    <row r="1543" spans="3:3" x14ac:dyDescent="0.2">
      <c r="C1543" s="17"/>
    </row>
    <row r="1544" spans="3:3" x14ac:dyDescent="0.2">
      <c r="C1544" s="17"/>
    </row>
    <row r="1545" spans="3:3" x14ac:dyDescent="0.2">
      <c r="C1545" s="17"/>
    </row>
    <row r="1546" spans="3:3" x14ac:dyDescent="0.2">
      <c r="C1546" s="17"/>
    </row>
    <row r="1547" spans="3:3" x14ac:dyDescent="0.2">
      <c r="C1547" s="17"/>
    </row>
    <row r="1548" spans="3:3" x14ac:dyDescent="0.2">
      <c r="C1548" s="17"/>
    </row>
    <row r="1549" spans="3:3" x14ac:dyDescent="0.2">
      <c r="C1549" s="17"/>
    </row>
    <row r="1550" spans="3:3" x14ac:dyDescent="0.2">
      <c r="C1550" s="17"/>
    </row>
    <row r="1551" spans="3:3" x14ac:dyDescent="0.2">
      <c r="C1551" s="17"/>
    </row>
    <row r="1552" spans="3:3" x14ac:dyDescent="0.2">
      <c r="C1552" s="17"/>
    </row>
    <row r="1553" spans="3:3" x14ac:dyDescent="0.2">
      <c r="C1553" s="17"/>
    </row>
    <row r="1554" spans="3:3" x14ac:dyDescent="0.2">
      <c r="C1554" s="17"/>
    </row>
    <row r="1555" spans="3:3" x14ac:dyDescent="0.2">
      <c r="C1555" s="17"/>
    </row>
    <row r="1556" spans="3:3" x14ac:dyDescent="0.2">
      <c r="C1556" s="17"/>
    </row>
    <row r="1557" spans="3:3" x14ac:dyDescent="0.2">
      <c r="C1557" s="17"/>
    </row>
    <row r="1558" spans="3:3" x14ac:dyDescent="0.2">
      <c r="C1558" s="17"/>
    </row>
    <row r="1559" spans="3:3" x14ac:dyDescent="0.2">
      <c r="C1559" s="17"/>
    </row>
    <row r="1560" spans="3:3" x14ac:dyDescent="0.2">
      <c r="C1560" s="17"/>
    </row>
    <row r="1561" spans="3:3" x14ac:dyDescent="0.2">
      <c r="C1561" s="17"/>
    </row>
    <row r="1562" spans="3:3" x14ac:dyDescent="0.2">
      <c r="C1562" s="17"/>
    </row>
    <row r="1563" spans="3:3" x14ac:dyDescent="0.2">
      <c r="C1563" s="17"/>
    </row>
    <row r="1564" spans="3:3" x14ac:dyDescent="0.2">
      <c r="C1564" s="17"/>
    </row>
    <row r="1565" spans="3:3" x14ac:dyDescent="0.2">
      <c r="C1565" s="17"/>
    </row>
    <row r="1566" spans="3:3" x14ac:dyDescent="0.2">
      <c r="C1566" s="17"/>
    </row>
    <row r="1567" spans="3:3" x14ac:dyDescent="0.2">
      <c r="C1567" s="17"/>
    </row>
    <row r="1568" spans="3:3" x14ac:dyDescent="0.2">
      <c r="C1568" s="17"/>
    </row>
    <row r="1569" spans="3:3" x14ac:dyDescent="0.2">
      <c r="C1569" s="17"/>
    </row>
    <row r="1570" spans="3:3" x14ac:dyDescent="0.2">
      <c r="C1570" s="17"/>
    </row>
    <row r="1571" spans="3:3" x14ac:dyDescent="0.2">
      <c r="C1571" s="17"/>
    </row>
    <row r="1572" spans="3:3" x14ac:dyDescent="0.2">
      <c r="C1572" s="17"/>
    </row>
    <row r="1573" spans="3:3" x14ac:dyDescent="0.2">
      <c r="C1573" s="17"/>
    </row>
    <row r="1574" spans="3:3" x14ac:dyDescent="0.2">
      <c r="C1574" s="17"/>
    </row>
    <row r="1575" spans="3:3" x14ac:dyDescent="0.2">
      <c r="C1575" s="17"/>
    </row>
    <row r="1576" spans="3:3" x14ac:dyDescent="0.2">
      <c r="C1576" s="17"/>
    </row>
    <row r="1577" spans="3:3" x14ac:dyDescent="0.2">
      <c r="C1577" s="17"/>
    </row>
    <row r="1578" spans="3:3" x14ac:dyDescent="0.2">
      <c r="C1578" s="17"/>
    </row>
    <row r="1579" spans="3:3" x14ac:dyDescent="0.2">
      <c r="C1579" s="17"/>
    </row>
    <row r="1580" spans="3:3" x14ac:dyDescent="0.2">
      <c r="C1580" s="17"/>
    </row>
    <row r="1581" spans="3:3" x14ac:dyDescent="0.2">
      <c r="C1581" s="17"/>
    </row>
    <row r="1582" spans="3:3" x14ac:dyDescent="0.2">
      <c r="C1582" s="17"/>
    </row>
    <row r="1583" spans="3:3" x14ac:dyDescent="0.2">
      <c r="C1583" s="17"/>
    </row>
    <row r="1584" spans="3:3" x14ac:dyDescent="0.2">
      <c r="C1584" s="17"/>
    </row>
    <row r="1585" spans="3:3" x14ac:dyDescent="0.2">
      <c r="C1585" s="17"/>
    </row>
    <row r="1586" spans="3:3" x14ac:dyDescent="0.2">
      <c r="C1586" s="17"/>
    </row>
    <row r="1587" spans="3:3" x14ac:dyDescent="0.2">
      <c r="C1587" s="17"/>
    </row>
    <row r="1588" spans="3:3" x14ac:dyDescent="0.2">
      <c r="C1588" s="17"/>
    </row>
    <row r="1589" spans="3:3" x14ac:dyDescent="0.2">
      <c r="C1589" s="17"/>
    </row>
    <row r="1590" spans="3:3" x14ac:dyDescent="0.2">
      <c r="C1590" s="17"/>
    </row>
    <row r="1591" spans="3:3" x14ac:dyDescent="0.2">
      <c r="C1591" s="17"/>
    </row>
    <row r="1592" spans="3:3" x14ac:dyDescent="0.2">
      <c r="C1592" s="17"/>
    </row>
    <row r="1593" spans="3:3" x14ac:dyDescent="0.2">
      <c r="C1593" s="17"/>
    </row>
    <row r="1594" spans="3:3" x14ac:dyDescent="0.2">
      <c r="C1594" s="17"/>
    </row>
    <row r="1595" spans="3:3" x14ac:dyDescent="0.2">
      <c r="C1595" s="17"/>
    </row>
    <row r="1596" spans="3:3" x14ac:dyDescent="0.2">
      <c r="C1596" s="17"/>
    </row>
    <row r="1597" spans="3:3" x14ac:dyDescent="0.2">
      <c r="C1597" s="17"/>
    </row>
    <row r="1598" spans="3:3" x14ac:dyDescent="0.2">
      <c r="C1598" s="17"/>
    </row>
    <row r="1599" spans="3:3" x14ac:dyDescent="0.2">
      <c r="C1599" s="17"/>
    </row>
    <row r="1600" spans="3:3" x14ac:dyDescent="0.2">
      <c r="C1600" s="17"/>
    </row>
    <row r="1601" spans="3:3" x14ac:dyDescent="0.2">
      <c r="C1601" s="17"/>
    </row>
    <row r="1602" spans="3:3" x14ac:dyDescent="0.2">
      <c r="C1602" s="17"/>
    </row>
    <row r="1603" spans="3:3" x14ac:dyDescent="0.2">
      <c r="C1603" s="17"/>
    </row>
    <row r="1604" spans="3:3" x14ac:dyDescent="0.2">
      <c r="C1604" s="17"/>
    </row>
    <row r="1605" spans="3:3" x14ac:dyDescent="0.2">
      <c r="C1605" s="17"/>
    </row>
    <row r="1606" spans="3:3" x14ac:dyDescent="0.2">
      <c r="C1606" s="17"/>
    </row>
    <row r="1607" spans="3:3" x14ac:dyDescent="0.2">
      <c r="C1607" s="17"/>
    </row>
    <row r="1608" spans="3:3" x14ac:dyDescent="0.2">
      <c r="C1608" s="17"/>
    </row>
    <row r="1609" spans="3:3" x14ac:dyDescent="0.2">
      <c r="C1609" s="17"/>
    </row>
    <row r="1610" spans="3:3" x14ac:dyDescent="0.2">
      <c r="C1610" s="17"/>
    </row>
    <row r="1611" spans="3:3" x14ac:dyDescent="0.2">
      <c r="C1611" s="17"/>
    </row>
    <row r="1612" spans="3:3" x14ac:dyDescent="0.2">
      <c r="C1612" s="17"/>
    </row>
    <row r="1613" spans="3:3" x14ac:dyDescent="0.2">
      <c r="C1613" s="17"/>
    </row>
    <row r="1614" spans="3:3" x14ac:dyDescent="0.2">
      <c r="C1614" s="17"/>
    </row>
    <row r="1615" spans="3:3" x14ac:dyDescent="0.2">
      <c r="C1615" s="17"/>
    </row>
    <row r="1616" spans="3:3" x14ac:dyDescent="0.2">
      <c r="C1616" s="17"/>
    </row>
    <row r="1617" spans="3:3" x14ac:dyDescent="0.2">
      <c r="C1617" s="17"/>
    </row>
    <row r="1618" spans="3:3" x14ac:dyDescent="0.2">
      <c r="C1618" s="17"/>
    </row>
    <row r="1619" spans="3:3" x14ac:dyDescent="0.2">
      <c r="C1619" s="17"/>
    </row>
    <row r="1620" spans="3:3" x14ac:dyDescent="0.2">
      <c r="C1620" s="17"/>
    </row>
    <row r="1621" spans="3:3" x14ac:dyDescent="0.2">
      <c r="C1621" s="17"/>
    </row>
    <row r="1622" spans="3:3" x14ac:dyDescent="0.2">
      <c r="C1622" s="17"/>
    </row>
    <row r="1623" spans="3:3" x14ac:dyDescent="0.2">
      <c r="C1623" s="17"/>
    </row>
    <row r="1624" spans="3:3" x14ac:dyDescent="0.2">
      <c r="C1624" s="17"/>
    </row>
    <row r="1625" spans="3:3" x14ac:dyDescent="0.2">
      <c r="C1625" s="17"/>
    </row>
    <row r="1626" spans="3:3" x14ac:dyDescent="0.2">
      <c r="C1626" s="17"/>
    </row>
    <row r="1627" spans="3:3" x14ac:dyDescent="0.2">
      <c r="C1627" s="17"/>
    </row>
    <row r="1628" spans="3:3" x14ac:dyDescent="0.2">
      <c r="C1628" s="17"/>
    </row>
    <row r="1629" spans="3:3" x14ac:dyDescent="0.2">
      <c r="C1629" s="17"/>
    </row>
    <row r="1630" spans="3:3" x14ac:dyDescent="0.2">
      <c r="C1630" s="17"/>
    </row>
    <row r="1631" spans="3:3" x14ac:dyDescent="0.2">
      <c r="C1631" s="17"/>
    </row>
    <row r="1632" spans="3:3" x14ac:dyDescent="0.2">
      <c r="C1632" s="17"/>
    </row>
    <row r="1633" spans="3:3" x14ac:dyDescent="0.2">
      <c r="C1633" s="17"/>
    </row>
    <row r="1634" spans="3:3" x14ac:dyDescent="0.2">
      <c r="C1634" s="17"/>
    </row>
    <row r="1635" spans="3:3" x14ac:dyDescent="0.2">
      <c r="C1635" s="17"/>
    </row>
    <row r="1636" spans="3:3" x14ac:dyDescent="0.2">
      <c r="C1636" s="17"/>
    </row>
    <row r="1637" spans="3:3" x14ac:dyDescent="0.2">
      <c r="C1637" s="17"/>
    </row>
    <row r="1638" spans="3:3" x14ac:dyDescent="0.2">
      <c r="C1638" s="17"/>
    </row>
    <row r="1639" spans="3:3" x14ac:dyDescent="0.2">
      <c r="C1639" s="17"/>
    </row>
    <row r="1640" spans="3:3" x14ac:dyDescent="0.2">
      <c r="C1640" s="17"/>
    </row>
    <row r="1641" spans="3:3" x14ac:dyDescent="0.2">
      <c r="C1641" s="17"/>
    </row>
    <row r="1642" spans="3:3" x14ac:dyDescent="0.2">
      <c r="C1642" s="17"/>
    </row>
    <row r="1643" spans="3:3" x14ac:dyDescent="0.2">
      <c r="C1643" s="17"/>
    </row>
    <row r="1644" spans="3:3" x14ac:dyDescent="0.2">
      <c r="C1644" s="17"/>
    </row>
    <row r="1645" spans="3:3" x14ac:dyDescent="0.2">
      <c r="C1645" s="17"/>
    </row>
    <row r="1646" spans="3:3" x14ac:dyDescent="0.2">
      <c r="C1646" s="17"/>
    </row>
    <row r="1647" spans="3:3" x14ac:dyDescent="0.2">
      <c r="C1647" s="17"/>
    </row>
    <row r="1648" spans="3:3" x14ac:dyDescent="0.2">
      <c r="C1648" s="17"/>
    </row>
    <row r="1649" spans="3:3" x14ac:dyDescent="0.2">
      <c r="C1649" s="17"/>
    </row>
    <row r="1650" spans="3:3" x14ac:dyDescent="0.2">
      <c r="C1650" s="17"/>
    </row>
    <row r="1651" spans="3:3" x14ac:dyDescent="0.2">
      <c r="C1651" s="17"/>
    </row>
    <row r="1652" spans="3:3" x14ac:dyDescent="0.2">
      <c r="C1652" s="17"/>
    </row>
    <row r="1653" spans="3:3" x14ac:dyDescent="0.2">
      <c r="C1653" s="17"/>
    </row>
    <row r="1654" spans="3:3" x14ac:dyDescent="0.2">
      <c r="C1654" s="17"/>
    </row>
    <row r="1655" spans="3:3" x14ac:dyDescent="0.2">
      <c r="C1655" s="17"/>
    </row>
    <row r="1656" spans="3:3" x14ac:dyDescent="0.2">
      <c r="C1656" s="17"/>
    </row>
    <row r="1657" spans="3:3" x14ac:dyDescent="0.2">
      <c r="C1657" s="17"/>
    </row>
    <row r="1658" spans="3:3" x14ac:dyDescent="0.2">
      <c r="C1658" s="17"/>
    </row>
    <row r="1659" spans="3:3" x14ac:dyDescent="0.2">
      <c r="C1659" s="17"/>
    </row>
    <row r="1660" spans="3:3" x14ac:dyDescent="0.2">
      <c r="C1660" s="17"/>
    </row>
    <row r="1661" spans="3:3" x14ac:dyDescent="0.2">
      <c r="C1661" s="17"/>
    </row>
    <row r="1662" spans="3:3" x14ac:dyDescent="0.2">
      <c r="C1662" s="17"/>
    </row>
    <row r="1663" spans="3:3" x14ac:dyDescent="0.2">
      <c r="C1663" s="17"/>
    </row>
    <row r="1664" spans="3:3" x14ac:dyDescent="0.2">
      <c r="C1664" s="17"/>
    </row>
    <row r="1665" spans="3:3" x14ac:dyDescent="0.2">
      <c r="C1665" s="17"/>
    </row>
    <row r="1666" spans="3:3" x14ac:dyDescent="0.2">
      <c r="C1666" s="17"/>
    </row>
    <row r="1667" spans="3:3" x14ac:dyDescent="0.2">
      <c r="C1667" s="17"/>
    </row>
    <row r="1668" spans="3:3" x14ac:dyDescent="0.2">
      <c r="C1668" s="17"/>
    </row>
    <row r="1669" spans="3:3" x14ac:dyDescent="0.2">
      <c r="C1669" s="17"/>
    </row>
    <row r="1670" spans="3:3" x14ac:dyDescent="0.2">
      <c r="C1670" s="17"/>
    </row>
    <row r="1671" spans="3:3" x14ac:dyDescent="0.2">
      <c r="C1671" s="17"/>
    </row>
    <row r="1672" spans="3:3" x14ac:dyDescent="0.2">
      <c r="C1672" s="17"/>
    </row>
    <row r="1673" spans="3:3" x14ac:dyDescent="0.2">
      <c r="C1673" s="17"/>
    </row>
    <row r="1674" spans="3:3" x14ac:dyDescent="0.2">
      <c r="C1674" s="17"/>
    </row>
    <row r="1675" spans="3:3" x14ac:dyDescent="0.2">
      <c r="C1675" s="17"/>
    </row>
    <row r="1676" spans="3:3" x14ac:dyDescent="0.2">
      <c r="C1676" s="17"/>
    </row>
    <row r="1677" spans="3:3" x14ac:dyDescent="0.2">
      <c r="C1677" s="17"/>
    </row>
    <row r="1678" spans="3:3" x14ac:dyDescent="0.2">
      <c r="C1678" s="17"/>
    </row>
    <row r="1679" spans="3:3" x14ac:dyDescent="0.2">
      <c r="C1679" s="17"/>
    </row>
    <row r="1680" spans="3:3" x14ac:dyDescent="0.2">
      <c r="C1680" s="17"/>
    </row>
    <row r="1681" spans="3:3" x14ac:dyDescent="0.2">
      <c r="C1681" s="17"/>
    </row>
    <row r="1682" spans="3:3" x14ac:dyDescent="0.2">
      <c r="C1682" s="17"/>
    </row>
    <row r="1683" spans="3:3" x14ac:dyDescent="0.2">
      <c r="C1683" s="17"/>
    </row>
    <row r="1684" spans="3:3" x14ac:dyDescent="0.2">
      <c r="C1684" s="17"/>
    </row>
    <row r="1685" spans="3:3" x14ac:dyDescent="0.2">
      <c r="C1685" s="17"/>
    </row>
    <row r="1686" spans="3:3" x14ac:dyDescent="0.2">
      <c r="C1686" s="17"/>
    </row>
    <row r="1687" spans="3:3" x14ac:dyDescent="0.2">
      <c r="C1687" s="17"/>
    </row>
    <row r="1688" spans="3:3" x14ac:dyDescent="0.2">
      <c r="C1688" s="17"/>
    </row>
    <row r="1689" spans="3:3" x14ac:dyDescent="0.2">
      <c r="C1689" s="17"/>
    </row>
    <row r="1690" spans="3:3" x14ac:dyDescent="0.2">
      <c r="C1690" s="17"/>
    </row>
    <row r="1691" spans="3:3" x14ac:dyDescent="0.2">
      <c r="C1691" s="17"/>
    </row>
    <row r="1692" spans="3:3" x14ac:dyDescent="0.2">
      <c r="C1692" s="17"/>
    </row>
    <row r="1693" spans="3:3" x14ac:dyDescent="0.2">
      <c r="C1693" s="17"/>
    </row>
    <row r="1694" spans="3:3" x14ac:dyDescent="0.2">
      <c r="C1694" s="17"/>
    </row>
    <row r="1695" spans="3:3" x14ac:dyDescent="0.2">
      <c r="C1695" s="17"/>
    </row>
    <row r="1696" spans="3:3" x14ac:dyDescent="0.2">
      <c r="C1696" s="17"/>
    </row>
    <row r="1697" spans="3:3" x14ac:dyDescent="0.2">
      <c r="C1697" s="17"/>
    </row>
    <row r="1698" spans="3:3" x14ac:dyDescent="0.2">
      <c r="C1698" s="17"/>
    </row>
    <row r="1699" spans="3:3" x14ac:dyDescent="0.2">
      <c r="C1699" s="17"/>
    </row>
    <row r="1700" spans="3:3" x14ac:dyDescent="0.2">
      <c r="C1700" s="17"/>
    </row>
    <row r="1701" spans="3:3" x14ac:dyDescent="0.2">
      <c r="C1701" s="17"/>
    </row>
    <row r="1702" spans="3:3" x14ac:dyDescent="0.2">
      <c r="C1702" s="17"/>
    </row>
    <row r="1703" spans="3:3" x14ac:dyDescent="0.2">
      <c r="C1703" s="17"/>
    </row>
    <row r="1704" spans="3:3" x14ac:dyDescent="0.2">
      <c r="C1704" s="17"/>
    </row>
    <row r="1705" spans="3:3" x14ac:dyDescent="0.2">
      <c r="C1705" s="17"/>
    </row>
    <row r="1706" spans="3:3" x14ac:dyDescent="0.2">
      <c r="C1706" s="17"/>
    </row>
    <row r="1707" spans="3:3" x14ac:dyDescent="0.2">
      <c r="C1707" s="17"/>
    </row>
    <row r="1708" spans="3:3" x14ac:dyDescent="0.2">
      <c r="C1708" s="17"/>
    </row>
    <row r="1709" spans="3:3" x14ac:dyDescent="0.2">
      <c r="C1709" s="17"/>
    </row>
    <row r="1710" spans="3:3" x14ac:dyDescent="0.2">
      <c r="C1710" s="17"/>
    </row>
    <row r="1711" spans="3:3" x14ac:dyDescent="0.2">
      <c r="C1711" s="17"/>
    </row>
    <row r="1712" spans="3:3" x14ac:dyDescent="0.2">
      <c r="C1712" s="17"/>
    </row>
    <row r="1713" spans="3:3" x14ac:dyDescent="0.2">
      <c r="C1713" s="17"/>
    </row>
    <row r="1714" spans="3:3" x14ac:dyDescent="0.2">
      <c r="C1714" s="17"/>
    </row>
    <row r="1715" spans="3:3" x14ac:dyDescent="0.2">
      <c r="C1715" s="17"/>
    </row>
    <row r="1716" spans="3:3" x14ac:dyDescent="0.2">
      <c r="C1716" s="17"/>
    </row>
    <row r="1717" spans="3:3" x14ac:dyDescent="0.2">
      <c r="C1717" s="17"/>
    </row>
    <row r="1718" spans="3:3" x14ac:dyDescent="0.2">
      <c r="C1718" s="17"/>
    </row>
    <row r="1719" spans="3:3" x14ac:dyDescent="0.2">
      <c r="C1719" s="17"/>
    </row>
    <row r="1720" spans="3:3" x14ac:dyDescent="0.2">
      <c r="C1720" s="17"/>
    </row>
    <row r="1721" spans="3:3" x14ac:dyDescent="0.2">
      <c r="C1721" s="17"/>
    </row>
    <row r="1722" spans="3:3" x14ac:dyDescent="0.2">
      <c r="C1722" s="17"/>
    </row>
    <row r="1723" spans="3:3" x14ac:dyDescent="0.2">
      <c r="C1723" s="17"/>
    </row>
    <row r="1724" spans="3:3" x14ac:dyDescent="0.2">
      <c r="C1724" s="17"/>
    </row>
    <row r="1725" spans="3:3" x14ac:dyDescent="0.2">
      <c r="C1725" s="17"/>
    </row>
    <row r="1726" spans="3:3" x14ac:dyDescent="0.2">
      <c r="C1726" s="17"/>
    </row>
    <row r="1727" spans="3:3" x14ac:dyDescent="0.2">
      <c r="C1727" s="17"/>
    </row>
    <row r="1728" spans="3:3" x14ac:dyDescent="0.2">
      <c r="C1728" s="17"/>
    </row>
    <row r="1729" spans="3:3" x14ac:dyDescent="0.2">
      <c r="C1729" s="17"/>
    </row>
    <row r="1730" spans="3:3" x14ac:dyDescent="0.2">
      <c r="C1730" s="17"/>
    </row>
    <row r="1731" spans="3:3" x14ac:dyDescent="0.2">
      <c r="C1731" s="17"/>
    </row>
    <row r="1732" spans="3:3" x14ac:dyDescent="0.2">
      <c r="C1732" s="17"/>
    </row>
    <row r="1733" spans="3:3" x14ac:dyDescent="0.2">
      <c r="C1733" s="17"/>
    </row>
    <row r="1734" spans="3:3" x14ac:dyDescent="0.2">
      <c r="C1734" s="17"/>
    </row>
    <row r="1735" spans="3:3" x14ac:dyDescent="0.2">
      <c r="C1735" s="17"/>
    </row>
    <row r="1736" spans="3:3" x14ac:dyDescent="0.2">
      <c r="C1736" s="17"/>
    </row>
    <row r="1737" spans="3:3" x14ac:dyDescent="0.2">
      <c r="C1737" s="17"/>
    </row>
    <row r="1738" spans="3:3" x14ac:dyDescent="0.2">
      <c r="C1738" s="17"/>
    </row>
    <row r="1739" spans="3:3" x14ac:dyDescent="0.2">
      <c r="C1739" s="17"/>
    </row>
    <row r="1740" spans="3:3" x14ac:dyDescent="0.2">
      <c r="C1740" s="17"/>
    </row>
    <row r="1741" spans="3:3" x14ac:dyDescent="0.2">
      <c r="C1741" s="17"/>
    </row>
    <row r="1742" spans="3:3" x14ac:dyDescent="0.2">
      <c r="C1742" s="17"/>
    </row>
    <row r="1743" spans="3:3" x14ac:dyDescent="0.2">
      <c r="C1743" s="17"/>
    </row>
    <row r="1744" spans="3:3" x14ac:dyDescent="0.2">
      <c r="C1744" s="17"/>
    </row>
    <row r="1745" spans="3:3" x14ac:dyDescent="0.2">
      <c r="C1745" s="17"/>
    </row>
    <row r="1746" spans="3:3" x14ac:dyDescent="0.2">
      <c r="C1746" s="17"/>
    </row>
    <row r="1747" spans="3:3" x14ac:dyDescent="0.2">
      <c r="C1747" s="17"/>
    </row>
    <row r="1748" spans="3:3" x14ac:dyDescent="0.2">
      <c r="C1748" s="17"/>
    </row>
    <row r="1749" spans="3:3" x14ac:dyDescent="0.2">
      <c r="C1749" s="17"/>
    </row>
    <row r="1750" spans="3:3" x14ac:dyDescent="0.2">
      <c r="C1750" s="17"/>
    </row>
    <row r="1751" spans="3:3" x14ac:dyDescent="0.2">
      <c r="C1751" s="17"/>
    </row>
    <row r="1752" spans="3:3" x14ac:dyDescent="0.2">
      <c r="C1752" s="17"/>
    </row>
    <row r="1753" spans="3:3" x14ac:dyDescent="0.2">
      <c r="C1753" s="17"/>
    </row>
    <row r="1754" spans="3:3" x14ac:dyDescent="0.2">
      <c r="C1754" s="17"/>
    </row>
    <row r="1755" spans="3:3" x14ac:dyDescent="0.2">
      <c r="C1755" s="17"/>
    </row>
    <row r="1756" spans="3:3" x14ac:dyDescent="0.2">
      <c r="C1756" s="17"/>
    </row>
    <row r="1757" spans="3:3" x14ac:dyDescent="0.2">
      <c r="C1757" s="17"/>
    </row>
    <row r="1758" spans="3:3" x14ac:dyDescent="0.2">
      <c r="C1758" s="17"/>
    </row>
    <row r="1759" spans="3:3" x14ac:dyDescent="0.2">
      <c r="C1759" s="17"/>
    </row>
    <row r="1760" spans="3:3" x14ac:dyDescent="0.2">
      <c r="C1760" s="17"/>
    </row>
    <row r="1761" spans="3:3" x14ac:dyDescent="0.2">
      <c r="C1761" s="17"/>
    </row>
    <row r="1762" spans="3:3" x14ac:dyDescent="0.2">
      <c r="C1762" s="17"/>
    </row>
    <row r="1763" spans="3:3" x14ac:dyDescent="0.2">
      <c r="C1763" s="17"/>
    </row>
    <row r="1764" spans="3:3" x14ac:dyDescent="0.2">
      <c r="C1764" s="17"/>
    </row>
    <row r="1765" spans="3:3" x14ac:dyDescent="0.2">
      <c r="C1765" s="17"/>
    </row>
    <row r="1766" spans="3:3" x14ac:dyDescent="0.2">
      <c r="C1766" s="17"/>
    </row>
    <row r="1767" spans="3:3" x14ac:dyDescent="0.2">
      <c r="C1767" s="17"/>
    </row>
    <row r="1768" spans="3:3" x14ac:dyDescent="0.2">
      <c r="C1768" s="17"/>
    </row>
    <row r="1769" spans="3:3" x14ac:dyDescent="0.2">
      <c r="C1769" s="17"/>
    </row>
    <row r="1770" spans="3:3" x14ac:dyDescent="0.2">
      <c r="C1770" s="17"/>
    </row>
    <row r="1771" spans="3:3" x14ac:dyDescent="0.2">
      <c r="C1771" s="17"/>
    </row>
    <row r="1772" spans="3:3" x14ac:dyDescent="0.2">
      <c r="C1772" s="17"/>
    </row>
    <row r="1773" spans="3:3" x14ac:dyDescent="0.2">
      <c r="C1773" s="17"/>
    </row>
    <row r="1774" spans="3:3" x14ac:dyDescent="0.2">
      <c r="C1774" s="17"/>
    </row>
    <row r="1775" spans="3:3" x14ac:dyDescent="0.2">
      <c r="C1775" s="17"/>
    </row>
    <row r="1776" spans="3:3" x14ac:dyDescent="0.2">
      <c r="C1776" s="17"/>
    </row>
    <row r="1777" spans="3:3" x14ac:dyDescent="0.2">
      <c r="C1777" s="17"/>
    </row>
    <row r="1778" spans="3:3" x14ac:dyDescent="0.2">
      <c r="C1778" s="17"/>
    </row>
    <row r="1779" spans="3:3" x14ac:dyDescent="0.2">
      <c r="C1779" s="17"/>
    </row>
    <row r="1780" spans="3:3" x14ac:dyDescent="0.2">
      <c r="C1780" s="17"/>
    </row>
    <row r="1781" spans="3:3" x14ac:dyDescent="0.2">
      <c r="C1781" s="17"/>
    </row>
    <row r="1782" spans="3:3" x14ac:dyDescent="0.2">
      <c r="C1782" s="17"/>
    </row>
    <row r="1783" spans="3:3" x14ac:dyDescent="0.2">
      <c r="C1783" s="17"/>
    </row>
    <row r="1784" spans="3:3" x14ac:dyDescent="0.2">
      <c r="C1784" s="17"/>
    </row>
    <row r="1785" spans="3:3" x14ac:dyDescent="0.2">
      <c r="C1785" s="17"/>
    </row>
    <row r="1786" spans="3:3" x14ac:dyDescent="0.2">
      <c r="C1786" s="17"/>
    </row>
    <row r="1787" spans="3:3" x14ac:dyDescent="0.2">
      <c r="C1787" s="17"/>
    </row>
    <row r="1788" spans="3:3" x14ac:dyDescent="0.2">
      <c r="C1788" s="17"/>
    </row>
    <row r="1789" spans="3:3" x14ac:dyDescent="0.2">
      <c r="C1789" s="17"/>
    </row>
    <row r="1790" spans="3:3" x14ac:dyDescent="0.2">
      <c r="C1790" s="17"/>
    </row>
    <row r="1791" spans="3:3" x14ac:dyDescent="0.2">
      <c r="C1791" s="17"/>
    </row>
    <row r="1792" spans="3:3" x14ac:dyDescent="0.2">
      <c r="C1792" s="17"/>
    </row>
    <row r="1793" spans="3:3" x14ac:dyDescent="0.2">
      <c r="C1793" s="17"/>
    </row>
    <row r="1794" spans="3:3" x14ac:dyDescent="0.2">
      <c r="C1794" s="17"/>
    </row>
    <row r="1795" spans="3:3" x14ac:dyDescent="0.2">
      <c r="C1795" s="17"/>
    </row>
    <row r="1796" spans="3:3" x14ac:dyDescent="0.2">
      <c r="C1796" s="17"/>
    </row>
    <row r="1797" spans="3:3" x14ac:dyDescent="0.2">
      <c r="C1797" s="17"/>
    </row>
    <row r="1798" spans="3:3" x14ac:dyDescent="0.2">
      <c r="C1798" s="17"/>
    </row>
    <row r="1799" spans="3:3" x14ac:dyDescent="0.2">
      <c r="C1799" s="17"/>
    </row>
    <row r="1800" spans="3:3" x14ac:dyDescent="0.2">
      <c r="C1800" s="17"/>
    </row>
    <row r="1801" spans="3:3" x14ac:dyDescent="0.2">
      <c r="C1801" s="17"/>
    </row>
    <row r="1802" spans="3:3" x14ac:dyDescent="0.2">
      <c r="C1802" s="17"/>
    </row>
    <row r="1803" spans="3:3" x14ac:dyDescent="0.2">
      <c r="C1803" s="17"/>
    </row>
    <row r="1804" spans="3:3" x14ac:dyDescent="0.2">
      <c r="C1804" s="17"/>
    </row>
    <row r="1805" spans="3:3" x14ac:dyDescent="0.2">
      <c r="C1805" s="17"/>
    </row>
    <row r="1806" spans="3:3" x14ac:dyDescent="0.2">
      <c r="C1806" s="17"/>
    </row>
    <row r="1807" spans="3:3" x14ac:dyDescent="0.2">
      <c r="C1807" s="17"/>
    </row>
    <row r="1808" spans="3:3" x14ac:dyDescent="0.2">
      <c r="C1808" s="17"/>
    </row>
    <row r="1809" spans="3:3" x14ac:dyDescent="0.2">
      <c r="C1809" s="17"/>
    </row>
    <row r="1810" spans="3:3" x14ac:dyDescent="0.2">
      <c r="C1810" s="17"/>
    </row>
    <row r="1811" spans="3:3" x14ac:dyDescent="0.2">
      <c r="C1811" s="17"/>
    </row>
    <row r="1812" spans="3:3" x14ac:dyDescent="0.2">
      <c r="C1812" s="17"/>
    </row>
    <row r="1813" spans="3:3" x14ac:dyDescent="0.2">
      <c r="C1813" s="17"/>
    </row>
    <row r="1814" spans="3:3" x14ac:dyDescent="0.2">
      <c r="C1814" s="17"/>
    </row>
    <row r="1815" spans="3:3" x14ac:dyDescent="0.2">
      <c r="C1815" s="17"/>
    </row>
    <row r="1816" spans="3:3" x14ac:dyDescent="0.2">
      <c r="C1816" s="17"/>
    </row>
    <row r="1817" spans="3:3" x14ac:dyDescent="0.2">
      <c r="C1817" s="17"/>
    </row>
    <row r="1818" spans="3:3" x14ac:dyDescent="0.2">
      <c r="C1818" s="17"/>
    </row>
    <row r="1819" spans="3:3" x14ac:dyDescent="0.2">
      <c r="C1819" s="17"/>
    </row>
    <row r="1820" spans="3:3" x14ac:dyDescent="0.2">
      <c r="C1820" s="17"/>
    </row>
    <row r="1821" spans="3:3" x14ac:dyDescent="0.2">
      <c r="C1821" s="17"/>
    </row>
    <row r="1822" spans="3:3" x14ac:dyDescent="0.2">
      <c r="C1822" s="17"/>
    </row>
    <row r="1823" spans="3:3" x14ac:dyDescent="0.2">
      <c r="C1823" s="17"/>
    </row>
    <row r="1824" spans="3:3" x14ac:dyDescent="0.2">
      <c r="C1824" s="17"/>
    </row>
    <row r="1825" spans="3:3" x14ac:dyDescent="0.2">
      <c r="C1825" s="17"/>
    </row>
    <row r="1826" spans="3:3" x14ac:dyDescent="0.2">
      <c r="C1826" s="17"/>
    </row>
    <row r="1827" spans="3:3" x14ac:dyDescent="0.2">
      <c r="C1827" s="17"/>
    </row>
    <row r="1828" spans="3:3" x14ac:dyDescent="0.2">
      <c r="C1828" s="17"/>
    </row>
    <row r="1829" spans="3:3" x14ac:dyDescent="0.2">
      <c r="C1829" s="17"/>
    </row>
    <row r="1830" spans="3:3" x14ac:dyDescent="0.2">
      <c r="C1830" s="17"/>
    </row>
    <row r="1831" spans="3:3" x14ac:dyDescent="0.2">
      <c r="C1831" s="17"/>
    </row>
    <row r="1832" spans="3:3" x14ac:dyDescent="0.2">
      <c r="C1832" s="17"/>
    </row>
    <row r="1833" spans="3:3" x14ac:dyDescent="0.2">
      <c r="C1833" s="17"/>
    </row>
    <row r="1834" spans="3:3" x14ac:dyDescent="0.2">
      <c r="C1834" s="17"/>
    </row>
    <row r="1835" spans="3:3" x14ac:dyDescent="0.2">
      <c r="C1835" s="17"/>
    </row>
    <row r="1836" spans="3:3" x14ac:dyDescent="0.2">
      <c r="C1836" s="17"/>
    </row>
    <row r="1837" spans="3:3" x14ac:dyDescent="0.2">
      <c r="C1837" s="17"/>
    </row>
    <row r="1838" spans="3:3" x14ac:dyDescent="0.2">
      <c r="C1838" s="17"/>
    </row>
    <row r="1839" spans="3:3" x14ac:dyDescent="0.2">
      <c r="C1839" s="17"/>
    </row>
    <row r="1840" spans="3:3" x14ac:dyDescent="0.2">
      <c r="C1840" s="17"/>
    </row>
    <row r="1841" spans="3:3" x14ac:dyDescent="0.2">
      <c r="C1841" s="17"/>
    </row>
    <row r="1842" spans="3:3" x14ac:dyDescent="0.2">
      <c r="C1842" s="17"/>
    </row>
    <row r="1843" spans="3:3" x14ac:dyDescent="0.2">
      <c r="C1843" s="17"/>
    </row>
    <row r="1844" spans="3:3" x14ac:dyDescent="0.2">
      <c r="C1844" s="17"/>
    </row>
    <row r="1845" spans="3:3" x14ac:dyDescent="0.2">
      <c r="C1845" s="17"/>
    </row>
    <row r="1846" spans="3:3" x14ac:dyDescent="0.2">
      <c r="C1846" s="17"/>
    </row>
    <row r="1847" spans="3:3" x14ac:dyDescent="0.2">
      <c r="C1847" s="17"/>
    </row>
    <row r="1848" spans="3:3" x14ac:dyDescent="0.2">
      <c r="C1848" s="17"/>
    </row>
    <row r="1849" spans="3:3" x14ac:dyDescent="0.2">
      <c r="C1849" s="17"/>
    </row>
    <row r="1850" spans="3:3" x14ac:dyDescent="0.2">
      <c r="C1850" s="17"/>
    </row>
    <row r="1851" spans="3:3" x14ac:dyDescent="0.2">
      <c r="C1851" s="17"/>
    </row>
    <row r="1852" spans="3:3" x14ac:dyDescent="0.2">
      <c r="C1852" s="17"/>
    </row>
    <row r="1853" spans="3:3" x14ac:dyDescent="0.2">
      <c r="C1853" s="17"/>
    </row>
    <row r="1854" spans="3:3" x14ac:dyDescent="0.2">
      <c r="C1854" s="17"/>
    </row>
    <row r="1855" spans="3:3" x14ac:dyDescent="0.2">
      <c r="C1855" s="17"/>
    </row>
    <row r="1856" spans="3:3" x14ac:dyDescent="0.2">
      <c r="C1856" s="17"/>
    </row>
    <row r="1857" spans="3:3" x14ac:dyDescent="0.2">
      <c r="C1857" s="17"/>
    </row>
    <row r="1858" spans="3:3" x14ac:dyDescent="0.2">
      <c r="C1858" s="17"/>
    </row>
    <row r="1859" spans="3:3" x14ac:dyDescent="0.2">
      <c r="C1859" s="17"/>
    </row>
    <row r="1860" spans="3:3" x14ac:dyDescent="0.2">
      <c r="C1860" s="17"/>
    </row>
    <row r="1861" spans="3:3" x14ac:dyDescent="0.2">
      <c r="C1861" s="17"/>
    </row>
    <row r="1862" spans="3:3" x14ac:dyDescent="0.2">
      <c r="C1862" s="17"/>
    </row>
    <row r="1863" spans="3:3" x14ac:dyDescent="0.2">
      <c r="C1863" s="17"/>
    </row>
    <row r="1864" spans="3:3" x14ac:dyDescent="0.2">
      <c r="C1864" s="17"/>
    </row>
    <row r="1865" spans="3:3" x14ac:dyDescent="0.2">
      <c r="C1865" s="17"/>
    </row>
    <row r="1866" spans="3:3" x14ac:dyDescent="0.2">
      <c r="C1866" s="17"/>
    </row>
    <row r="1867" spans="3:3" x14ac:dyDescent="0.2">
      <c r="C1867" s="17"/>
    </row>
    <row r="1868" spans="3:3" x14ac:dyDescent="0.2">
      <c r="C1868" s="17"/>
    </row>
    <row r="1869" spans="3:3" x14ac:dyDescent="0.2">
      <c r="C1869" s="17"/>
    </row>
    <row r="1870" spans="3:3" x14ac:dyDescent="0.2">
      <c r="C1870" s="17"/>
    </row>
    <row r="1871" spans="3:3" x14ac:dyDescent="0.2">
      <c r="C1871" s="17"/>
    </row>
    <row r="1872" spans="3:3" x14ac:dyDescent="0.2">
      <c r="C1872" s="17"/>
    </row>
    <row r="1873" spans="3:3" x14ac:dyDescent="0.2">
      <c r="C1873" s="17"/>
    </row>
    <row r="1874" spans="3:3" x14ac:dyDescent="0.2">
      <c r="C1874" s="17"/>
    </row>
    <row r="1875" spans="3:3" x14ac:dyDescent="0.2">
      <c r="C1875" s="17"/>
    </row>
    <row r="1876" spans="3:3" x14ac:dyDescent="0.2">
      <c r="C1876" s="17"/>
    </row>
    <row r="1877" spans="3:3" x14ac:dyDescent="0.2">
      <c r="C1877" s="17"/>
    </row>
    <row r="1878" spans="3:3" x14ac:dyDescent="0.2">
      <c r="C1878" s="17"/>
    </row>
    <row r="1879" spans="3:3" x14ac:dyDescent="0.2">
      <c r="C1879" s="17"/>
    </row>
    <row r="1880" spans="3:3" x14ac:dyDescent="0.2">
      <c r="C1880" s="17"/>
    </row>
    <row r="1881" spans="3:3" x14ac:dyDescent="0.2">
      <c r="C1881" s="17"/>
    </row>
    <row r="1882" spans="3:3" x14ac:dyDescent="0.2">
      <c r="C1882" s="17"/>
    </row>
    <row r="1883" spans="3:3" x14ac:dyDescent="0.2">
      <c r="C1883" s="17"/>
    </row>
    <row r="1884" spans="3:3" x14ac:dyDescent="0.2">
      <c r="C1884" s="17"/>
    </row>
    <row r="1885" spans="3:3" x14ac:dyDescent="0.2">
      <c r="C1885" s="17"/>
    </row>
    <row r="1886" spans="3:3" x14ac:dyDescent="0.2">
      <c r="C1886" s="17"/>
    </row>
    <row r="1887" spans="3:3" x14ac:dyDescent="0.2">
      <c r="C1887" s="17"/>
    </row>
    <row r="1888" spans="3:3" x14ac:dyDescent="0.2">
      <c r="C1888" s="17"/>
    </row>
    <row r="1889" spans="3:3" x14ac:dyDescent="0.2">
      <c r="C1889" s="17"/>
    </row>
    <row r="1890" spans="3:3" x14ac:dyDescent="0.2">
      <c r="C1890" s="17"/>
    </row>
    <row r="1891" spans="3:3" x14ac:dyDescent="0.2">
      <c r="C1891" s="17"/>
    </row>
    <row r="1892" spans="3:3" x14ac:dyDescent="0.2">
      <c r="C1892" s="17"/>
    </row>
    <row r="1893" spans="3:3" x14ac:dyDescent="0.2">
      <c r="C1893" s="17"/>
    </row>
    <row r="1894" spans="3:3" x14ac:dyDescent="0.2">
      <c r="C1894" s="17"/>
    </row>
    <row r="1895" spans="3:3" x14ac:dyDescent="0.2">
      <c r="C1895" s="17"/>
    </row>
    <row r="1896" spans="3:3" x14ac:dyDescent="0.2">
      <c r="C1896" s="17"/>
    </row>
    <row r="1897" spans="3:3" x14ac:dyDescent="0.2">
      <c r="C1897" s="17"/>
    </row>
    <row r="1898" spans="3:3" x14ac:dyDescent="0.2">
      <c r="C1898" s="17"/>
    </row>
    <row r="1899" spans="3:3" x14ac:dyDescent="0.2">
      <c r="C1899" s="17"/>
    </row>
    <row r="1900" spans="3:3" x14ac:dyDescent="0.2">
      <c r="C1900" s="17"/>
    </row>
    <row r="1901" spans="3:3" x14ac:dyDescent="0.2">
      <c r="C1901" s="17"/>
    </row>
    <row r="1902" spans="3:3" x14ac:dyDescent="0.2">
      <c r="C1902" s="17"/>
    </row>
    <row r="1903" spans="3:3" x14ac:dyDescent="0.2">
      <c r="C1903" s="17"/>
    </row>
    <row r="1904" spans="3:3" x14ac:dyDescent="0.2">
      <c r="C1904" s="17"/>
    </row>
    <row r="1905" spans="3:3" x14ac:dyDescent="0.2">
      <c r="C1905" s="17"/>
    </row>
    <row r="1906" spans="3:3" x14ac:dyDescent="0.2">
      <c r="C1906" s="17"/>
    </row>
    <row r="1907" spans="3:3" x14ac:dyDescent="0.2">
      <c r="C1907" s="17"/>
    </row>
    <row r="1908" spans="3:3" x14ac:dyDescent="0.2">
      <c r="C1908" s="17"/>
    </row>
    <row r="1909" spans="3:3" x14ac:dyDescent="0.2">
      <c r="C1909" s="17"/>
    </row>
    <row r="1910" spans="3:3" x14ac:dyDescent="0.2">
      <c r="C1910" s="17"/>
    </row>
    <row r="1911" spans="3:3" x14ac:dyDescent="0.2">
      <c r="C1911" s="17"/>
    </row>
    <row r="1912" spans="3:3" x14ac:dyDescent="0.2">
      <c r="C1912" s="17"/>
    </row>
    <row r="1913" spans="3:3" x14ac:dyDescent="0.2">
      <c r="C1913" s="17"/>
    </row>
    <row r="1914" spans="3:3" x14ac:dyDescent="0.2">
      <c r="C1914" s="17"/>
    </row>
    <row r="1915" spans="3:3" x14ac:dyDescent="0.2">
      <c r="C1915" s="17"/>
    </row>
    <row r="1916" spans="3:3" x14ac:dyDescent="0.2">
      <c r="C1916" s="17"/>
    </row>
    <row r="1917" spans="3:3" x14ac:dyDescent="0.2">
      <c r="C1917" s="17"/>
    </row>
    <row r="1918" spans="3:3" x14ac:dyDescent="0.2">
      <c r="C1918" s="17"/>
    </row>
    <row r="1919" spans="3:3" x14ac:dyDescent="0.2">
      <c r="C1919" s="17"/>
    </row>
    <row r="1920" spans="3:3" x14ac:dyDescent="0.2">
      <c r="C1920" s="17"/>
    </row>
    <row r="1921" spans="3:3" x14ac:dyDescent="0.2">
      <c r="C1921" s="17"/>
    </row>
    <row r="1922" spans="3:3" x14ac:dyDescent="0.2">
      <c r="C1922" s="17"/>
    </row>
    <row r="1923" spans="3:3" x14ac:dyDescent="0.2">
      <c r="C1923" s="17"/>
    </row>
    <row r="1924" spans="3:3" x14ac:dyDescent="0.2">
      <c r="C1924" s="17"/>
    </row>
    <row r="1925" spans="3:3" x14ac:dyDescent="0.2">
      <c r="C1925" s="17"/>
    </row>
    <row r="1926" spans="3:3" x14ac:dyDescent="0.2">
      <c r="C1926" s="17"/>
    </row>
    <row r="1927" spans="3:3" x14ac:dyDescent="0.2">
      <c r="C1927" s="17"/>
    </row>
    <row r="1928" spans="3:3" x14ac:dyDescent="0.2">
      <c r="C1928" s="17"/>
    </row>
    <row r="1929" spans="3:3" x14ac:dyDescent="0.2">
      <c r="C1929" s="17"/>
    </row>
    <row r="1930" spans="3:3" x14ac:dyDescent="0.2">
      <c r="C1930" s="17"/>
    </row>
    <row r="1931" spans="3:3" x14ac:dyDescent="0.2">
      <c r="C1931" s="17"/>
    </row>
    <row r="1932" spans="3:3" x14ac:dyDescent="0.2">
      <c r="C1932" s="17"/>
    </row>
    <row r="1933" spans="3:3" x14ac:dyDescent="0.2">
      <c r="C1933" s="17"/>
    </row>
    <row r="1934" spans="3:3" x14ac:dyDescent="0.2">
      <c r="C1934" s="17"/>
    </row>
    <row r="1935" spans="3:3" x14ac:dyDescent="0.2">
      <c r="C1935" s="17"/>
    </row>
    <row r="1936" spans="3:3" x14ac:dyDescent="0.2">
      <c r="C1936" s="17"/>
    </row>
    <row r="1937" spans="3:3" x14ac:dyDescent="0.2">
      <c r="C1937" s="17"/>
    </row>
    <row r="1938" spans="3:3" x14ac:dyDescent="0.2">
      <c r="C1938" s="17"/>
    </row>
    <row r="1939" spans="3:3" x14ac:dyDescent="0.2">
      <c r="C1939" s="17"/>
    </row>
    <row r="1940" spans="3:3" x14ac:dyDescent="0.2">
      <c r="C1940" s="17"/>
    </row>
    <row r="1941" spans="3:3" x14ac:dyDescent="0.2">
      <c r="C1941" s="17"/>
    </row>
    <row r="1942" spans="3:3" x14ac:dyDescent="0.2">
      <c r="C1942" s="17"/>
    </row>
    <row r="1943" spans="3:3" x14ac:dyDescent="0.2">
      <c r="C1943" s="17"/>
    </row>
    <row r="1944" spans="3:3" x14ac:dyDescent="0.2">
      <c r="C1944" s="17"/>
    </row>
    <row r="1945" spans="3:3" x14ac:dyDescent="0.2">
      <c r="C1945" s="17"/>
    </row>
    <row r="1946" spans="3:3" x14ac:dyDescent="0.2">
      <c r="C1946" s="17"/>
    </row>
    <row r="1947" spans="3:3" x14ac:dyDescent="0.2">
      <c r="C1947" s="17"/>
    </row>
    <row r="1948" spans="3:3" x14ac:dyDescent="0.2">
      <c r="C1948" s="17"/>
    </row>
    <row r="1949" spans="3:3" x14ac:dyDescent="0.2">
      <c r="C1949" s="17"/>
    </row>
    <row r="1950" spans="3:3" x14ac:dyDescent="0.2">
      <c r="C1950" s="17"/>
    </row>
    <row r="1951" spans="3:3" x14ac:dyDescent="0.2">
      <c r="C1951" s="17"/>
    </row>
    <row r="1952" spans="3:3" x14ac:dyDescent="0.2">
      <c r="C1952" s="17"/>
    </row>
    <row r="1953" spans="3:3" x14ac:dyDescent="0.2">
      <c r="C1953" s="17"/>
    </row>
    <row r="1954" spans="3:3" x14ac:dyDescent="0.2">
      <c r="C1954" s="17"/>
    </row>
    <row r="1955" spans="3:3" x14ac:dyDescent="0.2">
      <c r="C1955" s="17"/>
    </row>
    <row r="1956" spans="3:3" x14ac:dyDescent="0.2">
      <c r="C1956" s="17"/>
    </row>
    <row r="1957" spans="3:3" x14ac:dyDescent="0.2">
      <c r="C1957" s="17"/>
    </row>
    <row r="1958" spans="3:3" x14ac:dyDescent="0.2">
      <c r="C1958" s="17"/>
    </row>
    <row r="1959" spans="3:3" x14ac:dyDescent="0.2">
      <c r="C1959" s="17"/>
    </row>
    <row r="1960" spans="3:3" x14ac:dyDescent="0.2">
      <c r="C1960" s="17"/>
    </row>
    <row r="1961" spans="3:3" x14ac:dyDescent="0.2">
      <c r="C1961" s="17"/>
    </row>
    <row r="1962" spans="3:3" x14ac:dyDescent="0.2">
      <c r="C1962" s="17"/>
    </row>
    <row r="1963" spans="3:3" x14ac:dyDescent="0.2">
      <c r="C1963" s="17"/>
    </row>
    <row r="1964" spans="3:3" x14ac:dyDescent="0.2">
      <c r="C1964" s="17"/>
    </row>
    <row r="1965" spans="3:3" x14ac:dyDescent="0.2">
      <c r="C1965" s="17"/>
    </row>
    <row r="1966" spans="3:3" x14ac:dyDescent="0.2">
      <c r="C1966" s="17"/>
    </row>
    <row r="1967" spans="3:3" x14ac:dyDescent="0.2">
      <c r="C1967" s="17"/>
    </row>
    <row r="1968" spans="3:3" x14ac:dyDescent="0.2">
      <c r="C1968" s="17"/>
    </row>
    <row r="1969" spans="3:3" x14ac:dyDescent="0.2">
      <c r="C1969" s="17"/>
    </row>
    <row r="1970" spans="3:3" x14ac:dyDescent="0.2">
      <c r="C1970" s="17"/>
    </row>
    <row r="1971" spans="3:3" x14ac:dyDescent="0.2">
      <c r="C1971" s="17"/>
    </row>
    <row r="1972" spans="3:3" x14ac:dyDescent="0.2">
      <c r="C1972" s="17"/>
    </row>
    <row r="1973" spans="3:3" x14ac:dyDescent="0.2">
      <c r="C1973" s="17"/>
    </row>
    <row r="1974" spans="3:3" x14ac:dyDescent="0.2">
      <c r="C1974" s="17"/>
    </row>
    <row r="1975" spans="3:3" x14ac:dyDescent="0.2">
      <c r="C1975" s="17"/>
    </row>
    <row r="1976" spans="3:3" x14ac:dyDescent="0.2">
      <c r="C1976" s="17"/>
    </row>
    <row r="1977" spans="3:3" x14ac:dyDescent="0.2">
      <c r="C1977" s="17"/>
    </row>
    <row r="1978" spans="3:3" x14ac:dyDescent="0.2">
      <c r="C1978" s="17"/>
    </row>
    <row r="1979" spans="3:3" x14ac:dyDescent="0.2">
      <c r="C1979" s="17"/>
    </row>
    <row r="1980" spans="3:3" x14ac:dyDescent="0.2">
      <c r="C1980" s="17"/>
    </row>
    <row r="1981" spans="3:3" x14ac:dyDescent="0.2">
      <c r="C1981" s="17"/>
    </row>
    <row r="1982" spans="3:3" x14ac:dyDescent="0.2">
      <c r="C1982" s="17"/>
    </row>
    <row r="1983" spans="3:3" x14ac:dyDescent="0.2">
      <c r="C1983" s="17"/>
    </row>
    <row r="1984" spans="3:3" x14ac:dyDescent="0.2">
      <c r="C1984" s="17"/>
    </row>
    <row r="1985" spans="3:3" x14ac:dyDescent="0.2">
      <c r="C1985" s="17"/>
    </row>
    <row r="1986" spans="3:3" x14ac:dyDescent="0.2">
      <c r="C1986" s="17"/>
    </row>
    <row r="1987" spans="3:3" x14ac:dyDescent="0.2">
      <c r="C1987" s="17"/>
    </row>
    <row r="1988" spans="3:3" x14ac:dyDescent="0.2">
      <c r="C1988" s="17"/>
    </row>
    <row r="1989" spans="3:3" x14ac:dyDescent="0.2">
      <c r="C1989" s="17"/>
    </row>
    <row r="1990" spans="3:3" x14ac:dyDescent="0.2">
      <c r="C1990" s="17"/>
    </row>
    <row r="1991" spans="3:3" x14ac:dyDescent="0.2">
      <c r="C1991" s="17"/>
    </row>
    <row r="1992" spans="3:3" x14ac:dyDescent="0.2">
      <c r="C1992" s="17"/>
    </row>
    <row r="1993" spans="3:3" x14ac:dyDescent="0.2">
      <c r="C1993" s="17"/>
    </row>
    <row r="1994" spans="3:3" x14ac:dyDescent="0.2">
      <c r="C1994" s="17"/>
    </row>
    <row r="1995" spans="3:3" x14ac:dyDescent="0.2">
      <c r="C1995" s="17"/>
    </row>
    <row r="1996" spans="3:3" x14ac:dyDescent="0.2">
      <c r="C1996" s="17"/>
    </row>
    <row r="1997" spans="3:3" x14ac:dyDescent="0.2">
      <c r="C1997" s="17"/>
    </row>
    <row r="1998" spans="3:3" x14ac:dyDescent="0.2">
      <c r="C1998" s="17"/>
    </row>
    <row r="1999" spans="3:3" x14ac:dyDescent="0.2">
      <c r="C1999" s="17"/>
    </row>
    <row r="2000" spans="3:3" x14ac:dyDescent="0.2">
      <c r="C2000" s="17"/>
    </row>
    <row r="2001" spans="3:3" x14ac:dyDescent="0.2">
      <c r="C2001" s="17"/>
    </row>
    <row r="2002" spans="3:3" x14ac:dyDescent="0.2">
      <c r="C2002" s="17"/>
    </row>
    <row r="2003" spans="3:3" x14ac:dyDescent="0.2">
      <c r="C2003" s="17"/>
    </row>
    <row r="2004" spans="3:3" x14ac:dyDescent="0.2">
      <c r="C2004" s="17"/>
    </row>
    <row r="2005" spans="3:3" x14ac:dyDescent="0.2">
      <c r="C2005" s="17"/>
    </row>
    <row r="2006" spans="3:3" x14ac:dyDescent="0.2">
      <c r="C2006" s="17"/>
    </row>
    <row r="2007" spans="3:3" x14ac:dyDescent="0.2">
      <c r="C2007" s="17"/>
    </row>
    <row r="2008" spans="3:3" x14ac:dyDescent="0.2">
      <c r="C2008" s="17"/>
    </row>
    <row r="2009" spans="3:3" x14ac:dyDescent="0.2">
      <c r="C2009" s="17"/>
    </row>
    <row r="2010" spans="3:3" x14ac:dyDescent="0.2">
      <c r="C2010" s="17"/>
    </row>
    <row r="2011" spans="3:3" x14ac:dyDescent="0.2">
      <c r="C2011" s="17"/>
    </row>
    <row r="2012" spans="3:3" x14ac:dyDescent="0.2">
      <c r="C2012" s="17"/>
    </row>
    <row r="2013" spans="3:3" x14ac:dyDescent="0.2">
      <c r="C2013" s="17"/>
    </row>
    <row r="2014" spans="3:3" x14ac:dyDescent="0.2">
      <c r="C2014" s="17"/>
    </row>
    <row r="2015" spans="3:3" x14ac:dyDescent="0.2">
      <c r="C2015" s="17"/>
    </row>
    <row r="2016" spans="3:3" x14ac:dyDescent="0.2">
      <c r="C2016" s="17"/>
    </row>
    <row r="2017" spans="3:3" x14ac:dyDescent="0.2">
      <c r="C2017" s="17"/>
    </row>
    <row r="2018" spans="3:3" x14ac:dyDescent="0.2">
      <c r="C2018" s="17"/>
    </row>
    <row r="2019" spans="3:3" x14ac:dyDescent="0.2">
      <c r="C2019" s="17"/>
    </row>
    <row r="2020" spans="3:3" x14ac:dyDescent="0.2">
      <c r="C2020" s="17"/>
    </row>
    <row r="2021" spans="3:3" x14ac:dyDescent="0.2">
      <c r="C2021" s="17"/>
    </row>
    <row r="2022" spans="3:3" x14ac:dyDescent="0.2">
      <c r="C2022" s="17"/>
    </row>
    <row r="2023" spans="3:3" x14ac:dyDescent="0.2">
      <c r="C2023" s="17"/>
    </row>
    <row r="2024" spans="3:3" x14ac:dyDescent="0.2">
      <c r="C2024" s="17"/>
    </row>
    <row r="2025" spans="3:3" x14ac:dyDescent="0.2">
      <c r="C2025" s="17"/>
    </row>
    <row r="2026" spans="3:3" x14ac:dyDescent="0.2">
      <c r="C2026" s="17"/>
    </row>
    <row r="2027" spans="3:3" x14ac:dyDescent="0.2">
      <c r="C2027" s="17"/>
    </row>
    <row r="2028" spans="3:3" x14ac:dyDescent="0.2">
      <c r="C2028" s="17"/>
    </row>
    <row r="2029" spans="3:3" x14ac:dyDescent="0.2">
      <c r="C2029" s="17"/>
    </row>
    <row r="2030" spans="3:3" x14ac:dyDescent="0.2">
      <c r="C2030" s="17"/>
    </row>
    <row r="2031" spans="3:3" x14ac:dyDescent="0.2">
      <c r="C2031" s="17"/>
    </row>
    <row r="2032" spans="3:3" x14ac:dyDescent="0.2">
      <c r="C2032" s="17"/>
    </row>
    <row r="2033" spans="3:3" x14ac:dyDescent="0.2">
      <c r="C2033" s="17"/>
    </row>
    <row r="2034" spans="3:3" x14ac:dyDescent="0.2">
      <c r="C2034" s="17"/>
    </row>
    <row r="2035" spans="3:3" x14ac:dyDescent="0.2">
      <c r="C2035" s="17"/>
    </row>
    <row r="2036" spans="3:3" x14ac:dyDescent="0.2">
      <c r="C2036" s="17"/>
    </row>
    <row r="2037" spans="3:3" x14ac:dyDescent="0.2">
      <c r="C2037" s="17"/>
    </row>
    <row r="2038" spans="3:3" x14ac:dyDescent="0.2">
      <c r="C2038" s="17"/>
    </row>
    <row r="2039" spans="3:3" x14ac:dyDescent="0.2">
      <c r="C2039" s="17"/>
    </row>
    <row r="2040" spans="3:3" x14ac:dyDescent="0.2">
      <c r="C2040" s="17"/>
    </row>
    <row r="2041" spans="3:3" x14ac:dyDescent="0.2">
      <c r="C2041" s="17"/>
    </row>
    <row r="2042" spans="3:3" x14ac:dyDescent="0.2">
      <c r="C2042" s="17"/>
    </row>
    <row r="2043" spans="3:3" x14ac:dyDescent="0.2">
      <c r="C2043" s="17"/>
    </row>
    <row r="2044" spans="3:3" x14ac:dyDescent="0.2">
      <c r="C2044" s="17"/>
    </row>
    <row r="2045" spans="3:3" x14ac:dyDescent="0.2">
      <c r="C2045" s="17"/>
    </row>
    <row r="2046" spans="3:3" x14ac:dyDescent="0.2">
      <c r="C2046" s="17"/>
    </row>
    <row r="2047" spans="3:3" x14ac:dyDescent="0.2">
      <c r="C2047" s="17"/>
    </row>
    <row r="2048" spans="3:3" x14ac:dyDescent="0.2">
      <c r="C2048" s="17"/>
    </row>
    <row r="2049" spans="3:3" x14ac:dyDescent="0.2">
      <c r="C2049" s="17"/>
    </row>
    <row r="2050" spans="3:3" x14ac:dyDescent="0.2">
      <c r="C2050" s="17"/>
    </row>
    <row r="2051" spans="3:3" x14ac:dyDescent="0.2">
      <c r="C2051" s="17"/>
    </row>
    <row r="2052" spans="3:3" x14ac:dyDescent="0.2">
      <c r="C2052" s="17"/>
    </row>
    <row r="2053" spans="3:3" x14ac:dyDescent="0.2">
      <c r="C2053" s="17"/>
    </row>
    <row r="2054" spans="3:3" x14ac:dyDescent="0.2">
      <c r="C2054" s="17"/>
    </row>
    <row r="2055" spans="3:3" x14ac:dyDescent="0.2">
      <c r="C2055" s="17"/>
    </row>
    <row r="2056" spans="3:3" x14ac:dyDescent="0.2">
      <c r="C2056" s="17"/>
    </row>
    <row r="2057" spans="3:3" x14ac:dyDescent="0.2">
      <c r="C2057" s="17"/>
    </row>
    <row r="2058" spans="3:3" x14ac:dyDescent="0.2">
      <c r="C2058" s="17"/>
    </row>
    <row r="2059" spans="3:3" x14ac:dyDescent="0.2">
      <c r="C2059" s="17"/>
    </row>
    <row r="2060" spans="3:3" x14ac:dyDescent="0.2">
      <c r="C2060" s="17"/>
    </row>
    <row r="2061" spans="3:3" x14ac:dyDescent="0.2">
      <c r="C2061" s="17"/>
    </row>
    <row r="2062" spans="3:3" x14ac:dyDescent="0.2">
      <c r="C2062" s="17"/>
    </row>
    <row r="2063" spans="3:3" x14ac:dyDescent="0.2">
      <c r="C2063" s="17"/>
    </row>
    <row r="2064" spans="3:3" x14ac:dyDescent="0.2">
      <c r="C2064" s="17"/>
    </row>
    <row r="2065" spans="3:3" x14ac:dyDescent="0.2">
      <c r="C2065" s="17"/>
    </row>
    <row r="2066" spans="3:3" x14ac:dyDescent="0.2">
      <c r="C2066" s="17"/>
    </row>
    <row r="2067" spans="3:3" x14ac:dyDescent="0.2">
      <c r="C2067" s="17"/>
    </row>
    <row r="2068" spans="3:3" x14ac:dyDescent="0.2">
      <c r="C2068" s="17"/>
    </row>
    <row r="2069" spans="3:3" x14ac:dyDescent="0.2">
      <c r="C2069" s="17"/>
    </row>
    <row r="2070" spans="3:3" x14ac:dyDescent="0.2">
      <c r="C2070" s="17"/>
    </row>
    <row r="2071" spans="3:3" x14ac:dyDescent="0.2">
      <c r="C2071" s="17"/>
    </row>
    <row r="2072" spans="3:3" x14ac:dyDescent="0.2">
      <c r="C2072" s="17"/>
    </row>
    <row r="2073" spans="3:3" x14ac:dyDescent="0.2">
      <c r="C2073" s="17"/>
    </row>
    <row r="2074" spans="3:3" x14ac:dyDescent="0.2">
      <c r="C2074" s="17"/>
    </row>
    <row r="2075" spans="3:3" x14ac:dyDescent="0.2">
      <c r="C2075" s="17"/>
    </row>
    <row r="2076" spans="3:3" x14ac:dyDescent="0.2">
      <c r="C2076" s="17"/>
    </row>
    <row r="2077" spans="3:3" x14ac:dyDescent="0.2">
      <c r="C2077" s="17"/>
    </row>
    <row r="2078" spans="3:3" x14ac:dyDescent="0.2">
      <c r="C2078" s="17"/>
    </row>
    <row r="2079" spans="3:3" x14ac:dyDescent="0.2">
      <c r="C2079" s="17"/>
    </row>
    <row r="2080" spans="3:3" x14ac:dyDescent="0.2">
      <c r="C2080" s="17"/>
    </row>
    <row r="2081" spans="3:3" x14ac:dyDescent="0.2">
      <c r="C2081" s="17"/>
    </row>
    <row r="2082" spans="3:3" x14ac:dyDescent="0.2">
      <c r="C2082" s="17"/>
    </row>
    <row r="2083" spans="3:3" x14ac:dyDescent="0.2">
      <c r="C2083" s="17"/>
    </row>
    <row r="2084" spans="3:3" x14ac:dyDescent="0.2">
      <c r="C2084" s="17"/>
    </row>
    <row r="2085" spans="3:3" x14ac:dyDescent="0.2">
      <c r="C2085" s="17"/>
    </row>
    <row r="2086" spans="3:3" x14ac:dyDescent="0.2">
      <c r="C2086" s="17"/>
    </row>
    <row r="2087" spans="3:3" x14ac:dyDescent="0.2">
      <c r="C2087" s="17"/>
    </row>
    <row r="2088" spans="3:3" x14ac:dyDescent="0.2">
      <c r="C2088" s="17"/>
    </row>
    <row r="2089" spans="3:3" x14ac:dyDescent="0.2">
      <c r="C2089" s="17"/>
    </row>
    <row r="2090" spans="3:3" x14ac:dyDescent="0.2">
      <c r="C2090" s="17"/>
    </row>
    <row r="2091" spans="3:3" x14ac:dyDescent="0.2">
      <c r="C2091" s="17"/>
    </row>
    <row r="2092" spans="3:3" x14ac:dyDescent="0.2">
      <c r="C2092" s="17"/>
    </row>
    <row r="2093" spans="3:3" x14ac:dyDescent="0.2">
      <c r="C2093" s="17"/>
    </row>
    <row r="2094" spans="3:3" x14ac:dyDescent="0.2">
      <c r="C2094" s="17"/>
    </row>
    <row r="2095" spans="3:3" x14ac:dyDescent="0.2">
      <c r="C2095" s="17"/>
    </row>
    <row r="2096" spans="3:3" x14ac:dyDescent="0.2">
      <c r="C2096" s="17"/>
    </row>
    <row r="2097" spans="3:3" x14ac:dyDescent="0.2">
      <c r="C2097" s="17"/>
    </row>
    <row r="2098" spans="3:3" x14ac:dyDescent="0.2">
      <c r="C2098" s="17"/>
    </row>
    <row r="2099" spans="3:3" x14ac:dyDescent="0.2">
      <c r="C2099" s="17"/>
    </row>
    <row r="2100" spans="3:3" x14ac:dyDescent="0.2">
      <c r="C2100" s="17"/>
    </row>
    <row r="2101" spans="3:3" x14ac:dyDescent="0.2">
      <c r="C2101" s="17"/>
    </row>
    <row r="2102" spans="3:3" x14ac:dyDescent="0.2">
      <c r="C2102" s="17"/>
    </row>
    <row r="2103" spans="3:3" x14ac:dyDescent="0.2">
      <c r="C2103" s="17"/>
    </row>
    <row r="2104" spans="3:3" x14ac:dyDescent="0.2">
      <c r="C2104" s="17"/>
    </row>
    <row r="2105" spans="3:3" x14ac:dyDescent="0.2">
      <c r="C2105" s="17"/>
    </row>
    <row r="2106" spans="3:3" x14ac:dyDescent="0.2">
      <c r="C2106" s="17"/>
    </row>
    <row r="2107" spans="3:3" x14ac:dyDescent="0.2">
      <c r="C2107" s="17"/>
    </row>
    <row r="2108" spans="3:3" x14ac:dyDescent="0.2">
      <c r="C2108" s="17"/>
    </row>
    <row r="2109" spans="3:3" x14ac:dyDescent="0.2">
      <c r="C2109" s="17"/>
    </row>
    <row r="2110" spans="3:3" x14ac:dyDescent="0.2">
      <c r="C2110" s="17"/>
    </row>
    <row r="2111" spans="3:3" x14ac:dyDescent="0.2">
      <c r="C2111" s="17"/>
    </row>
    <row r="2112" spans="3:3" x14ac:dyDescent="0.2">
      <c r="C2112" s="17"/>
    </row>
    <row r="2113" spans="3:3" x14ac:dyDescent="0.2">
      <c r="C2113" s="17"/>
    </row>
    <row r="2114" spans="3:3" x14ac:dyDescent="0.2">
      <c r="C2114" s="17"/>
    </row>
    <row r="2115" spans="3:3" x14ac:dyDescent="0.2">
      <c r="C2115" s="17"/>
    </row>
    <row r="2116" spans="3:3" x14ac:dyDescent="0.2">
      <c r="C2116" s="17"/>
    </row>
    <row r="2117" spans="3:3" x14ac:dyDescent="0.2">
      <c r="C2117" s="17"/>
    </row>
    <row r="2118" spans="3:3" x14ac:dyDescent="0.2">
      <c r="C2118" s="17"/>
    </row>
    <row r="2119" spans="3:3" x14ac:dyDescent="0.2">
      <c r="C2119" s="17"/>
    </row>
    <row r="2120" spans="3:3" x14ac:dyDescent="0.2">
      <c r="C2120" s="17"/>
    </row>
    <row r="2121" spans="3:3" x14ac:dyDescent="0.2">
      <c r="C2121" s="17"/>
    </row>
    <row r="2122" spans="3:3" x14ac:dyDescent="0.2">
      <c r="C2122" s="17"/>
    </row>
    <row r="2123" spans="3:3" x14ac:dyDescent="0.2">
      <c r="C2123" s="17"/>
    </row>
    <row r="2124" spans="3:3" x14ac:dyDescent="0.2">
      <c r="C2124" s="17"/>
    </row>
    <row r="2125" spans="3:3" x14ac:dyDescent="0.2">
      <c r="C2125" s="17"/>
    </row>
    <row r="2126" spans="3:3" x14ac:dyDescent="0.2">
      <c r="C2126" s="17"/>
    </row>
    <row r="2127" spans="3:3" x14ac:dyDescent="0.2">
      <c r="C2127" s="17"/>
    </row>
    <row r="2128" spans="3:3" x14ac:dyDescent="0.2">
      <c r="C2128" s="17"/>
    </row>
    <row r="2129" spans="3:3" x14ac:dyDescent="0.2">
      <c r="C2129" s="17"/>
    </row>
    <row r="2130" spans="3:3" x14ac:dyDescent="0.2">
      <c r="C2130" s="17"/>
    </row>
    <row r="2131" spans="3:3" x14ac:dyDescent="0.2">
      <c r="C2131" s="17"/>
    </row>
    <row r="2132" spans="3:3" x14ac:dyDescent="0.2">
      <c r="C2132" s="17"/>
    </row>
    <row r="2133" spans="3:3" x14ac:dyDescent="0.2">
      <c r="C2133" s="17"/>
    </row>
    <row r="2134" spans="3:3" x14ac:dyDescent="0.2">
      <c r="C2134" s="17"/>
    </row>
    <row r="2135" spans="3:3" x14ac:dyDescent="0.2">
      <c r="C2135" s="17"/>
    </row>
    <row r="2136" spans="3:3" x14ac:dyDescent="0.2">
      <c r="C2136" s="17"/>
    </row>
    <row r="2137" spans="3:3" x14ac:dyDescent="0.2">
      <c r="C2137" s="17"/>
    </row>
    <row r="2138" spans="3:3" x14ac:dyDescent="0.2">
      <c r="C2138" s="17"/>
    </row>
    <row r="2139" spans="3:3" x14ac:dyDescent="0.2">
      <c r="C2139" s="17"/>
    </row>
    <row r="2140" spans="3:3" x14ac:dyDescent="0.2">
      <c r="C2140" s="17"/>
    </row>
    <row r="2141" spans="3:3" x14ac:dyDescent="0.2">
      <c r="C2141" s="17"/>
    </row>
    <row r="2142" spans="3:3" x14ac:dyDescent="0.2">
      <c r="C2142" s="17"/>
    </row>
    <row r="2143" spans="3:3" x14ac:dyDescent="0.2">
      <c r="C2143" s="17"/>
    </row>
    <row r="2144" spans="3:3" x14ac:dyDescent="0.2">
      <c r="C2144" s="17"/>
    </row>
    <row r="2145" spans="3:3" x14ac:dyDescent="0.2">
      <c r="C2145" s="17"/>
    </row>
    <row r="2146" spans="3:3" x14ac:dyDescent="0.2">
      <c r="C2146" s="17"/>
    </row>
    <row r="2147" spans="3:3" x14ac:dyDescent="0.2">
      <c r="C2147" s="17"/>
    </row>
    <row r="2148" spans="3:3" x14ac:dyDescent="0.2">
      <c r="C2148" s="17"/>
    </row>
    <row r="2149" spans="3:3" x14ac:dyDescent="0.2">
      <c r="C2149" s="17"/>
    </row>
    <row r="2150" spans="3:3" x14ac:dyDescent="0.2">
      <c r="C2150" s="17"/>
    </row>
    <row r="2151" spans="3:3" x14ac:dyDescent="0.2">
      <c r="C2151" s="17"/>
    </row>
    <row r="2152" spans="3:3" x14ac:dyDescent="0.2">
      <c r="C2152" s="17"/>
    </row>
    <row r="2153" spans="3:3" x14ac:dyDescent="0.2">
      <c r="C2153" s="17"/>
    </row>
    <row r="2154" spans="3:3" x14ac:dyDescent="0.2">
      <c r="C2154" s="17"/>
    </row>
    <row r="2155" spans="3:3" x14ac:dyDescent="0.2">
      <c r="C2155" s="17"/>
    </row>
    <row r="2156" spans="3:3" x14ac:dyDescent="0.2">
      <c r="C2156" s="17"/>
    </row>
    <row r="2157" spans="3:3" x14ac:dyDescent="0.2">
      <c r="C2157" s="17"/>
    </row>
    <row r="2158" spans="3:3" x14ac:dyDescent="0.2">
      <c r="C2158" s="17"/>
    </row>
    <row r="2159" spans="3:3" x14ac:dyDescent="0.2">
      <c r="C2159" s="17"/>
    </row>
    <row r="2160" spans="3:3" x14ac:dyDescent="0.2">
      <c r="C2160" s="17"/>
    </row>
    <row r="2161" spans="3:3" x14ac:dyDescent="0.2">
      <c r="C2161" s="17"/>
    </row>
    <row r="2162" spans="3:3" x14ac:dyDescent="0.2">
      <c r="C2162" s="17"/>
    </row>
    <row r="2163" spans="3:3" x14ac:dyDescent="0.2">
      <c r="C2163" s="17"/>
    </row>
    <row r="2164" spans="3:3" x14ac:dyDescent="0.2">
      <c r="C2164" s="17"/>
    </row>
    <row r="2165" spans="3:3" x14ac:dyDescent="0.2">
      <c r="C2165" s="17"/>
    </row>
    <row r="2166" spans="3:3" x14ac:dyDescent="0.2">
      <c r="C2166" s="17"/>
    </row>
    <row r="2167" spans="3:3" x14ac:dyDescent="0.2">
      <c r="C2167" s="17"/>
    </row>
    <row r="2168" spans="3:3" x14ac:dyDescent="0.2">
      <c r="C2168" s="17"/>
    </row>
    <row r="2169" spans="3:3" x14ac:dyDescent="0.2">
      <c r="C2169" s="17"/>
    </row>
    <row r="2170" spans="3:3" x14ac:dyDescent="0.2">
      <c r="C2170" s="17"/>
    </row>
    <row r="2171" spans="3:3" x14ac:dyDescent="0.2">
      <c r="C2171" s="17"/>
    </row>
    <row r="2172" spans="3:3" x14ac:dyDescent="0.2">
      <c r="C2172" s="17"/>
    </row>
    <row r="2173" spans="3:3" x14ac:dyDescent="0.2">
      <c r="C2173" s="17"/>
    </row>
    <row r="2174" spans="3:3" x14ac:dyDescent="0.2">
      <c r="C2174" s="17"/>
    </row>
    <row r="2175" spans="3:3" x14ac:dyDescent="0.2">
      <c r="C2175" s="17"/>
    </row>
    <row r="2176" spans="3:3" x14ac:dyDescent="0.2">
      <c r="C2176" s="17"/>
    </row>
    <row r="2177" spans="3:3" x14ac:dyDescent="0.2">
      <c r="C2177" s="17"/>
    </row>
    <row r="2178" spans="3:3" x14ac:dyDescent="0.2">
      <c r="C2178" s="17"/>
    </row>
    <row r="2179" spans="3:3" x14ac:dyDescent="0.2">
      <c r="C2179" s="17"/>
    </row>
    <row r="2180" spans="3:3" x14ac:dyDescent="0.2">
      <c r="C2180" s="17"/>
    </row>
    <row r="2181" spans="3:3" x14ac:dyDescent="0.2">
      <c r="C2181" s="17"/>
    </row>
    <row r="2182" spans="3:3" x14ac:dyDescent="0.2">
      <c r="C2182" s="17"/>
    </row>
    <row r="2183" spans="3:3" x14ac:dyDescent="0.2">
      <c r="C2183" s="17"/>
    </row>
    <row r="2184" spans="3:3" x14ac:dyDescent="0.2">
      <c r="C2184" s="17"/>
    </row>
    <row r="2185" spans="3:3" x14ac:dyDescent="0.2">
      <c r="C2185" s="17"/>
    </row>
    <row r="2186" spans="3:3" x14ac:dyDescent="0.2">
      <c r="C2186" s="17"/>
    </row>
    <row r="2187" spans="3:3" x14ac:dyDescent="0.2">
      <c r="C2187" s="17"/>
    </row>
    <row r="2188" spans="3:3" x14ac:dyDescent="0.2">
      <c r="C2188" s="17"/>
    </row>
    <row r="2189" spans="3:3" x14ac:dyDescent="0.2">
      <c r="C2189" s="17"/>
    </row>
    <row r="2190" spans="3:3" x14ac:dyDescent="0.2">
      <c r="C2190" s="17"/>
    </row>
    <row r="2191" spans="3:3" x14ac:dyDescent="0.2">
      <c r="C2191" s="17"/>
    </row>
    <row r="2192" spans="3:3" x14ac:dyDescent="0.2">
      <c r="C2192" s="17"/>
    </row>
    <row r="2193" spans="3:3" x14ac:dyDescent="0.2">
      <c r="C2193" s="17"/>
    </row>
    <row r="2194" spans="3:3" x14ac:dyDescent="0.2">
      <c r="C2194" s="17"/>
    </row>
    <row r="2195" spans="3:3" x14ac:dyDescent="0.2">
      <c r="C2195" s="17"/>
    </row>
    <row r="2196" spans="3:3" x14ac:dyDescent="0.2">
      <c r="C2196" s="17"/>
    </row>
    <row r="2197" spans="3:3" x14ac:dyDescent="0.2">
      <c r="C2197" s="17"/>
    </row>
    <row r="2198" spans="3:3" x14ac:dyDescent="0.2">
      <c r="C2198" s="17"/>
    </row>
    <row r="2199" spans="3:3" x14ac:dyDescent="0.2">
      <c r="C2199" s="17"/>
    </row>
    <row r="2200" spans="3:3" x14ac:dyDescent="0.2">
      <c r="C2200" s="17"/>
    </row>
    <row r="2201" spans="3:3" x14ac:dyDescent="0.2">
      <c r="C2201" s="17"/>
    </row>
    <row r="2202" spans="3:3" x14ac:dyDescent="0.2">
      <c r="C2202" s="17"/>
    </row>
    <row r="2203" spans="3:3" x14ac:dyDescent="0.2">
      <c r="C2203" s="17"/>
    </row>
    <row r="2204" spans="3:3" x14ac:dyDescent="0.2">
      <c r="C2204" s="17"/>
    </row>
    <row r="2205" spans="3:3" x14ac:dyDescent="0.2">
      <c r="C2205" s="17"/>
    </row>
    <row r="2206" spans="3:3" x14ac:dyDescent="0.2">
      <c r="C2206" s="17"/>
    </row>
    <row r="2207" spans="3:3" x14ac:dyDescent="0.2">
      <c r="C2207" s="17"/>
    </row>
    <row r="2208" spans="3:3" x14ac:dyDescent="0.2">
      <c r="C2208" s="17"/>
    </row>
    <row r="2209" spans="3:3" x14ac:dyDescent="0.2">
      <c r="C2209" s="17"/>
    </row>
    <row r="2210" spans="3:3" x14ac:dyDescent="0.2">
      <c r="C2210" s="17"/>
    </row>
    <row r="2211" spans="3:3" x14ac:dyDescent="0.2">
      <c r="C2211" s="17"/>
    </row>
    <row r="2212" spans="3:3" x14ac:dyDescent="0.2">
      <c r="C2212" s="17"/>
    </row>
    <row r="2213" spans="3:3" x14ac:dyDescent="0.2">
      <c r="C2213" s="17"/>
    </row>
    <row r="2214" spans="3:3" x14ac:dyDescent="0.2">
      <c r="C2214" s="17"/>
    </row>
    <row r="2215" spans="3:3" x14ac:dyDescent="0.2">
      <c r="C2215" s="17"/>
    </row>
    <row r="2216" spans="3:3" x14ac:dyDescent="0.2">
      <c r="C2216" s="17"/>
    </row>
    <row r="2217" spans="3:3" x14ac:dyDescent="0.2">
      <c r="C2217" s="17"/>
    </row>
    <row r="2218" spans="3:3" x14ac:dyDescent="0.2">
      <c r="C2218" s="17"/>
    </row>
    <row r="2219" spans="3:3" x14ac:dyDescent="0.2">
      <c r="C2219" s="17"/>
    </row>
    <row r="2220" spans="3:3" x14ac:dyDescent="0.2">
      <c r="C2220" s="17"/>
    </row>
    <row r="2221" spans="3:3" x14ac:dyDescent="0.2">
      <c r="C2221" s="17"/>
    </row>
    <row r="2222" spans="3:3" x14ac:dyDescent="0.2">
      <c r="C2222" s="17"/>
    </row>
    <row r="2223" spans="3:3" x14ac:dyDescent="0.2">
      <c r="C2223" s="17"/>
    </row>
    <row r="2224" spans="3:3" x14ac:dyDescent="0.2">
      <c r="C2224" s="17"/>
    </row>
    <row r="2225" spans="3:3" x14ac:dyDescent="0.2">
      <c r="C2225" s="17"/>
    </row>
    <row r="2226" spans="3:3" x14ac:dyDescent="0.2">
      <c r="C2226" s="17"/>
    </row>
    <row r="2227" spans="3:3" x14ac:dyDescent="0.2">
      <c r="C2227" s="17"/>
    </row>
    <row r="2228" spans="3:3" x14ac:dyDescent="0.2">
      <c r="C2228" s="17"/>
    </row>
    <row r="2229" spans="3:3" x14ac:dyDescent="0.2">
      <c r="C2229" s="17"/>
    </row>
    <row r="2230" spans="3:3" x14ac:dyDescent="0.2">
      <c r="C2230" s="17"/>
    </row>
    <row r="2231" spans="3:3" x14ac:dyDescent="0.2">
      <c r="C2231" s="17"/>
    </row>
    <row r="2232" spans="3:3" x14ac:dyDescent="0.2">
      <c r="C2232" s="17"/>
    </row>
    <row r="2233" spans="3:3" x14ac:dyDescent="0.2">
      <c r="C2233" s="17"/>
    </row>
    <row r="2234" spans="3:3" x14ac:dyDescent="0.2">
      <c r="C2234" s="17"/>
    </row>
    <row r="2235" spans="3:3" x14ac:dyDescent="0.2">
      <c r="C2235" s="17"/>
    </row>
    <row r="2236" spans="3:3" x14ac:dyDescent="0.2">
      <c r="C2236" s="17"/>
    </row>
    <row r="2237" spans="3:3" x14ac:dyDescent="0.2">
      <c r="C2237" s="17"/>
    </row>
    <row r="2238" spans="3:3" x14ac:dyDescent="0.2">
      <c r="C2238" s="17"/>
    </row>
    <row r="2239" spans="3:3" x14ac:dyDescent="0.2">
      <c r="C2239" s="17"/>
    </row>
    <row r="2240" spans="3:3" x14ac:dyDescent="0.2">
      <c r="C2240" s="17"/>
    </row>
    <row r="2241" spans="3:3" x14ac:dyDescent="0.2">
      <c r="C2241" s="17"/>
    </row>
    <row r="2242" spans="3:3" x14ac:dyDescent="0.2">
      <c r="C2242" s="17"/>
    </row>
    <row r="2243" spans="3:3" x14ac:dyDescent="0.2">
      <c r="C2243" s="17"/>
    </row>
    <row r="2244" spans="3:3" x14ac:dyDescent="0.2">
      <c r="C2244" s="17"/>
    </row>
    <row r="2245" spans="3:3" x14ac:dyDescent="0.2">
      <c r="C2245" s="17"/>
    </row>
    <row r="2246" spans="3:3" x14ac:dyDescent="0.2">
      <c r="C2246" s="17"/>
    </row>
    <row r="2247" spans="3:3" x14ac:dyDescent="0.2">
      <c r="C2247" s="17"/>
    </row>
    <row r="2248" spans="3:3" x14ac:dyDescent="0.2">
      <c r="C2248" s="17"/>
    </row>
    <row r="2249" spans="3:3" x14ac:dyDescent="0.2">
      <c r="C2249" s="61"/>
    </row>
    <row r="2250" spans="3:3" x14ac:dyDescent="0.2">
      <c r="C2250" s="61"/>
    </row>
    <row r="2251" spans="3:3" x14ac:dyDescent="0.2">
      <c r="C2251" s="61"/>
    </row>
    <row r="2252" spans="3:3" x14ac:dyDescent="0.2">
      <c r="C2252" s="61"/>
    </row>
    <row r="2253" spans="3:3" x14ac:dyDescent="0.2">
      <c r="C2253" s="61"/>
    </row>
    <row r="2254" spans="3:3" x14ac:dyDescent="0.2">
      <c r="C2254" s="61"/>
    </row>
    <row r="2255" spans="3:3" x14ac:dyDescent="0.2">
      <c r="C2255" s="61"/>
    </row>
    <row r="2256" spans="3:3" x14ac:dyDescent="0.2">
      <c r="C2256" s="61"/>
    </row>
    <row r="2257" spans="3:3" x14ac:dyDescent="0.2">
      <c r="C2257" s="61"/>
    </row>
  </sheetData>
  <sheetProtection selectLockedCell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48"/>
  <sheetViews>
    <sheetView showGridLines="0" tabSelected="1" topLeftCell="C3" workbookViewId="0">
      <selection activeCell="I11" sqref="I11"/>
    </sheetView>
  </sheetViews>
  <sheetFormatPr baseColWidth="10" defaultColWidth="2.125" defaultRowHeight="14.25" outlineLevelRow="1" outlineLevelCol="1" x14ac:dyDescent="0.2"/>
  <cols>
    <col min="1" max="1" width="19" style="2" hidden="1" customWidth="1" outlineLevel="1"/>
    <col min="2" max="2" width="11" style="2" hidden="1" customWidth="1" outlineLevel="1"/>
    <col min="3" max="3" width="2.625" style="1" customWidth="1" collapsed="1"/>
    <col min="4" max="4" width="12.625" style="1" customWidth="1"/>
    <col min="5" max="6" width="9.125" style="1" customWidth="1"/>
    <col min="7" max="7" width="2.625" style="1" customWidth="1"/>
    <col min="8" max="8" width="11.625" style="1" customWidth="1"/>
    <col min="9" max="9" width="15.625" style="1" customWidth="1"/>
    <col min="10" max="10" width="11" style="1" customWidth="1"/>
    <col min="11" max="11" width="2.625" style="1" customWidth="1"/>
    <col min="12" max="16384" width="2.125" style="1"/>
  </cols>
  <sheetData>
    <row r="1" spans="1:11" s="2" customFormat="1" hidden="1" outlineLevel="1" x14ac:dyDescent="0.2">
      <c r="A1" s="2" t="str">
        <f ca="1">nameOfThisSheet()</f>
        <v>Simulacion</v>
      </c>
      <c r="C1" s="2" t="str">
        <f ca="1">A1&amp;"!D7:F"&amp;C2</f>
        <v>Simulacion!D7:F13</v>
      </c>
    </row>
    <row r="2" spans="1:11" s="2" customFormat="1" hidden="1" outlineLevel="1" x14ac:dyDescent="0.2">
      <c r="C2" s="98">
        <f>COUNTA(D8:D27)+6</f>
        <v>13</v>
      </c>
    </row>
    <row r="3" spans="1:11" ht="10.5" customHeight="1" collapsed="1" x14ac:dyDescent="0.2">
      <c r="C3" s="30"/>
      <c r="D3" s="57"/>
      <c r="E3" s="29"/>
      <c r="F3" s="29"/>
      <c r="G3" s="29"/>
      <c r="H3" s="29"/>
      <c r="I3" s="29"/>
      <c r="J3" s="29"/>
      <c r="K3" s="63"/>
    </row>
    <row r="4" spans="1:11" ht="42" customHeight="1" x14ac:dyDescent="0.2">
      <c r="C4" s="35" t="s">
        <v>123</v>
      </c>
      <c r="D4" s="58"/>
      <c r="E4" s="58"/>
      <c r="F4" s="30"/>
      <c r="G4" s="30"/>
      <c r="H4" s="30"/>
      <c r="I4" s="30"/>
      <c r="J4" s="30"/>
      <c r="K4" s="39"/>
    </row>
    <row r="5" spans="1:11" x14ac:dyDescent="0.2">
      <c r="A5" s="2" t="s">
        <v>96</v>
      </c>
      <c r="C5" s="30"/>
      <c r="D5" s="30"/>
      <c r="E5" s="30"/>
      <c r="F5" s="30"/>
      <c r="G5" s="30"/>
      <c r="H5" s="30"/>
      <c r="I5" s="30"/>
      <c r="J5" s="30"/>
      <c r="K5" s="39"/>
    </row>
    <row r="6" spans="1:11" x14ac:dyDescent="0.2">
      <c r="A6" s="2" t="s">
        <v>84</v>
      </c>
      <c r="B6" s="2">
        <f ca="1">ROW(INDIRECT("originSimFactores"))</f>
        <v>8</v>
      </c>
      <c r="C6" s="30"/>
      <c r="D6" s="30"/>
      <c r="E6" s="30"/>
      <c r="F6" s="30"/>
      <c r="G6" s="30"/>
      <c r="H6" s="30"/>
      <c r="I6" s="30"/>
      <c r="J6" s="30"/>
      <c r="K6" s="39"/>
    </row>
    <row r="7" spans="1:11" x14ac:dyDescent="0.2">
      <c r="A7" s="2" t="s">
        <v>85</v>
      </c>
      <c r="B7" s="2">
        <f ca="1">COLUMN(INDIRECT("originSimFactores"))</f>
        <v>4</v>
      </c>
      <c r="C7" s="30"/>
      <c r="D7" s="33" t="s">
        <v>24</v>
      </c>
      <c r="E7" s="33" t="s">
        <v>22</v>
      </c>
      <c r="F7" s="33" t="s">
        <v>21</v>
      </c>
      <c r="G7" s="30"/>
      <c r="H7" s="43" t="s">
        <v>25</v>
      </c>
      <c r="I7" s="50">
        <v>1</v>
      </c>
      <c r="J7" s="30"/>
      <c r="K7" s="39"/>
    </row>
    <row r="8" spans="1:11" x14ac:dyDescent="0.2">
      <c r="A8" s="2" t="s">
        <v>86</v>
      </c>
      <c r="B8" s="18" t="str">
        <f ca="1">numbertoletter(B7)</f>
        <v>D</v>
      </c>
      <c r="C8" s="30"/>
      <c r="D8" s="64" t="s">
        <v>133</v>
      </c>
      <c r="E8" s="64" t="s">
        <v>5</v>
      </c>
      <c r="F8" s="50" t="s">
        <v>102</v>
      </c>
      <c r="G8" s="30"/>
      <c r="H8" s="43" t="s">
        <v>26</v>
      </c>
      <c r="I8" s="50">
        <v>100</v>
      </c>
      <c r="J8" s="30"/>
      <c r="K8" s="39"/>
    </row>
    <row r="9" spans="1:11" x14ac:dyDescent="0.2">
      <c r="A9" s="2" t="s">
        <v>95</v>
      </c>
      <c r="B9" s="2">
        <v>40</v>
      </c>
      <c r="C9" s="30"/>
      <c r="D9" s="64" t="s">
        <v>13</v>
      </c>
      <c r="E9" s="64" t="s">
        <v>5</v>
      </c>
      <c r="F9" s="94" t="s">
        <v>102</v>
      </c>
      <c r="G9" s="30"/>
      <c r="H9" s="72"/>
      <c r="I9" s="30"/>
      <c r="J9" s="30"/>
      <c r="K9" s="39"/>
    </row>
    <row r="10" spans="1:11" x14ac:dyDescent="0.2">
      <c r="A10" s="2" t="s">
        <v>87</v>
      </c>
      <c r="B10" s="18" t="str">
        <f ca="1">B8&amp;B6&amp;":"&amp;B8&amp;(B9+B6-1)</f>
        <v>D8:D47</v>
      </c>
      <c r="C10" s="30"/>
      <c r="D10" s="64" t="s">
        <v>4</v>
      </c>
      <c r="E10" s="64" t="s">
        <v>5</v>
      </c>
      <c r="F10" s="94" t="s">
        <v>102</v>
      </c>
      <c r="G10" s="30"/>
      <c r="H10" s="43" t="s">
        <v>81</v>
      </c>
      <c r="I10" s="64">
        <v>3</v>
      </c>
      <c r="J10" s="30"/>
      <c r="K10" s="39"/>
    </row>
    <row r="11" spans="1:11" x14ac:dyDescent="0.2">
      <c r="A11" s="2" t="s">
        <v>88</v>
      </c>
      <c r="B11" s="2">
        <f ca="1">COUNTA(INDIRECT(B10))</f>
        <v>7</v>
      </c>
      <c r="C11" s="30"/>
      <c r="D11" s="64" t="s">
        <v>181</v>
      </c>
      <c r="E11" s="64" t="s">
        <v>23</v>
      </c>
      <c r="F11" s="94" t="s">
        <v>102</v>
      </c>
      <c r="G11" s="62"/>
      <c r="H11" s="62"/>
      <c r="I11" s="62"/>
      <c r="J11" s="30"/>
      <c r="K11" s="39"/>
    </row>
    <row r="12" spans="1:11" ht="15" x14ac:dyDescent="0.25">
      <c r="A12" s="2" t="s">
        <v>89</v>
      </c>
      <c r="B12" s="19">
        <v>3</v>
      </c>
      <c r="C12" s="30"/>
      <c r="D12" s="64" t="s">
        <v>179</v>
      </c>
      <c r="E12" s="64" t="s">
        <v>23</v>
      </c>
      <c r="F12" s="94" t="s">
        <v>102</v>
      </c>
      <c r="G12" s="62"/>
      <c r="H12" s="62"/>
      <c r="I12" s="99"/>
      <c r="J12" s="62"/>
      <c r="K12" s="39"/>
    </row>
    <row r="13" spans="1:11" x14ac:dyDescent="0.2">
      <c r="A13" s="2" t="s">
        <v>90</v>
      </c>
      <c r="B13" s="18" t="str">
        <f ca="1">B8&amp;B6&amp;":"&amp;numbertoletter(B7+B12-1)&amp;(B6+B11-1)</f>
        <v>D8:F14</v>
      </c>
      <c r="C13" s="30"/>
      <c r="D13" s="64" t="s">
        <v>180</v>
      </c>
      <c r="E13" s="64" t="s">
        <v>23</v>
      </c>
      <c r="F13" s="94" t="s">
        <v>102</v>
      </c>
      <c r="G13" s="62"/>
      <c r="H13" s="62"/>
      <c r="I13" s="62"/>
      <c r="J13" s="62"/>
      <c r="K13" s="39"/>
    </row>
    <row r="14" spans="1:11" x14ac:dyDescent="0.2">
      <c r="C14" s="30"/>
      <c r="D14" s="64" t="s">
        <v>182</v>
      </c>
      <c r="E14" s="64" t="s">
        <v>23</v>
      </c>
      <c r="F14" s="94" t="s">
        <v>102</v>
      </c>
      <c r="G14" s="62"/>
      <c r="H14" s="62"/>
      <c r="I14" s="62"/>
      <c r="J14" s="62"/>
      <c r="K14" s="39"/>
    </row>
    <row r="15" spans="1:11" x14ac:dyDescent="0.2">
      <c r="C15" s="30"/>
      <c r="D15" s="64"/>
      <c r="E15" s="64"/>
      <c r="F15" s="94"/>
      <c r="G15" s="62"/>
      <c r="H15" s="62"/>
      <c r="I15" s="62"/>
      <c r="J15" s="62"/>
      <c r="K15" s="39"/>
    </row>
    <row r="16" spans="1:11" x14ac:dyDescent="0.2">
      <c r="C16" s="30"/>
      <c r="D16" s="64"/>
      <c r="E16" s="64"/>
      <c r="F16" s="94"/>
      <c r="G16" s="62"/>
      <c r="H16" s="62"/>
      <c r="I16" s="62"/>
      <c r="J16" s="62"/>
      <c r="K16" s="39"/>
    </row>
    <row r="17" spans="3:11" x14ac:dyDescent="0.2">
      <c r="C17" s="30"/>
      <c r="D17" s="64"/>
      <c r="E17" s="64"/>
      <c r="F17" s="94"/>
      <c r="G17" s="62"/>
      <c r="H17" s="62"/>
      <c r="I17" s="62"/>
      <c r="J17" s="62"/>
      <c r="K17" s="39"/>
    </row>
    <row r="18" spans="3:11" x14ac:dyDescent="0.2">
      <c r="C18" s="30"/>
      <c r="D18" s="64"/>
      <c r="E18" s="64"/>
      <c r="F18" s="94"/>
      <c r="G18" s="62"/>
      <c r="H18" s="62"/>
      <c r="I18" s="62"/>
      <c r="J18" s="62"/>
      <c r="K18" s="39"/>
    </row>
    <row r="19" spans="3:11" x14ac:dyDescent="0.2">
      <c r="C19" s="30"/>
      <c r="D19" s="64"/>
      <c r="E19" s="64"/>
      <c r="F19" s="94"/>
      <c r="G19" s="62"/>
      <c r="H19" s="62"/>
      <c r="I19" s="62"/>
      <c r="J19" s="62"/>
      <c r="K19" s="39"/>
    </row>
    <row r="20" spans="3:11" x14ac:dyDescent="0.2">
      <c r="C20" s="30"/>
      <c r="D20" s="64"/>
      <c r="E20" s="64"/>
      <c r="F20" s="94"/>
      <c r="G20" s="62"/>
      <c r="H20" s="62"/>
      <c r="I20" s="62"/>
      <c r="J20" s="62"/>
      <c r="K20" s="39"/>
    </row>
    <row r="21" spans="3:11" x14ac:dyDescent="0.2">
      <c r="C21" s="30"/>
      <c r="D21" s="64"/>
      <c r="E21" s="64"/>
      <c r="F21" s="94"/>
      <c r="G21" s="62"/>
      <c r="H21" s="62"/>
      <c r="I21" s="62"/>
      <c r="J21" s="62"/>
      <c r="K21" s="39"/>
    </row>
    <row r="22" spans="3:11" x14ac:dyDescent="0.2">
      <c r="C22" s="30"/>
      <c r="D22" s="64"/>
      <c r="E22" s="64"/>
      <c r="F22" s="94"/>
      <c r="G22" s="62"/>
      <c r="H22" s="62"/>
      <c r="I22" s="62"/>
      <c r="J22" s="62"/>
      <c r="K22" s="39"/>
    </row>
    <row r="23" spans="3:11" x14ac:dyDescent="0.2">
      <c r="C23" s="30"/>
      <c r="D23" s="64"/>
      <c r="E23" s="64"/>
      <c r="F23" s="94"/>
      <c r="G23" s="62"/>
      <c r="H23" s="62"/>
      <c r="I23" s="62"/>
      <c r="J23" s="62"/>
      <c r="K23" s="39"/>
    </row>
    <row r="24" spans="3:11" x14ac:dyDescent="0.2">
      <c r="C24" s="30"/>
      <c r="D24" s="64"/>
      <c r="E24" s="64"/>
      <c r="F24" s="94"/>
      <c r="G24" s="62"/>
      <c r="H24" s="62"/>
      <c r="I24" s="62"/>
      <c r="J24" s="62"/>
      <c r="K24" s="39"/>
    </row>
    <row r="25" spans="3:11" x14ac:dyDescent="0.2">
      <c r="C25" s="30"/>
      <c r="D25" s="64"/>
      <c r="E25" s="64"/>
      <c r="F25" s="94"/>
      <c r="G25" s="62"/>
      <c r="H25" s="62"/>
      <c r="I25" s="62"/>
      <c r="J25" s="62"/>
      <c r="K25" s="39"/>
    </row>
    <row r="26" spans="3:11" x14ac:dyDescent="0.2">
      <c r="C26" s="30"/>
      <c r="D26" s="64"/>
      <c r="E26" s="64"/>
      <c r="F26" s="94"/>
      <c r="G26" s="62"/>
      <c r="H26" s="62"/>
      <c r="I26" s="62"/>
      <c r="J26" s="62"/>
      <c r="K26" s="39"/>
    </row>
    <row r="27" spans="3:11" x14ac:dyDescent="0.2">
      <c r="C27" s="30"/>
      <c r="D27" s="64"/>
      <c r="E27" s="64"/>
      <c r="F27" s="94"/>
      <c r="G27" s="62"/>
      <c r="H27" s="62"/>
      <c r="I27" s="62"/>
      <c r="J27" s="62"/>
      <c r="K27" s="39"/>
    </row>
    <row r="28" spans="3:11" x14ac:dyDescent="0.2">
      <c r="C28" s="30"/>
      <c r="D28" s="64"/>
      <c r="E28" s="64"/>
      <c r="F28" s="94"/>
      <c r="G28" s="62"/>
      <c r="H28" s="62"/>
      <c r="I28" s="62"/>
      <c r="J28" s="62"/>
      <c r="K28" s="39"/>
    </row>
    <row r="29" spans="3:11" x14ac:dyDescent="0.2">
      <c r="C29" s="30"/>
      <c r="D29" s="64"/>
      <c r="E29" s="64"/>
      <c r="F29" s="50"/>
      <c r="G29" s="62"/>
      <c r="H29" s="62"/>
      <c r="I29" s="62"/>
      <c r="J29" s="62"/>
      <c r="K29" s="39"/>
    </row>
    <row r="30" spans="3:11" x14ac:dyDescent="0.2">
      <c r="C30" s="30"/>
      <c r="D30" s="64"/>
      <c r="E30" s="64"/>
      <c r="F30" s="50"/>
      <c r="G30" s="62"/>
      <c r="H30" s="62"/>
      <c r="I30" s="62"/>
      <c r="J30" s="62"/>
      <c r="K30" s="39"/>
    </row>
    <row r="31" spans="3:11" x14ac:dyDescent="0.2">
      <c r="C31" s="30"/>
      <c r="D31" s="64"/>
      <c r="E31" s="64"/>
      <c r="F31" s="50"/>
      <c r="G31" s="62"/>
      <c r="H31" s="62"/>
      <c r="I31" s="62"/>
      <c r="J31" s="62"/>
      <c r="K31" s="39"/>
    </row>
    <row r="32" spans="3:11" x14ac:dyDescent="0.2">
      <c r="C32" s="30"/>
      <c r="D32" s="64"/>
      <c r="E32" s="64"/>
      <c r="F32" s="50"/>
      <c r="G32" s="62"/>
      <c r="H32" s="62"/>
      <c r="I32" s="62"/>
      <c r="J32" s="62"/>
      <c r="K32" s="39"/>
    </row>
    <row r="33" spans="3:11" x14ac:dyDescent="0.2">
      <c r="C33" s="30"/>
      <c r="D33" s="64"/>
      <c r="E33" s="64"/>
      <c r="F33" s="50"/>
      <c r="G33" s="62"/>
      <c r="H33" s="62"/>
      <c r="I33" s="62"/>
      <c r="J33" s="62"/>
      <c r="K33" s="39"/>
    </row>
    <row r="34" spans="3:11" x14ac:dyDescent="0.2">
      <c r="C34" s="30"/>
      <c r="D34" s="64"/>
      <c r="E34" s="64"/>
      <c r="F34" s="50"/>
      <c r="G34" s="62"/>
      <c r="H34" s="62"/>
      <c r="I34" s="62"/>
      <c r="J34" s="62"/>
      <c r="K34" s="39"/>
    </row>
    <row r="35" spans="3:11" x14ac:dyDescent="0.2">
      <c r="C35" s="30"/>
      <c r="D35" s="64"/>
      <c r="E35" s="64"/>
      <c r="F35" s="50"/>
      <c r="G35" s="62"/>
      <c r="H35" s="62"/>
      <c r="I35" s="62"/>
      <c r="J35" s="62"/>
      <c r="K35" s="39"/>
    </row>
    <row r="36" spans="3:11" x14ac:dyDescent="0.2">
      <c r="C36" s="30"/>
      <c r="D36" s="64"/>
      <c r="E36" s="64"/>
      <c r="F36" s="50"/>
      <c r="G36" s="62"/>
      <c r="H36" s="62"/>
      <c r="I36" s="62"/>
      <c r="J36" s="62"/>
      <c r="K36" s="39"/>
    </row>
    <row r="37" spans="3:11" x14ac:dyDescent="0.2">
      <c r="C37" s="30"/>
      <c r="D37" s="64"/>
      <c r="E37" s="64"/>
      <c r="F37" s="50"/>
      <c r="G37" s="62"/>
      <c r="H37" s="62"/>
      <c r="I37" s="62"/>
      <c r="J37" s="62"/>
      <c r="K37" s="39"/>
    </row>
    <row r="38" spans="3:11" x14ac:dyDescent="0.2">
      <c r="C38" s="30"/>
      <c r="D38" s="64"/>
      <c r="E38" s="64"/>
      <c r="F38" s="50"/>
      <c r="G38" s="62"/>
      <c r="H38" s="62"/>
      <c r="I38" s="62"/>
      <c r="J38" s="62"/>
      <c r="K38" s="39"/>
    </row>
    <row r="39" spans="3:11" x14ac:dyDescent="0.2">
      <c r="C39" s="30"/>
      <c r="D39" s="64"/>
      <c r="E39" s="64"/>
      <c r="F39" s="50"/>
      <c r="G39" s="62"/>
      <c r="H39" s="62"/>
      <c r="I39" s="62"/>
      <c r="J39" s="62"/>
      <c r="K39" s="39"/>
    </row>
    <row r="40" spans="3:11" x14ac:dyDescent="0.2">
      <c r="C40" s="30"/>
      <c r="D40" s="64"/>
      <c r="E40" s="64"/>
      <c r="F40" s="50"/>
      <c r="G40" s="62"/>
      <c r="H40" s="62"/>
      <c r="I40" s="62"/>
      <c r="J40" s="62"/>
      <c r="K40" s="39"/>
    </row>
    <row r="41" spans="3:11" x14ac:dyDescent="0.2">
      <c r="C41" s="30"/>
      <c r="D41" s="64"/>
      <c r="E41" s="64"/>
      <c r="F41" s="50"/>
      <c r="G41" s="62"/>
      <c r="H41" s="62"/>
      <c r="I41" s="62"/>
      <c r="J41" s="62"/>
      <c r="K41" s="39"/>
    </row>
    <row r="42" spans="3:11" x14ac:dyDescent="0.2">
      <c r="C42" s="30"/>
      <c r="D42" s="64"/>
      <c r="E42" s="64"/>
      <c r="F42" s="50"/>
      <c r="G42" s="62"/>
      <c r="H42" s="62"/>
      <c r="I42" s="62"/>
      <c r="J42" s="62"/>
      <c r="K42" s="39"/>
    </row>
    <row r="43" spans="3:11" x14ac:dyDescent="0.2">
      <c r="C43" s="30"/>
      <c r="D43" s="64"/>
      <c r="E43" s="64"/>
      <c r="F43" s="50"/>
      <c r="G43" s="62"/>
      <c r="H43" s="62"/>
      <c r="I43" s="62"/>
      <c r="J43" s="62"/>
      <c r="K43" s="39"/>
    </row>
    <row r="44" spans="3:11" x14ac:dyDescent="0.2">
      <c r="C44" s="30"/>
      <c r="D44" s="64"/>
      <c r="E44" s="64"/>
      <c r="F44" s="50"/>
      <c r="G44" s="62"/>
      <c r="H44" s="62"/>
      <c r="I44" s="62"/>
      <c r="J44" s="62"/>
      <c r="K44" s="39"/>
    </row>
    <row r="45" spans="3:11" x14ac:dyDescent="0.2">
      <c r="C45" s="30"/>
      <c r="D45" s="64"/>
      <c r="E45" s="64"/>
      <c r="F45" s="50"/>
      <c r="G45" s="62"/>
      <c r="H45" s="62"/>
      <c r="I45" s="62"/>
      <c r="J45" s="62"/>
      <c r="K45" s="39"/>
    </row>
    <row r="46" spans="3:11" x14ac:dyDescent="0.2">
      <c r="C46" s="30"/>
      <c r="D46" s="64"/>
      <c r="E46" s="64"/>
      <c r="F46" s="50"/>
      <c r="G46" s="62"/>
      <c r="H46" s="62"/>
      <c r="I46" s="62"/>
      <c r="J46" s="62"/>
      <c r="K46" s="39"/>
    </row>
    <row r="47" spans="3:11" x14ac:dyDescent="0.2">
      <c r="C47" s="30"/>
      <c r="D47" s="64"/>
      <c r="E47" s="64"/>
      <c r="F47" s="50"/>
      <c r="G47" s="62"/>
      <c r="H47" s="62"/>
      <c r="I47" s="62"/>
      <c r="J47" s="62"/>
      <c r="K47" s="39"/>
    </row>
    <row r="48" spans="3:11" x14ac:dyDescent="0.2">
      <c r="C48" s="66"/>
      <c r="D48" s="66"/>
      <c r="E48" s="66"/>
      <c r="F48" s="66"/>
      <c r="G48" s="66"/>
      <c r="H48" s="66"/>
      <c r="I48" s="66"/>
      <c r="J48" s="66"/>
      <c r="K48" s="67"/>
    </row>
  </sheetData>
  <sheetProtection selectLockedCells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¡Atención!" error="Se admite solo Sí o No.">
          <x14:formula1>
            <xm:f>Auxiliar!$E$5:$E$6</xm:f>
          </x14:formula1>
          <xm:sqref>F8:F47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213"/>
  <sheetViews>
    <sheetView showGridLines="0" topLeftCell="C3" workbookViewId="0">
      <selection activeCell="H22" sqref="H22"/>
    </sheetView>
  </sheetViews>
  <sheetFormatPr baseColWidth="10" defaultColWidth="2.125" defaultRowHeight="15" outlineLevelRow="1" outlineLevelCol="1" x14ac:dyDescent="0.2"/>
  <cols>
    <col min="1" max="1" width="5" style="2" hidden="1" customWidth="1" outlineLevel="1"/>
    <col min="2" max="2" width="13" style="2" hidden="1" customWidth="1" outlineLevel="1"/>
    <col min="3" max="3" width="2.625" style="8" customWidth="1" collapsed="1"/>
    <col min="4" max="4" width="12.375" style="20" customWidth="1"/>
    <col min="5" max="5" width="12.625" style="20" customWidth="1"/>
    <col min="6" max="6" width="2.625" style="8" customWidth="1"/>
    <col min="7" max="7" width="13.625" style="21" customWidth="1"/>
    <col min="8" max="8" width="13.625" style="9" customWidth="1"/>
    <col min="9" max="9" width="9.125" style="1" customWidth="1"/>
    <col min="10" max="10" width="2.625" style="1" customWidth="1"/>
    <col min="11" max="11" width="2.125" style="1"/>
    <col min="12" max="12" width="9.5" style="1" customWidth="1"/>
    <col min="13" max="14" width="2.125" style="1"/>
    <col min="15" max="15" width="9.125" style="1" hidden="1" customWidth="1"/>
    <col min="16" max="16" width="7.875" style="1" hidden="1" customWidth="1"/>
    <col min="17" max="16384" width="2.125" style="1"/>
  </cols>
  <sheetData>
    <row r="1" spans="1:16" s="2" customFormat="1" ht="14.25" hidden="1" outlineLevel="1" x14ac:dyDescent="0.2"/>
    <row r="2" spans="1:16" s="2" customFormat="1" ht="14.25" hidden="1" outlineLevel="1" x14ac:dyDescent="0.2"/>
    <row r="3" spans="1:16" ht="10.5" customHeight="1" collapsed="1" x14ac:dyDescent="0.2">
      <c r="C3" s="30"/>
      <c r="D3" s="29"/>
      <c r="E3" s="29"/>
      <c r="F3" s="29"/>
      <c r="G3" s="29"/>
      <c r="H3" s="29"/>
      <c r="I3" s="29"/>
      <c r="J3" s="63"/>
    </row>
    <row r="4" spans="1:16" ht="42" customHeight="1" x14ac:dyDescent="0.2">
      <c r="C4" s="35" t="s">
        <v>124</v>
      </c>
      <c r="D4" s="58"/>
      <c r="E4" s="58"/>
      <c r="F4" s="30"/>
      <c r="G4" s="30"/>
      <c r="H4" s="30"/>
      <c r="I4" s="30"/>
      <c r="J4" s="39"/>
    </row>
    <row r="5" spans="1:16" ht="15" customHeight="1" x14ac:dyDescent="0.2">
      <c r="C5" s="30"/>
      <c r="D5" s="30"/>
      <c r="E5" s="30"/>
      <c r="F5" s="30"/>
      <c r="G5" s="30"/>
      <c r="H5" s="30"/>
      <c r="I5" s="30"/>
      <c r="J5" s="39"/>
    </row>
    <row r="6" spans="1:16" ht="16.5" customHeight="1" x14ac:dyDescent="0.2">
      <c r="C6" s="30"/>
      <c r="D6" s="30"/>
      <c r="E6" s="30"/>
      <c r="F6" s="30"/>
      <c r="G6" s="30"/>
      <c r="H6" s="30"/>
      <c r="I6" s="30"/>
      <c r="J6" s="39"/>
    </row>
    <row r="7" spans="1:16" ht="15" customHeight="1" x14ac:dyDescent="0.2">
      <c r="C7" s="30"/>
      <c r="D7" s="30"/>
      <c r="E7" s="30"/>
      <c r="F7" s="30"/>
      <c r="G7" s="43" t="s">
        <v>227</v>
      </c>
      <c r="H7" s="127">
        <v>0.9</v>
      </c>
      <c r="I7" s="30"/>
      <c r="J7" s="39"/>
    </row>
    <row r="8" spans="1:16" ht="8.25" customHeight="1" x14ac:dyDescent="0.2">
      <c r="C8" s="30"/>
      <c r="D8" s="30"/>
      <c r="E8" s="30"/>
      <c r="F8" s="30"/>
      <c r="G8" s="30"/>
      <c r="H8" s="30"/>
      <c r="I8" s="30"/>
      <c r="J8" s="39"/>
    </row>
    <row r="9" spans="1:16" s="38" customFormat="1" ht="24" customHeight="1" x14ac:dyDescent="0.2">
      <c r="A9" s="36" t="s">
        <v>107</v>
      </c>
      <c r="B9" s="36"/>
      <c r="C9" s="37"/>
      <c r="D9" s="43" t="s">
        <v>65</v>
      </c>
      <c r="E9" s="43" t="s">
        <v>103</v>
      </c>
      <c r="F9" s="37"/>
      <c r="G9" s="43" t="s">
        <v>104</v>
      </c>
      <c r="H9" s="43" t="s">
        <v>105</v>
      </c>
      <c r="I9" s="37"/>
      <c r="J9" s="73"/>
    </row>
    <row r="10" spans="1:16" ht="14.25" x14ac:dyDescent="0.2">
      <c r="A10" s="2" t="s">
        <v>84</v>
      </c>
      <c r="B10" s="2">
        <f ca="1">ROW(INDIRECT("originNettingSetParaValorizar"))</f>
        <v>10</v>
      </c>
      <c r="C10" s="30"/>
      <c r="D10" s="95" t="s">
        <v>141</v>
      </c>
      <c r="E10" s="94" t="s">
        <v>102</v>
      </c>
      <c r="F10" s="30"/>
      <c r="G10" s="51">
        <v>1.9444444000000002E-2</v>
      </c>
      <c r="H10" s="64">
        <f t="shared" ref="H10:H73" si="0">IF(G10="","",ROUND(G10*DT,0))</f>
        <v>5</v>
      </c>
      <c r="I10" s="30"/>
      <c r="J10" s="39"/>
      <c r="O10" s="107">
        <v>1.9444444000000002E-2</v>
      </c>
      <c r="P10" s="1">
        <v>0.5</v>
      </c>
    </row>
    <row r="11" spans="1:16" ht="14.25" x14ac:dyDescent="0.2">
      <c r="A11" s="2" t="s">
        <v>85</v>
      </c>
      <c r="B11" s="2">
        <f ca="1">COLUMN(INDIRECT("originNettingSetParaValorizar"))</f>
        <v>4</v>
      </c>
      <c r="C11" s="30"/>
      <c r="D11" s="95" t="s">
        <v>183</v>
      </c>
      <c r="E11" s="94" t="s">
        <v>63</v>
      </c>
      <c r="F11" s="30"/>
      <c r="G11" s="51">
        <v>8.3333332999999996E-2</v>
      </c>
      <c r="H11" s="64">
        <f t="shared" si="0"/>
        <v>22</v>
      </c>
      <c r="I11" s="30"/>
      <c r="J11" s="39"/>
      <c r="O11" s="107">
        <v>8.3333332999999996E-2</v>
      </c>
      <c r="P11" s="1">
        <v>0.75</v>
      </c>
    </row>
    <row r="12" spans="1:16" ht="14.25" x14ac:dyDescent="0.2">
      <c r="A12" s="2" t="s">
        <v>86</v>
      </c>
      <c r="B12" s="18" t="str">
        <f ca="1">numbertoletter(B11)</f>
        <v>D</v>
      </c>
      <c r="C12" s="30"/>
      <c r="D12" s="95" t="s">
        <v>184</v>
      </c>
      <c r="E12" s="94" t="s">
        <v>63</v>
      </c>
      <c r="F12" s="30"/>
      <c r="G12" s="51">
        <v>0.25</v>
      </c>
      <c r="H12" s="64">
        <f t="shared" si="0"/>
        <v>66</v>
      </c>
      <c r="I12" s="30"/>
      <c r="J12" s="39"/>
      <c r="O12" s="107">
        <v>0.25</v>
      </c>
      <c r="P12" s="1">
        <v>1</v>
      </c>
    </row>
    <row r="13" spans="1:16" ht="14.25" x14ac:dyDescent="0.2">
      <c r="A13" s="2" t="s">
        <v>95</v>
      </c>
      <c r="B13" s="2">
        <v>193</v>
      </c>
      <c r="C13" s="30"/>
      <c r="D13" s="95" t="s">
        <v>185</v>
      </c>
      <c r="E13" s="94" t="s">
        <v>63</v>
      </c>
      <c r="F13" s="30"/>
      <c r="G13" s="51">
        <v>0.5</v>
      </c>
      <c r="H13" s="64">
        <f t="shared" si="0"/>
        <v>132</v>
      </c>
      <c r="I13" s="30"/>
      <c r="J13" s="39"/>
      <c r="O13" s="107">
        <v>0.5</v>
      </c>
      <c r="P13" s="1">
        <v>1.25</v>
      </c>
    </row>
    <row r="14" spans="1:16" ht="14.25" x14ac:dyDescent="0.2">
      <c r="A14" s="2" t="s">
        <v>87</v>
      </c>
      <c r="B14" s="18" t="str">
        <f ca="1">B12&amp;B10&amp;":"&amp;B12&amp;(B13+B10-1)</f>
        <v>D10:D202</v>
      </c>
      <c r="C14" s="30"/>
      <c r="D14" s="95" t="s">
        <v>208</v>
      </c>
      <c r="E14" s="94" t="s">
        <v>63</v>
      </c>
      <c r="F14" s="30"/>
      <c r="G14" s="51">
        <v>1</v>
      </c>
      <c r="H14" s="64">
        <f t="shared" si="0"/>
        <v>264</v>
      </c>
      <c r="I14" s="30"/>
      <c r="J14" s="39"/>
      <c r="O14" s="107">
        <v>1</v>
      </c>
      <c r="P14" s="1">
        <v>1.5</v>
      </c>
    </row>
    <row r="15" spans="1:16" ht="14.25" x14ac:dyDescent="0.2">
      <c r="A15" s="2" t="s">
        <v>88</v>
      </c>
      <c r="B15" s="2">
        <f ca="1">COUNTA(INDIRECT(B14))</f>
        <v>13</v>
      </c>
      <c r="C15" s="30"/>
      <c r="D15" s="95" t="s">
        <v>211</v>
      </c>
      <c r="E15" s="94" t="s">
        <v>102</v>
      </c>
      <c r="F15" s="30"/>
      <c r="G15" s="51">
        <v>2</v>
      </c>
      <c r="H15" s="64">
        <f t="shared" si="0"/>
        <v>528</v>
      </c>
      <c r="I15" s="30"/>
      <c r="J15" s="39"/>
      <c r="O15" s="107">
        <v>2</v>
      </c>
      <c r="P15" s="1">
        <v>1.75</v>
      </c>
    </row>
    <row r="16" spans="1:16" x14ac:dyDescent="0.25">
      <c r="A16" s="2" t="s">
        <v>89</v>
      </c>
      <c r="B16" s="19">
        <v>2</v>
      </c>
      <c r="C16" s="30"/>
      <c r="D16" s="95" t="s">
        <v>219</v>
      </c>
      <c r="E16" s="94" t="s">
        <v>63</v>
      </c>
      <c r="F16" s="30"/>
      <c r="G16" s="51">
        <v>3</v>
      </c>
      <c r="H16" s="64">
        <f t="shared" si="0"/>
        <v>792</v>
      </c>
      <c r="I16" s="30"/>
      <c r="J16" s="39"/>
      <c r="O16" s="107">
        <v>3</v>
      </c>
      <c r="P16" s="1">
        <v>2</v>
      </c>
    </row>
    <row r="17" spans="1:16" ht="14.25" x14ac:dyDescent="0.2">
      <c r="A17" s="2" t="s">
        <v>90</v>
      </c>
      <c r="B17" s="18" t="str">
        <f ca="1">B12&amp;B10&amp;":"&amp;numbertoletter(B11+B16-1)&amp;(B10+B15-1)</f>
        <v>D10:E22</v>
      </c>
      <c r="C17" s="30"/>
      <c r="D17" s="53" t="s">
        <v>220</v>
      </c>
      <c r="E17" s="94" t="s">
        <v>63</v>
      </c>
      <c r="F17" s="30"/>
      <c r="G17" s="51">
        <v>4</v>
      </c>
      <c r="H17" s="64">
        <f t="shared" si="0"/>
        <v>1056</v>
      </c>
      <c r="I17" s="30"/>
      <c r="J17" s="39"/>
      <c r="O17" s="107">
        <v>4</v>
      </c>
      <c r="P17" s="1">
        <v>2.25</v>
      </c>
    </row>
    <row r="18" spans="1:16" ht="14.25" x14ac:dyDescent="0.2">
      <c r="C18" s="30"/>
      <c r="D18" s="53" t="s">
        <v>221</v>
      </c>
      <c r="E18" s="94" t="s">
        <v>63</v>
      </c>
      <c r="F18" s="30"/>
      <c r="G18" s="51">
        <v>5</v>
      </c>
      <c r="H18" s="64">
        <f t="shared" si="0"/>
        <v>1320</v>
      </c>
      <c r="I18" s="30"/>
      <c r="J18" s="39"/>
      <c r="O18" s="107">
        <v>5</v>
      </c>
      <c r="P18" s="1">
        <v>2.5</v>
      </c>
    </row>
    <row r="19" spans="1:16" ht="14.25" x14ac:dyDescent="0.2">
      <c r="A19" s="2" t="s">
        <v>109</v>
      </c>
      <c r="C19" s="30"/>
      <c r="D19" s="53" t="s">
        <v>218</v>
      </c>
      <c r="E19" s="94" t="s">
        <v>102</v>
      </c>
      <c r="F19" s="30"/>
      <c r="G19" s="51">
        <v>6</v>
      </c>
      <c r="H19" s="64">
        <f t="shared" si="0"/>
        <v>1584</v>
      </c>
      <c r="I19" s="30"/>
      <c r="J19" s="39"/>
      <c r="O19" s="107">
        <v>6</v>
      </c>
      <c r="P19" s="1">
        <v>2.75</v>
      </c>
    </row>
    <row r="20" spans="1:16" ht="14.25" x14ac:dyDescent="0.2">
      <c r="A20" s="2" t="s">
        <v>84</v>
      </c>
      <c r="B20" s="2">
        <f ca="1">ROW(INDIRECT("originStoppingTimes"))</f>
        <v>10</v>
      </c>
      <c r="C20" s="30"/>
      <c r="D20" s="53" t="s">
        <v>222</v>
      </c>
      <c r="E20" s="94" t="s">
        <v>63</v>
      </c>
      <c r="F20" s="30"/>
      <c r="G20" s="51">
        <v>6.9</v>
      </c>
      <c r="H20" s="64">
        <f t="shared" si="0"/>
        <v>1822</v>
      </c>
      <c r="I20" s="30"/>
      <c r="J20" s="39"/>
      <c r="O20" s="107">
        <v>7</v>
      </c>
      <c r="P20" s="1">
        <v>3</v>
      </c>
    </row>
    <row r="21" spans="1:16" ht="14.25" x14ac:dyDescent="0.2">
      <c r="A21" s="2" t="s">
        <v>85</v>
      </c>
      <c r="B21" s="2">
        <f ca="1">COLUMN(INDIRECT("originStoppingTimes"))</f>
        <v>7</v>
      </c>
      <c r="C21" s="30"/>
      <c r="D21" s="53" t="s">
        <v>223</v>
      </c>
      <c r="E21" s="94" t="s">
        <v>63</v>
      </c>
      <c r="F21" s="30"/>
      <c r="G21" s="51">
        <v>8</v>
      </c>
      <c r="H21" s="64">
        <f t="shared" si="0"/>
        <v>2112</v>
      </c>
      <c r="I21" s="30"/>
      <c r="J21" s="39"/>
      <c r="O21" s="107">
        <v>8</v>
      </c>
      <c r="P21" s="1">
        <v>3.25</v>
      </c>
    </row>
    <row r="22" spans="1:16" ht="14.25" x14ac:dyDescent="0.2">
      <c r="A22" s="2" t="s">
        <v>86</v>
      </c>
      <c r="B22" s="18" t="str">
        <f ca="1">numbertoletter(B21)</f>
        <v>G</v>
      </c>
      <c r="C22" s="30"/>
      <c r="D22" s="53" t="s">
        <v>224</v>
      </c>
      <c r="E22" s="94" t="s">
        <v>63</v>
      </c>
      <c r="F22" s="30"/>
      <c r="G22" s="51">
        <v>9</v>
      </c>
      <c r="H22" s="64">
        <f t="shared" si="0"/>
        <v>2376</v>
      </c>
      <c r="I22" s="30"/>
      <c r="J22" s="39"/>
      <c r="O22" s="107">
        <v>9</v>
      </c>
      <c r="P22" s="1">
        <v>3.5</v>
      </c>
    </row>
    <row r="23" spans="1:16" ht="14.25" x14ac:dyDescent="0.2">
      <c r="A23" s="2" t="s">
        <v>95</v>
      </c>
      <c r="B23" s="2">
        <v>40</v>
      </c>
      <c r="C23" s="30"/>
      <c r="D23" s="53"/>
      <c r="E23" s="94"/>
      <c r="F23" s="30"/>
      <c r="G23" s="51">
        <v>9.6</v>
      </c>
      <c r="H23" s="64">
        <f t="shared" si="0"/>
        <v>2534</v>
      </c>
      <c r="I23" s="30"/>
      <c r="J23" s="39"/>
      <c r="O23" s="107">
        <v>10</v>
      </c>
      <c r="P23" s="1">
        <v>3.75</v>
      </c>
    </row>
    <row r="24" spans="1:16" ht="14.25" x14ac:dyDescent="0.2">
      <c r="A24" s="2" t="s">
        <v>87</v>
      </c>
      <c r="B24" s="18" t="str">
        <f ca="1">B22&amp;B20&amp;":"&amp;B22&amp;(B23+B20-1)</f>
        <v>G10:G49</v>
      </c>
      <c r="C24" s="30"/>
      <c r="D24" s="53"/>
      <c r="E24" s="50"/>
      <c r="F24" s="30"/>
      <c r="G24" s="51"/>
      <c r="H24" s="64" t="str">
        <f t="shared" si="0"/>
        <v/>
      </c>
      <c r="I24" s="30"/>
      <c r="J24" s="39"/>
      <c r="P24" s="1">
        <v>4</v>
      </c>
    </row>
    <row r="25" spans="1:16" ht="14.25" x14ac:dyDescent="0.2">
      <c r="A25" s="2" t="s">
        <v>88</v>
      </c>
      <c r="B25" s="2">
        <f ca="1">COUNTA(INDIRECT(B24))</f>
        <v>14</v>
      </c>
      <c r="C25" s="30"/>
      <c r="D25" s="53"/>
      <c r="E25" s="50"/>
      <c r="F25" s="30"/>
      <c r="G25" s="51"/>
      <c r="H25" s="64" t="str">
        <f t="shared" si="0"/>
        <v/>
      </c>
      <c r="I25" s="30"/>
      <c r="J25" s="39"/>
      <c r="P25" s="1">
        <v>4.25</v>
      </c>
    </row>
    <row r="26" spans="1:16" x14ac:dyDescent="0.25">
      <c r="A26" s="2" t="s">
        <v>89</v>
      </c>
      <c r="B26" s="19">
        <v>1</v>
      </c>
      <c r="C26" s="30"/>
      <c r="D26" s="53"/>
      <c r="E26" s="50"/>
      <c r="F26" s="30"/>
      <c r="G26" s="51"/>
      <c r="H26" s="64" t="str">
        <f t="shared" si="0"/>
        <v/>
      </c>
      <c r="I26" s="30"/>
      <c r="J26" s="39"/>
      <c r="P26" s="1">
        <v>4.5</v>
      </c>
    </row>
    <row r="27" spans="1:16" ht="14.25" x14ac:dyDescent="0.2">
      <c r="A27" s="2" t="s">
        <v>110</v>
      </c>
      <c r="B27" s="18" t="str">
        <f ca="1">numbertoletter(B21+1)</f>
        <v>H</v>
      </c>
      <c r="C27" s="30"/>
      <c r="D27" s="53"/>
      <c r="E27" s="50"/>
      <c r="F27" s="30"/>
      <c r="G27" s="51"/>
      <c r="H27" s="64" t="str">
        <f t="shared" si="0"/>
        <v/>
      </c>
      <c r="I27" s="30"/>
      <c r="J27" s="39"/>
      <c r="P27" s="1">
        <v>4.75</v>
      </c>
    </row>
    <row r="28" spans="1:16" ht="14.25" x14ac:dyDescent="0.2">
      <c r="A28" s="2" t="s">
        <v>90</v>
      </c>
      <c r="B28" s="18" t="str">
        <f ca="1">B27&amp;B20&amp;":"&amp;B27&amp;(B20+B25-1)</f>
        <v>H10:H23</v>
      </c>
      <c r="C28" s="30"/>
      <c r="D28" s="53"/>
      <c r="E28" s="50"/>
      <c r="F28" s="30"/>
      <c r="G28" s="51"/>
      <c r="H28" s="64" t="str">
        <f t="shared" si="0"/>
        <v/>
      </c>
      <c r="I28" s="30"/>
      <c r="J28" s="39"/>
      <c r="P28" s="1">
        <v>5</v>
      </c>
    </row>
    <row r="29" spans="1:16" ht="14.25" x14ac:dyDescent="0.2">
      <c r="C29" s="30"/>
      <c r="D29" s="53"/>
      <c r="E29" s="50"/>
      <c r="F29" s="30"/>
      <c r="G29" s="51"/>
      <c r="H29" s="64" t="str">
        <f t="shared" si="0"/>
        <v/>
      </c>
      <c r="I29" s="30"/>
      <c r="J29" s="39"/>
      <c r="P29" s="1">
        <v>5.5</v>
      </c>
    </row>
    <row r="30" spans="1:16" ht="14.25" x14ac:dyDescent="0.2">
      <c r="C30" s="30"/>
      <c r="D30" s="53"/>
      <c r="E30" s="50"/>
      <c r="F30" s="30"/>
      <c r="G30" s="51"/>
      <c r="H30" s="64" t="str">
        <f t="shared" si="0"/>
        <v/>
      </c>
      <c r="I30" s="30"/>
      <c r="J30" s="39"/>
      <c r="P30" s="1">
        <v>6</v>
      </c>
    </row>
    <row r="31" spans="1:16" ht="14.25" x14ac:dyDescent="0.2">
      <c r="C31" s="30"/>
      <c r="D31" s="53"/>
      <c r="E31" s="50"/>
      <c r="F31" s="30"/>
      <c r="G31" s="51"/>
      <c r="H31" s="64" t="str">
        <f t="shared" si="0"/>
        <v/>
      </c>
      <c r="I31" s="30"/>
      <c r="J31" s="39"/>
      <c r="P31" s="1">
        <v>6.5</v>
      </c>
    </row>
    <row r="32" spans="1:16" ht="14.25" x14ac:dyDescent="0.2">
      <c r="C32" s="30"/>
      <c r="D32" s="53"/>
      <c r="E32" s="50"/>
      <c r="F32" s="30"/>
      <c r="G32" s="51"/>
      <c r="H32" s="64" t="str">
        <f t="shared" si="0"/>
        <v/>
      </c>
      <c r="I32" s="30"/>
      <c r="J32" s="39"/>
      <c r="P32" s="1">
        <v>7</v>
      </c>
    </row>
    <row r="33" spans="3:16" ht="14.25" x14ac:dyDescent="0.2">
      <c r="C33" s="30"/>
      <c r="D33" s="53"/>
      <c r="E33" s="50"/>
      <c r="F33" s="30"/>
      <c r="G33" s="51"/>
      <c r="H33" s="64" t="str">
        <f t="shared" si="0"/>
        <v/>
      </c>
      <c r="I33" s="30"/>
      <c r="J33" s="39"/>
      <c r="P33" s="1">
        <v>7.5</v>
      </c>
    </row>
    <row r="34" spans="3:16" ht="14.25" x14ac:dyDescent="0.2">
      <c r="C34" s="30"/>
      <c r="D34" s="53"/>
      <c r="E34" s="50"/>
      <c r="F34" s="30"/>
      <c r="G34" s="51"/>
      <c r="H34" s="64" t="str">
        <f t="shared" si="0"/>
        <v/>
      </c>
      <c r="I34" s="30"/>
      <c r="J34" s="39"/>
      <c r="P34" s="1">
        <v>8</v>
      </c>
    </row>
    <row r="35" spans="3:16" ht="14.25" x14ac:dyDescent="0.2">
      <c r="C35" s="30"/>
      <c r="D35" s="53"/>
      <c r="E35" s="50"/>
      <c r="F35" s="30"/>
      <c r="G35" s="51"/>
      <c r="H35" s="64" t="str">
        <f t="shared" si="0"/>
        <v/>
      </c>
      <c r="I35" s="30"/>
      <c r="J35" s="39"/>
      <c r="P35" s="1">
        <v>8.5</v>
      </c>
    </row>
    <row r="36" spans="3:16" ht="14.25" x14ac:dyDescent="0.2">
      <c r="C36" s="30"/>
      <c r="D36" s="53"/>
      <c r="E36" s="50"/>
      <c r="F36" s="30"/>
      <c r="G36" s="51"/>
      <c r="H36" s="64" t="str">
        <f t="shared" si="0"/>
        <v/>
      </c>
      <c r="I36" s="30"/>
      <c r="J36" s="39"/>
      <c r="P36" s="1">
        <v>9</v>
      </c>
    </row>
    <row r="37" spans="3:16" ht="14.25" x14ac:dyDescent="0.2">
      <c r="C37" s="30"/>
      <c r="D37" s="53"/>
      <c r="E37" s="50"/>
      <c r="F37" s="30"/>
      <c r="G37" s="51"/>
      <c r="H37" s="64" t="str">
        <f t="shared" si="0"/>
        <v/>
      </c>
      <c r="I37" s="30"/>
      <c r="J37" s="39"/>
      <c r="P37" s="1">
        <v>9.5</v>
      </c>
    </row>
    <row r="38" spans="3:16" ht="14.25" x14ac:dyDescent="0.2">
      <c r="C38" s="30"/>
      <c r="D38" s="53"/>
      <c r="E38" s="50"/>
      <c r="F38" s="30"/>
      <c r="G38" s="51"/>
      <c r="H38" s="64" t="str">
        <f t="shared" si="0"/>
        <v/>
      </c>
      <c r="I38" s="30"/>
      <c r="J38" s="39"/>
      <c r="P38" s="1">
        <v>10</v>
      </c>
    </row>
    <row r="39" spans="3:16" ht="14.25" x14ac:dyDescent="0.2">
      <c r="C39" s="30"/>
      <c r="D39" s="53"/>
      <c r="E39" s="50"/>
      <c r="F39" s="30"/>
      <c r="G39" s="93"/>
      <c r="H39" s="64" t="str">
        <f t="shared" si="0"/>
        <v/>
      </c>
      <c r="I39" s="30"/>
      <c r="J39" s="39"/>
    </row>
    <row r="40" spans="3:16" ht="14.25" x14ac:dyDescent="0.2">
      <c r="C40" s="30"/>
      <c r="D40" s="50"/>
      <c r="E40" s="50"/>
      <c r="F40" s="30"/>
      <c r="G40" s="51"/>
      <c r="H40" s="64" t="str">
        <f t="shared" si="0"/>
        <v/>
      </c>
      <c r="I40" s="30"/>
      <c r="J40" s="39"/>
    </row>
    <row r="41" spans="3:16" ht="14.25" x14ac:dyDescent="0.2">
      <c r="C41" s="30"/>
      <c r="D41" s="50"/>
      <c r="E41" s="50"/>
      <c r="F41" s="30"/>
      <c r="G41" s="51"/>
      <c r="H41" s="64" t="str">
        <f t="shared" si="0"/>
        <v/>
      </c>
      <c r="I41" s="30"/>
      <c r="J41" s="39"/>
    </row>
    <row r="42" spans="3:16" ht="14.25" x14ac:dyDescent="0.2">
      <c r="C42" s="30"/>
      <c r="D42" s="50"/>
      <c r="E42" s="50"/>
      <c r="F42" s="30"/>
      <c r="G42" s="51"/>
      <c r="H42" s="64" t="str">
        <f t="shared" si="0"/>
        <v/>
      </c>
      <c r="I42" s="30"/>
      <c r="J42" s="39"/>
    </row>
    <row r="43" spans="3:16" ht="14.25" x14ac:dyDescent="0.2">
      <c r="C43" s="30"/>
      <c r="D43" s="50"/>
      <c r="E43" s="50"/>
      <c r="F43" s="30"/>
      <c r="G43" s="51"/>
      <c r="H43" s="64" t="str">
        <f t="shared" si="0"/>
        <v/>
      </c>
      <c r="I43" s="30"/>
      <c r="J43" s="39"/>
    </row>
    <row r="44" spans="3:16" ht="14.25" x14ac:dyDescent="0.2">
      <c r="C44" s="30"/>
      <c r="D44" s="50"/>
      <c r="E44" s="50"/>
      <c r="F44" s="30"/>
      <c r="G44" s="51"/>
      <c r="H44" s="64" t="str">
        <f t="shared" si="0"/>
        <v/>
      </c>
      <c r="I44" s="30"/>
      <c r="J44" s="39"/>
    </row>
    <row r="45" spans="3:16" ht="14.25" x14ac:dyDescent="0.2">
      <c r="C45" s="30"/>
      <c r="D45" s="50"/>
      <c r="E45" s="50"/>
      <c r="F45" s="30"/>
      <c r="G45" s="51"/>
      <c r="H45" s="64" t="str">
        <f t="shared" si="0"/>
        <v/>
      </c>
      <c r="I45" s="30"/>
      <c r="J45" s="39"/>
    </row>
    <row r="46" spans="3:16" ht="14.25" x14ac:dyDescent="0.2">
      <c r="C46" s="30"/>
      <c r="D46" s="50"/>
      <c r="E46" s="50"/>
      <c r="F46" s="30"/>
      <c r="G46" s="51"/>
      <c r="H46" s="64" t="str">
        <f t="shared" si="0"/>
        <v/>
      </c>
      <c r="I46" s="30"/>
      <c r="J46" s="39"/>
    </row>
    <row r="47" spans="3:16" ht="14.25" x14ac:dyDescent="0.2">
      <c r="C47" s="30"/>
      <c r="D47" s="50"/>
      <c r="E47" s="50"/>
      <c r="F47" s="30"/>
      <c r="G47" s="51"/>
      <c r="H47" s="64" t="str">
        <f t="shared" si="0"/>
        <v/>
      </c>
      <c r="I47" s="30"/>
      <c r="J47" s="39"/>
    </row>
    <row r="48" spans="3:16" ht="14.25" x14ac:dyDescent="0.2">
      <c r="C48" s="30"/>
      <c r="D48" s="50"/>
      <c r="E48" s="50"/>
      <c r="F48" s="30"/>
      <c r="G48" s="51"/>
      <c r="H48" s="64" t="str">
        <f t="shared" si="0"/>
        <v/>
      </c>
      <c r="I48" s="30"/>
      <c r="J48" s="39"/>
    </row>
    <row r="49" spans="3:10" ht="14.25" x14ac:dyDescent="0.2">
      <c r="C49" s="30"/>
      <c r="D49" s="50"/>
      <c r="E49" s="50"/>
      <c r="F49" s="30"/>
      <c r="G49" s="51"/>
      <c r="H49" s="64" t="str">
        <f t="shared" si="0"/>
        <v/>
      </c>
      <c r="I49" s="30"/>
      <c r="J49" s="39"/>
    </row>
    <row r="50" spans="3:10" ht="14.25" x14ac:dyDescent="0.2">
      <c r="C50" s="30"/>
      <c r="D50" s="50"/>
      <c r="E50" s="50"/>
      <c r="F50" s="30"/>
      <c r="G50" s="51"/>
      <c r="H50" s="64" t="str">
        <f t="shared" si="0"/>
        <v/>
      </c>
      <c r="I50" s="30"/>
      <c r="J50" s="39"/>
    </row>
    <row r="51" spans="3:10" ht="14.25" x14ac:dyDescent="0.2">
      <c r="C51" s="30"/>
      <c r="D51" s="50"/>
      <c r="E51" s="50"/>
      <c r="F51" s="30"/>
      <c r="G51" s="51"/>
      <c r="H51" s="64" t="str">
        <f t="shared" si="0"/>
        <v/>
      </c>
      <c r="I51" s="30"/>
      <c r="J51" s="39"/>
    </row>
    <row r="52" spans="3:10" ht="14.25" x14ac:dyDescent="0.2">
      <c r="C52" s="30"/>
      <c r="D52" s="50"/>
      <c r="E52" s="50"/>
      <c r="F52" s="30"/>
      <c r="G52" s="51"/>
      <c r="H52" s="64" t="str">
        <f t="shared" si="0"/>
        <v/>
      </c>
      <c r="I52" s="30"/>
      <c r="J52" s="39"/>
    </row>
    <row r="53" spans="3:10" ht="14.25" x14ac:dyDescent="0.2">
      <c r="C53" s="30"/>
      <c r="D53" s="50"/>
      <c r="E53" s="50"/>
      <c r="F53" s="30"/>
      <c r="G53" s="51"/>
      <c r="H53" s="64" t="str">
        <f t="shared" si="0"/>
        <v/>
      </c>
      <c r="I53" s="30"/>
      <c r="J53" s="39"/>
    </row>
    <row r="54" spans="3:10" ht="14.25" x14ac:dyDescent="0.2">
      <c r="C54" s="30"/>
      <c r="D54" s="50"/>
      <c r="E54" s="50"/>
      <c r="F54" s="30"/>
      <c r="G54" s="51"/>
      <c r="H54" s="64" t="str">
        <f t="shared" si="0"/>
        <v/>
      </c>
      <c r="I54" s="30"/>
      <c r="J54" s="39"/>
    </row>
    <row r="55" spans="3:10" ht="14.25" x14ac:dyDescent="0.2">
      <c r="C55" s="30"/>
      <c r="D55" s="50"/>
      <c r="E55" s="50"/>
      <c r="F55" s="30"/>
      <c r="G55" s="51"/>
      <c r="H55" s="64" t="str">
        <f t="shared" si="0"/>
        <v/>
      </c>
      <c r="I55" s="30"/>
      <c r="J55" s="39"/>
    </row>
    <row r="56" spans="3:10" ht="14.25" x14ac:dyDescent="0.2">
      <c r="C56" s="30"/>
      <c r="D56" s="50"/>
      <c r="E56" s="50"/>
      <c r="F56" s="30"/>
      <c r="G56" s="51"/>
      <c r="H56" s="64" t="str">
        <f t="shared" si="0"/>
        <v/>
      </c>
      <c r="I56" s="30"/>
      <c r="J56" s="39"/>
    </row>
    <row r="57" spans="3:10" ht="14.25" x14ac:dyDescent="0.2">
      <c r="C57" s="30"/>
      <c r="D57" s="50"/>
      <c r="E57" s="50"/>
      <c r="F57" s="30"/>
      <c r="G57" s="51"/>
      <c r="H57" s="64" t="str">
        <f t="shared" si="0"/>
        <v/>
      </c>
      <c r="I57" s="30"/>
      <c r="J57" s="39"/>
    </row>
    <row r="58" spans="3:10" ht="14.25" x14ac:dyDescent="0.2">
      <c r="C58" s="30"/>
      <c r="D58" s="50"/>
      <c r="E58" s="50"/>
      <c r="F58" s="30"/>
      <c r="G58" s="51"/>
      <c r="H58" s="64" t="str">
        <f t="shared" si="0"/>
        <v/>
      </c>
      <c r="I58" s="30"/>
      <c r="J58" s="39"/>
    </row>
    <row r="59" spans="3:10" ht="14.25" x14ac:dyDescent="0.2">
      <c r="C59" s="30"/>
      <c r="D59" s="50"/>
      <c r="E59" s="50"/>
      <c r="F59" s="30"/>
      <c r="G59" s="51"/>
      <c r="H59" s="64" t="str">
        <f t="shared" si="0"/>
        <v/>
      </c>
      <c r="I59" s="30"/>
      <c r="J59" s="39"/>
    </row>
    <row r="60" spans="3:10" ht="14.25" x14ac:dyDescent="0.2">
      <c r="C60" s="30"/>
      <c r="D60" s="50"/>
      <c r="E60" s="50"/>
      <c r="F60" s="30"/>
      <c r="G60" s="51"/>
      <c r="H60" s="64" t="str">
        <f t="shared" si="0"/>
        <v/>
      </c>
      <c r="I60" s="30"/>
      <c r="J60" s="39"/>
    </row>
    <row r="61" spans="3:10" ht="14.25" x14ac:dyDescent="0.2">
      <c r="C61" s="30"/>
      <c r="D61" s="50"/>
      <c r="E61" s="50"/>
      <c r="F61" s="30"/>
      <c r="G61" s="51"/>
      <c r="H61" s="64" t="str">
        <f t="shared" si="0"/>
        <v/>
      </c>
      <c r="I61" s="30"/>
      <c r="J61" s="39"/>
    </row>
    <row r="62" spans="3:10" ht="14.25" x14ac:dyDescent="0.2">
      <c r="C62" s="30"/>
      <c r="D62" s="50"/>
      <c r="E62" s="50"/>
      <c r="F62" s="30"/>
      <c r="G62" s="51"/>
      <c r="H62" s="64" t="str">
        <f t="shared" si="0"/>
        <v/>
      </c>
      <c r="I62" s="30"/>
      <c r="J62" s="39"/>
    </row>
    <row r="63" spans="3:10" ht="14.25" x14ac:dyDescent="0.2">
      <c r="C63" s="30"/>
      <c r="D63" s="50"/>
      <c r="E63" s="50"/>
      <c r="F63" s="30"/>
      <c r="G63" s="51"/>
      <c r="H63" s="64" t="str">
        <f t="shared" si="0"/>
        <v/>
      </c>
      <c r="I63" s="30"/>
      <c r="J63" s="39"/>
    </row>
    <row r="64" spans="3:10" ht="14.25" x14ac:dyDescent="0.2">
      <c r="C64" s="30"/>
      <c r="D64" s="50"/>
      <c r="E64" s="50"/>
      <c r="F64" s="30"/>
      <c r="G64" s="51"/>
      <c r="H64" s="64" t="str">
        <f t="shared" si="0"/>
        <v/>
      </c>
      <c r="I64" s="30"/>
      <c r="J64" s="39"/>
    </row>
    <row r="65" spans="3:10" ht="14.25" x14ac:dyDescent="0.2">
      <c r="C65" s="30"/>
      <c r="D65" s="50"/>
      <c r="E65" s="50"/>
      <c r="F65" s="30"/>
      <c r="G65" s="51"/>
      <c r="H65" s="64" t="str">
        <f t="shared" si="0"/>
        <v/>
      </c>
      <c r="I65" s="30"/>
      <c r="J65" s="39"/>
    </row>
    <row r="66" spans="3:10" ht="14.25" x14ac:dyDescent="0.2">
      <c r="C66" s="30"/>
      <c r="D66" s="50"/>
      <c r="E66" s="50"/>
      <c r="F66" s="30"/>
      <c r="G66" s="51"/>
      <c r="H66" s="64" t="str">
        <f t="shared" si="0"/>
        <v/>
      </c>
      <c r="I66" s="30"/>
      <c r="J66" s="39"/>
    </row>
    <row r="67" spans="3:10" ht="14.25" x14ac:dyDescent="0.2">
      <c r="C67" s="30"/>
      <c r="D67" s="50"/>
      <c r="E67" s="50"/>
      <c r="F67" s="30"/>
      <c r="G67" s="51"/>
      <c r="H67" s="64" t="str">
        <f t="shared" si="0"/>
        <v/>
      </c>
      <c r="I67" s="30"/>
      <c r="J67" s="39"/>
    </row>
    <row r="68" spans="3:10" ht="14.25" x14ac:dyDescent="0.2">
      <c r="C68" s="30"/>
      <c r="D68" s="50"/>
      <c r="E68" s="50"/>
      <c r="F68" s="30"/>
      <c r="G68" s="51"/>
      <c r="H68" s="64" t="str">
        <f t="shared" si="0"/>
        <v/>
      </c>
      <c r="I68" s="30"/>
      <c r="J68" s="39"/>
    </row>
    <row r="69" spans="3:10" ht="14.25" x14ac:dyDescent="0.2">
      <c r="C69" s="30"/>
      <c r="D69" s="50"/>
      <c r="E69" s="50"/>
      <c r="F69" s="30"/>
      <c r="G69" s="51"/>
      <c r="H69" s="64" t="str">
        <f t="shared" si="0"/>
        <v/>
      </c>
      <c r="I69" s="30"/>
      <c r="J69" s="39"/>
    </row>
    <row r="70" spans="3:10" ht="14.25" x14ac:dyDescent="0.2">
      <c r="C70" s="30"/>
      <c r="D70" s="50"/>
      <c r="E70" s="50"/>
      <c r="F70" s="30"/>
      <c r="G70" s="51"/>
      <c r="H70" s="64" t="str">
        <f t="shared" si="0"/>
        <v/>
      </c>
      <c r="I70" s="30"/>
      <c r="J70" s="39"/>
    </row>
    <row r="71" spans="3:10" ht="14.25" x14ac:dyDescent="0.2">
      <c r="C71" s="30"/>
      <c r="D71" s="50"/>
      <c r="E71" s="50"/>
      <c r="F71" s="30"/>
      <c r="G71" s="51"/>
      <c r="H71" s="64" t="str">
        <f t="shared" si="0"/>
        <v/>
      </c>
      <c r="I71" s="30"/>
      <c r="J71" s="39"/>
    </row>
    <row r="72" spans="3:10" ht="14.25" x14ac:dyDescent="0.2">
      <c r="C72" s="30"/>
      <c r="D72" s="50"/>
      <c r="E72" s="50"/>
      <c r="F72" s="30"/>
      <c r="G72" s="51"/>
      <c r="H72" s="64" t="str">
        <f t="shared" si="0"/>
        <v/>
      </c>
      <c r="I72" s="30"/>
      <c r="J72" s="39"/>
    </row>
    <row r="73" spans="3:10" ht="14.25" x14ac:dyDescent="0.2">
      <c r="C73" s="30"/>
      <c r="D73" s="50"/>
      <c r="E73" s="50"/>
      <c r="F73" s="30"/>
      <c r="G73" s="51"/>
      <c r="H73" s="64" t="str">
        <f t="shared" si="0"/>
        <v/>
      </c>
      <c r="I73" s="30"/>
      <c r="J73" s="39"/>
    </row>
    <row r="74" spans="3:10" ht="14.25" x14ac:dyDescent="0.2">
      <c r="C74" s="30"/>
      <c r="D74" s="50"/>
      <c r="E74" s="50"/>
      <c r="F74" s="30"/>
      <c r="G74" s="51"/>
      <c r="H74" s="64" t="str">
        <f t="shared" ref="H74:H107" si="1">IF(G74="","",ROUND(G74*DT,0))</f>
        <v/>
      </c>
      <c r="I74" s="30"/>
      <c r="J74" s="39"/>
    </row>
    <row r="75" spans="3:10" ht="14.25" x14ac:dyDescent="0.2">
      <c r="C75" s="30"/>
      <c r="D75" s="50"/>
      <c r="E75" s="50"/>
      <c r="F75" s="30"/>
      <c r="G75" s="51"/>
      <c r="H75" s="64" t="str">
        <f t="shared" si="1"/>
        <v/>
      </c>
      <c r="I75" s="30"/>
      <c r="J75" s="39"/>
    </row>
    <row r="76" spans="3:10" ht="14.25" x14ac:dyDescent="0.2">
      <c r="C76" s="30"/>
      <c r="D76" s="50"/>
      <c r="E76" s="50"/>
      <c r="F76" s="30"/>
      <c r="G76" s="51"/>
      <c r="H76" s="64" t="str">
        <f t="shared" si="1"/>
        <v/>
      </c>
      <c r="I76" s="30"/>
      <c r="J76" s="39"/>
    </row>
    <row r="77" spans="3:10" ht="14.25" x14ac:dyDescent="0.2">
      <c r="C77" s="30"/>
      <c r="D77" s="50"/>
      <c r="E77" s="50"/>
      <c r="F77" s="30"/>
      <c r="G77" s="51"/>
      <c r="H77" s="64" t="str">
        <f t="shared" si="1"/>
        <v/>
      </c>
      <c r="I77" s="30"/>
      <c r="J77" s="39"/>
    </row>
    <row r="78" spans="3:10" ht="14.25" x14ac:dyDescent="0.2">
      <c r="C78" s="30"/>
      <c r="D78" s="50"/>
      <c r="E78" s="50"/>
      <c r="F78" s="30"/>
      <c r="G78" s="51"/>
      <c r="H78" s="64" t="str">
        <f t="shared" si="1"/>
        <v/>
      </c>
      <c r="I78" s="30"/>
      <c r="J78" s="39"/>
    </row>
    <row r="79" spans="3:10" ht="14.25" x14ac:dyDescent="0.2">
      <c r="C79" s="30"/>
      <c r="D79" s="50"/>
      <c r="E79" s="50"/>
      <c r="F79" s="30"/>
      <c r="G79" s="51"/>
      <c r="H79" s="64" t="str">
        <f t="shared" si="1"/>
        <v/>
      </c>
      <c r="I79" s="30"/>
      <c r="J79" s="39"/>
    </row>
    <row r="80" spans="3:10" ht="14.25" x14ac:dyDescent="0.2">
      <c r="C80" s="30"/>
      <c r="D80" s="50"/>
      <c r="E80" s="50"/>
      <c r="F80" s="30"/>
      <c r="G80" s="51"/>
      <c r="H80" s="64" t="str">
        <f t="shared" si="1"/>
        <v/>
      </c>
      <c r="I80" s="30"/>
      <c r="J80" s="39"/>
    </row>
    <row r="81" spans="3:10" ht="14.25" x14ac:dyDescent="0.2">
      <c r="C81" s="30"/>
      <c r="D81" s="50"/>
      <c r="E81" s="50"/>
      <c r="F81" s="30"/>
      <c r="G81" s="51"/>
      <c r="H81" s="64" t="str">
        <f t="shared" si="1"/>
        <v/>
      </c>
      <c r="I81" s="30"/>
      <c r="J81" s="39"/>
    </row>
    <row r="82" spans="3:10" ht="14.25" x14ac:dyDescent="0.2">
      <c r="C82" s="30"/>
      <c r="D82" s="50"/>
      <c r="E82" s="50"/>
      <c r="F82" s="30"/>
      <c r="G82" s="51"/>
      <c r="H82" s="64" t="str">
        <f t="shared" si="1"/>
        <v/>
      </c>
      <c r="I82" s="30"/>
      <c r="J82" s="39"/>
    </row>
    <row r="83" spans="3:10" ht="14.25" x14ac:dyDescent="0.2">
      <c r="C83" s="30"/>
      <c r="D83" s="50"/>
      <c r="E83" s="50"/>
      <c r="F83" s="30"/>
      <c r="G83" s="51"/>
      <c r="H83" s="64" t="str">
        <f t="shared" si="1"/>
        <v/>
      </c>
      <c r="I83" s="30"/>
      <c r="J83" s="39"/>
    </row>
    <row r="84" spans="3:10" ht="14.25" x14ac:dyDescent="0.2">
      <c r="C84" s="30"/>
      <c r="D84" s="50"/>
      <c r="E84" s="50"/>
      <c r="F84" s="30"/>
      <c r="G84" s="51"/>
      <c r="H84" s="64" t="str">
        <f t="shared" si="1"/>
        <v/>
      </c>
      <c r="I84" s="30"/>
      <c r="J84" s="39"/>
    </row>
    <row r="85" spans="3:10" ht="14.25" x14ac:dyDescent="0.2">
      <c r="C85" s="30"/>
      <c r="D85" s="50"/>
      <c r="E85" s="50"/>
      <c r="F85" s="30"/>
      <c r="G85" s="51"/>
      <c r="H85" s="64" t="str">
        <f t="shared" si="1"/>
        <v/>
      </c>
      <c r="I85" s="30"/>
      <c r="J85" s="39"/>
    </row>
    <row r="86" spans="3:10" ht="14.25" x14ac:dyDescent="0.2">
      <c r="C86" s="30"/>
      <c r="D86" s="50"/>
      <c r="E86" s="50"/>
      <c r="F86" s="30"/>
      <c r="G86" s="51"/>
      <c r="H86" s="64" t="str">
        <f t="shared" si="1"/>
        <v/>
      </c>
      <c r="I86" s="30"/>
      <c r="J86" s="39"/>
    </row>
    <row r="87" spans="3:10" ht="14.25" x14ac:dyDescent="0.2">
      <c r="C87" s="30"/>
      <c r="D87" s="50"/>
      <c r="E87" s="50"/>
      <c r="F87" s="30"/>
      <c r="G87" s="51"/>
      <c r="H87" s="64" t="str">
        <f t="shared" si="1"/>
        <v/>
      </c>
      <c r="I87" s="30"/>
      <c r="J87" s="39"/>
    </row>
    <row r="88" spans="3:10" ht="14.25" x14ac:dyDescent="0.2">
      <c r="C88" s="30"/>
      <c r="D88" s="50"/>
      <c r="E88" s="50"/>
      <c r="F88" s="30"/>
      <c r="G88" s="51"/>
      <c r="H88" s="64" t="str">
        <f t="shared" si="1"/>
        <v/>
      </c>
      <c r="I88" s="30"/>
      <c r="J88" s="39"/>
    </row>
    <row r="89" spans="3:10" ht="14.25" x14ac:dyDescent="0.2">
      <c r="C89" s="30"/>
      <c r="D89" s="50"/>
      <c r="E89" s="50"/>
      <c r="F89" s="30"/>
      <c r="G89" s="51"/>
      <c r="H89" s="64" t="str">
        <f t="shared" si="1"/>
        <v/>
      </c>
      <c r="I89" s="30"/>
      <c r="J89" s="39"/>
    </row>
    <row r="90" spans="3:10" ht="14.25" x14ac:dyDescent="0.2">
      <c r="C90" s="30"/>
      <c r="D90" s="50"/>
      <c r="E90" s="50"/>
      <c r="F90" s="30"/>
      <c r="G90" s="51"/>
      <c r="H90" s="64" t="str">
        <f t="shared" si="1"/>
        <v/>
      </c>
      <c r="I90" s="30"/>
      <c r="J90" s="39"/>
    </row>
    <row r="91" spans="3:10" ht="14.25" x14ac:dyDescent="0.2">
      <c r="C91" s="30"/>
      <c r="D91" s="50"/>
      <c r="E91" s="50"/>
      <c r="F91" s="30"/>
      <c r="G91" s="51"/>
      <c r="H91" s="64" t="str">
        <f t="shared" si="1"/>
        <v/>
      </c>
      <c r="I91" s="30"/>
      <c r="J91" s="39"/>
    </row>
    <row r="92" spans="3:10" ht="14.25" x14ac:dyDescent="0.2">
      <c r="C92" s="30"/>
      <c r="D92" s="50"/>
      <c r="E92" s="50"/>
      <c r="F92" s="30"/>
      <c r="G92" s="51"/>
      <c r="H92" s="64" t="str">
        <f t="shared" si="1"/>
        <v/>
      </c>
      <c r="I92" s="30"/>
      <c r="J92" s="39"/>
    </row>
    <row r="93" spans="3:10" ht="14.25" x14ac:dyDescent="0.2">
      <c r="C93" s="30"/>
      <c r="D93" s="50"/>
      <c r="E93" s="50"/>
      <c r="F93" s="30"/>
      <c r="G93" s="51"/>
      <c r="H93" s="64" t="str">
        <f t="shared" si="1"/>
        <v/>
      </c>
      <c r="I93" s="30"/>
      <c r="J93" s="39"/>
    </row>
    <row r="94" spans="3:10" ht="14.25" x14ac:dyDescent="0.2">
      <c r="C94" s="30"/>
      <c r="D94" s="50"/>
      <c r="E94" s="50"/>
      <c r="F94" s="30"/>
      <c r="G94" s="51"/>
      <c r="H94" s="64" t="str">
        <f t="shared" si="1"/>
        <v/>
      </c>
      <c r="I94" s="30"/>
      <c r="J94" s="39"/>
    </row>
    <row r="95" spans="3:10" ht="14.25" x14ac:dyDescent="0.2">
      <c r="C95" s="30"/>
      <c r="D95" s="50"/>
      <c r="E95" s="50"/>
      <c r="F95" s="30"/>
      <c r="G95" s="51"/>
      <c r="H95" s="64" t="str">
        <f t="shared" si="1"/>
        <v/>
      </c>
      <c r="I95" s="30"/>
      <c r="J95" s="39"/>
    </row>
    <row r="96" spans="3:10" ht="14.25" x14ac:dyDescent="0.2">
      <c r="C96" s="30"/>
      <c r="D96" s="50"/>
      <c r="E96" s="50"/>
      <c r="F96" s="30"/>
      <c r="G96" s="51"/>
      <c r="H96" s="64" t="str">
        <f t="shared" si="1"/>
        <v/>
      </c>
      <c r="I96" s="30"/>
      <c r="J96" s="39"/>
    </row>
    <row r="97" spans="3:10" ht="14.25" x14ac:dyDescent="0.2">
      <c r="C97" s="30"/>
      <c r="D97" s="50"/>
      <c r="E97" s="50"/>
      <c r="F97" s="30"/>
      <c r="G97" s="51"/>
      <c r="H97" s="64" t="str">
        <f t="shared" si="1"/>
        <v/>
      </c>
      <c r="I97" s="30"/>
      <c r="J97" s="39"/>
    </row>
    <row r="98" spans="3:10" ht="14.25" x14ac:dyDescent="0.2">
      <c r="C98" s="30"/>
      <c r="D98" s="50"/>
      <c r="E98" s="50"/>
      <c r="F98" s="30"/>
      <c r="G98" s="51"/>
      <c r="H98" s="64" t="str">
        <f t="shared" si="1"/>
        <v/>
      </c>
      <c r="I98" s="30"/>
      <c r="J98" s="39"/>
    </row>
    <row r="99" spans="3:10" ht="14.25" x14ac:dyDescent="0.2">
      <c r="C99" s="30"/>
      <c r="D99" s="50"/>
      <c r="E99" s="50"/>
      <c r="F99" s="30"/>
      <c r="G99" s="51"/>
      <c r="H99" s="64" t="str">
        <f t="shared" si="1"/>
        <v/>
      </c>
      <c r="I99" s="30"/>
      <c r="J99" s="39"/>
    </row>
    <row r="100" spans="3:10" ht="14.25" x14ac:dyDescent="0.2">
      <c r="C100" s="30"/>
      <c r="D100" s="50"/>
      <c r="E100" s="50"/>
      <c r="F100" s="30"/>
      <c r="G100" s="51"/>
      <c r="H100" s="64" t="str">
        <f t="shared" si="1"/>
        <v/>
      </c>
      <c r="I100" s="30"/>
      <c r="J100" s="39"/>
    </row>
    <row r="101" spans="3:10" ht="14.25" x14ac:dyDescent="0.2">
      <c r="C101" s="30"/>
      <c r="D101" s="50"/>
      <c r="E101" s="50"/>
      <c r="F101" s="30"/>
      <c r="G101" s="51"/>
      <c r="H101" s="64" t="str">
        <f t="shared" si="1"/>
        <v/>
      </c>
      <c r="I101" s="30"/>
      <c r="J101" s="39"/>
    </row>
    <row r="102" spans="3:10" ht="14.25" x14ac:dyDescent="0.2">
      <c r="C102" s="30"/>
      <c r="D102" s="50"/>
      <c r="E102" s="50"/>
      <c r="F102" s="30"/>
      <c r="G102" s="51"/>
      <c r="H102" s="64" t="str">
        <f t="shared" si="1"/>
        <v/>
      </c>
      <c r="I102" s="30"/>
      <c r="J102" s="39"/>
    </row>
    <row r="103" spans="3:10" ht="14.25" x14ac:dyDescent="0.2">
      <c r="C103" s="30"/>
      <c r="D103" s="50"/>
      <c r="E103" s="50"/>
      <c r="F103" s="30"/>
      <c r="G103" s="51"/>
      <c r="H103" s="64" t="str">
        <f t="shared" si="1"/>
        <v/>
      </c>
      <c r="I103" s="30"/>
      <c r="J103" s="39"/>
    </row>
    <row r="104" spans="3:10" ht="14.25" x14ac:dyDescent="0.2">
      <c r="C104" s="30"/>
      <c r="D104" s="50"/>
      <c r="E104" s="50"/>
      <c r="F104" s="30"/>
      <c r="G104" s="51"/>
      <c r="H104" s="64" t="str">
        <f t="shared" si="1"/>
        <v/>
      </c>
      <c r="I104" s="30"/>
      <c r="J104" s="39"/>
    </row>
    <row r="105" spans="3:10" ht="14.25" x14ac:dyDescent="0.2">
      <c r="C105" s="30"/>
      <c r="D105" s="50"/>
      <c r="E105" s="50"/>
      <c r="F105" s="30"/>
      <c r="G105" s="51"/>
      <c r="H105" s="64" t="str">
        <f t="shared" si="1"/>
        <v/>
      </c>
      <c r="I105" s="30"/>
      <c r="J105" s="39"/>
    </row>
    <row r="106" spans="3:10" ht="14.25" x14ac:dyDescent="0.2">
      <c r="C106" s="30"/>
      <c r="D106" s="50"/>
      <c r="E106" s="50"/>
      <c r="F106" s="30"/>
      <c r="G106" s="51"/>
      <c r="H106" s="64" t="str">
        <f t="shared" si="1"/>
        <v/>
      </c>
      <c r="I106" s="30"/>
      <c r="J106" s="39"/>
    </row>
    <row r="107" spans="3:10" ht="14.25" x14ac:dyDescent="0.2">
      <c r="C107" s="30"/>
      <c r="D107" s="50"/>
      <c r="E107" s="50"/>
      <c r="F107" s="30"/>
      <c r="G107" s="51"/>
      <c r="H107" s="64" t="str">
        <f t="shared" si="1"/>
        <v/>
      </c>
      <c r="I107" s="30"/>
      <c r="J107" s="39"/>
    </row>
    <row r="108" spans="3:10" ht="14.25" x14ac:dyDescent="0.2">
      <c r="C108" s="30"/>
      <c r="D108" s="50"/>
      <c r="E108" s="50"/>
      <c r="F108" s="30"/>
      <c r="G108" s="51"/>
      <c r="H108" s="64" t="str">
        <f t="shared" ref="H108:H137" si="2">IF(G108="","",ROUND(G108*DT,0))</f>
        <v/>
      </c>
      <c r="I108" s="30"/>
      <c r="J108" s="39"/>
    </row>
    <row r="109" spans="3:10" ht="14.25" x14ac:dyDescent="0.2">
      <c r="C109" s="30"/>
      <c r="D109" s="50"/>
      <c r="E109" s="50"/>
      <c r="F109" s="30"/>
      <c r="G109" s="51"/>
      <c r="H109" s="64" t="str">
        <f t="shared" si="2"/>
        <v/>
      </c>
      <c r="I109" s="30"/>
      <c r="J109" s="39"/>
    </row>
    <row r="110" spans="3:10" ht="14.25" x14ac:dyDescent="0.2">
      <c r="C110" s="30"/>
      <c r="D110" s="50"/>
      <c r="E110" s="50"/>
      <c r="F110" s="30"/>
      <c r="G110" s="51"/>
      <c r="H110" s="64" t="str">
        <f t="shared" si="2"/>
        <v/>
      </c>
      <c r="I110" s="30"/>
      <c r="J110" s="39"/>
    </row>
    <row r="111" spans="3:10" ht="14.25" x14ac:dyDescent="0.2">
      <c r="C111" s="30"/>
      <c r="D111" s="50"/>
      <c r="E111" s="50"/>
      <c r="F111" s="30"/>
      <c r="G111" s="51"/>
      <c r="H111" s="64" t="str">
        <f t="shared" si="2"/>
        <v/>
      </c>
      <c r="I111" s="30"/>
      <c r="J111" s="39"/>
    </row>
    <row r="112" spans="3:10" ht="14.25" x14ac:dyDescent="0.2">
      <c r="C112" s="30"/>
      <c r="D112" s="50"/>
      <c r="E112" s="50"/>
      <c r="F112" s="30"/>
      <c r="G112" s="51"/>
      <c r="H112" s="64" t="str">
        <f t="shared" si="2"/>
        <v/>
      </c>
      <c r="I112" s="30"/>
      <c r="J112" s="39"/>
    </row>
    <row r="113" spans="3:10" ht="14.25" x14ac:dyDescent="0.2">
      <c r="C113" s="30"/>
      <c r="D113" s="50"/>
      <c r="E113" s="50"/>
      <c r="F113" s="30"/>
      <c r="G113" s="51"/>
      <c r="H113" s="64" t="str">
        <f t="shared" si="2"/>
        <v/>
      </c>
      <c r="I113" s="30"/>
      <c r="J113" s="39"/>
    </row>
    <row r="114" spans="3:10" ht="14.25" x14ac:dyDescent="0.2">
      <c r="C114" s="30"/>
      <c r="D114" s="50"/>
      <c r="E114" s="50"/>
      <c r="F114" s="30"/>
      <c r="G114" s="51"/>
      <c r="H114" s="64" t="str">
        <f t="shared" si="2"/>
        <v/>
      </c>
      <c r="I114" s="30"/>
      <c r="J114" s="39"/>
    </row>
    <row r="115" spans="3:10" ht="14.25" x14ac:dyDescent="0.2">
      <c r="C115" s="30"/>
      <c r="D115" s="50"/>
      <c r="E115" s="50"/>
      <c r="F115" s="30"/>
      <c r="G115" s="51"/>
      <c r="H115" s="64" t="str">
        <f t="shared" si="2"/>
        <v/>
      </c>
      <c r="I115" s="30"/>
      <c r="J115" s="39"/>
    </row>
    <row r="116" spans="3:10" ht="14.25" x14ac:dyDescent="0.2">
      <c r="C116" s="30"/>
      <c r="D116" s="50"/>
      <c r="E116" s="50"/>
      <c r="F116" s="30"/>
      <c r="G116" s="51"/>
      <c r="H116" s="64" t="str">
        <f t="shared" si="2"/>
        <v/>
      </c>
      <c r="I116" s="30"/>
      <c r="J116" s="39"/>
    </row>
    <row r="117" spans="3:10" ht="14.25" x14ac:dyDescent="0.2">
      <c r="C117" s="30"/>
      <c r="D117" s="50"/>
      <c r="E117" s="50"/>
      <c r="F117" s="30"/>
      <c r="G117" s="51"/>
      <c r="H117" s="64" t="str">
        <f t="shared" si="2"/>
        <v/>
      </c>
      <c r="I117" s="30"/>
      <c r="J117" s="39"/>
    </row>
    <row r="118" spans="3:10" ht="14.25" x14ac:dyDescent="0.2">
      <c r="C118" s="30"/>
      <c r="D118" s="50"/>
      <c r="E118" s="50"/>
      <c r="F118" s="30"/>
      <c r="G118" s="51"/>
      <c r="H118" s="64" t="str">
        <f t="shared" si="2"/>
        <v/>
      </c>
      <c r="I118" s="30"/>
      <c r="J118" s="39"/>
    </row>
    <row r="119" spans="3:10" ht="14.25" x14ac:dyDescent="0.2">
      <c r="C119" s="30"/>
      <c r="D119" s="50"/>
      <c r="E119" s="50"/>
      <c r="F119" s="30"/>
      <c r="G119" s="51"/>
      <c r="H119" s="64" t="str">
        <f t="shared" si="2"/>
        <v/>
      </c>
      <c r="I119" s="30"/>
      <c r="J119" s="39"/>
    </row>
    <row r="120" spans="3:10" ht="14.25" x14ac:dyDescent="0.2">
      <c r="C120" s="30"/>
      <c r="D120" s="50"/>
      <c r="E120" s="50"/>
      <c r="F120" s="30"/>
      <c r="G120" s="51"/>
      <c r="H120" s="64" t="str">
        <f t="shared" si="2"/>
        <v/>
      </c>
      <c r="I120" s="30"/>
      <c r="J120" s="39"/>
    </row>
    <row r="121" spans="3:10" ht="14.25" x14ac:dyDescent="0.2">
      <c r="C121" s="30"/>
      <c r="D121" s="50"/>
      <c r="E121" s="50"/>
      <c r="F121" s="30"/>
      <c r="G121" s="51"/>
      <c r="H121" s="64" t="str">
        <f t="shared" si="2"/>
        <v/>
      </c>
      <c r="I121" s="30"/>
      <c r="J121" s="39"/>
    </row>
    <row r="122" spans="3:10" ht="14.25" x14ac:dyDescent="0.2">
      <c r="C122" s="30"/>
      <c r="D122" s="50"/>
      <c r="E122" s="50"/>
      <c r="F122" s="30"/>
      <c r="G122" s="51"/>
      <c r="H122" s="64" t="str">
        <f t="shared" si="2"/>
        <v/>
      </c>
      <c r="I122" s="30"/>
      <c r="J122" s="39"/>
    </row>
    <row r="123" spans="3:10" ht="14.25" x14ac:dyDescent="0.2">
      <c r="C123" s="30"/>
      <c r="D123" s="50"/>
      <c r="E123" s="50"/>
      <c r="F123" s="30"/>
      <c r="G123" s="51"/>
      <c r="H123" s="64" t="str">
        <f t="shared" si="2"/>
        <v/>
      </c>
      <c r="I123" s="30"/>
      <c r="J123" s="39"/>
    </row>
    <row r="124" spans="3:10" ht="14.25" x14ac:dyDescent="0.2">
      <c r="C124" s="30"/>
      <c r="D124" s="50"/>
      <c r="E124" s="50"/>
      <c r="F124" s="30"/>
      <c r="G124" s="51"/>
      <c r="H124" s="64" t="str">
        <f t="shared" si="2"/>
        <v/>
      </c>
      <c r="I124" s="30"/>
      <c r="J124" s="39"/>
    </row>
    <row r="125" spans="3:10" ht="14.25" x14ac:dyDescent="0.2">
      <c r="C125" s="30"/>
      <c r="D125" s="50"/>
      <c r="E125" s="50"/>
      <c r="F125" s="30"/>
      <c r="G125" s="51"/>
      <c r="H125" s="64" t="str">
        <f t="shared" si="2"/>
        <v/>
      </c>
      <c r="I125" s="30"/>
      <c r="J125" s="39"/>
    </row>
    <row r="126" spans="3:10" ht="14.25" x14ac:dyDescent="0.2">
      <c r="C126" s="30"/>
      <c r="D126" s="50"/>
      <c r="E126" s="50"/>
      <c r="F126" s="30"/>
      <c r="G126" s="51"/>
      <c r="H126" s="64" t="str">
        <f t="shared" si="2"/>
        <v/>
      </c>
      <c r="I126" s="30"/>
      <c r="J126" s="39"/>
    </row>
    <row r="127" spans="3:10" ht="14.25" x14ac:dyDescent="0.2">
      <c r="C127" s="30"/>
      <c r="D127" s="50"/>
      <c r="E127" s="50"/>
      <c r="F127" s="30"/>
      <c r="G127" s="51"/>
      <c r="H127" s="64" t="str">
        <f t="shared" si="2"/>
        <v/>
      </c>
      <c r="I127" s="30"/>
      <c r="J127" s="39"/>
    </row>
    <row r="128" spans="3:10" ht="14.25" x14ac:dyDescent="0.2">
      <c r="C128" s="30"/>
      <c r="D128" s="50"/>
      <c r="E128" s="50"/>
      <c r="F128" s="30"/>
      <c r="G128" s="51"/>
      <c r="H128" s="64" t="str">
        <f t="shared" si="2"/>
        <v/>
      </c>
      <c r="I128" s="30"/>
      <c r="J128" s="39"/>
    </row>
    <row r="129" spans="3:10" ht="14.25" x14ac:dyDescent="0.2">
      <c r="C129" s="30"/>
      <c r="D129" s="50"/>
      <c r="E129" s="50"/>
      <c r="F129" s="30"/>
      <c r="G129" s="51"/>
      <c r="H129" s="64" t="str">
        <f t="shared" si="2"/>
        <v/>
      </c>
      <c r="I129" s="30"/>
      <c r="J129" s="39"/>
    </row>
    <row r="130" spans="3:10" ht="14.25" x14ac:dyDescent="0.2">
      <c r="C130" s="30"/>
      <c r="D130" s="50"/>
      <c r="E130" s="50"/>
      <c r="F130" s="30"/>
      <c r="G130" s="51"/>
      <c r="H130" s="64" t="str">
        <f t="shared" si="2"/>
        <v/>
      </c>
      <c r="I130" s="30"/>
      <c r="J130" s="39"/>
    </row>
    <row r="131" spans="3:10" ht="14.25" x14ac:dyDescent="0.2">
      <c r="C131" s="30"/>
      <c r="D131" s="50"/>
      <c r="E131" s="50"/>
      <c r="F131" s="30"/>
      <c r="G131" s="51"/>
      <c r="H131" s="64" t="str">
        <f t="shared" si="2"/>
        <v/>
      </c>
      <c r="I131" s="30"/>
      <c r="J131" s="39"/>
    </row>
    <row r="132" spans="3:10" ht="14.25" x14ac:dyDescent="0.2">
      <c r="C132" s="30"/>
      <c r="D132" s="50"/>
      <c r="E132" s="50"/>
      <c r="F132" s="30"/>
      <c r="G132" s="51"/>
      <c r="H132" s="64" t="str">
        <f t="shared" si="2"/>
        <v/>
      </c>
      <c r="I132" s="30"/>
      <c r="J132" s="39"/>
    </row>
    <row r="133" spans="3:10" ht="14.25" x14ac:dyDescent="0.2">
      <c r="C133" s="30"/>
      <c r="D133" s="50"/>
      <c r="E133" s="50"/>
      <c r="F133" s="30"/>
      <c r="G133" s="51"/>
      <c r="H133" s="64" t="str">
        <f t="shared" si="2"/>
        <v/>
      </c>
      <c r="I133" s="30"/>
      <c r="J133" s="39"/>
    </row>
    <row r="134" spans="3:10" ht="14.25" x14ac:dyDescent="0.2">
      <c r="C134" s="30"/>
      <c r="D134" s="50"/>
      <c r="E134" s="50"/>
      <c r="F134" s="30"/>
      <c r="G134" s="51"/>
      <c r="H134" s="64" t="str">
        <f t="shared" si="2"/>
        <v/>
      </c>
      <c r="I134" s="30"/>
      <c r="J134" s="39"/>
    </row>
    <row r="135" spans="3:10" ht="14.25" x14ac:dyDescent="0.2">
      <c r="C135" s="30"/>
      <c r="D135" s="50"/>
      <c r="E135" s="50"/>
      <c r="F135" s="30"/>
      <c r="G135" s="51"/>
      <c r="H135" s="64" t="str">
        <f t="shared" si="2"/>
        <v/>
      </c>
      <c r="I135" s="30"/>
      <c r="J135" s="39"/>
    </row>
    <row r="136" spans="3:10" ht="14.25" x14ac:dyDescent="0.2">
      <c r="C136" s="30"/>
      <c r="D136" s="50"/>
      <c r="E136" s="50"/>
      <c r="F136" s="30"/>
      <c r="G136" s="51"/>
      <c r="H136" s="64" t="str">
        <f t="shared" si="2"/>
        <v/>
      </c>
      <c r="I136" s="30"/>
      <c r="J136" s="39"/>
    </row>
    <row r="137" spans="3:10" ht="14.25" x14ac:dyDescent="0.2">
      <c r="C137" s="30"/>
      <c r="D137" s="50"/>
      <c r="E137" s="50"/>
      <c r="F137" s="30"/>
      <c r="G137" s="51"/>
      <c r="H137" s="64" t="str">
        <f t="shared" si="2"/>
        <v/>
      </c>
      <c r="I137" s="30"/>
      <c r="J137" s="39"/>
    </row>
    <row r="138" spans="3:10" ht="14.25" x14ac:dyDescent="0.2">
      <c r="C138" s="30"/>
      <c r="D138" s="50"/>
      <c r="E138" s="50"/>
      <c r="F138" s="30"/>
      <c r="G138" s="51"/>
      <c r="H138" s="64" t="str">
        <f t="shared" ref="H138:H201" si="3">IF(G138="","",ROUND(G138*DT,0))</f>
        <v/>
      </c>
      <c r="I138" s="30"/>
      <c r="J138" s="39"/>
    </row>
    <row r="139" spans="3:10" ht="14.25" x14ac:dyDescent="0.2">
      <c r="C139" s="30"/>
      <c r="D139" s="50"/>
      <c r="E139" s="50"/>
      <c r="F139" s="30"/>
      <c r="G139" s="51"/>
      <c r="H139" s="64" t="str">
        <f t="shared" si="3"/>
        <v/>
      </c>
      <c r="I139" s="30"/>
      <c r="J139" s="39"/>
    </row>
    <row r="140" spans="3:10" ht="14.25" x14ac:dyDescent="0.2">
      <c r="C140" s="30"/>
      <c r="D140" s="50"/>
      <c r="E140" s="50"/>
      <c r="F140" s="30"/>
      <c r="G140" s="51"/>
      <c r="H140" s="64" t="str">
        <f t="shared" si="3"/>
        <v/>
      </c>
      <c r="I140" s="30"/>
      <c r="J140" s="39"/>
    </row>
    <row r="141" spans="3:10" ht="14.25" x14ac:dyDescent="0.2">
      <c r="C141" s="30"/>
      <c r="D141" s="50"/>
      <c r="E141" s="50"/>
      <c r="F141" s="30"/>
      <c r="G141" s="51"/>
      <c r="H141" s="64" t="str">
        <f t="shared" si="3"/>
        <v/>
      </c>
      <c r="I141" s="30"/>
      <c r="J141" s="39"/>
    </row>
    <row r="142" spans="3:10" ht="14.25" x14ac:dyDescent="0.2">
      <c r="C142" s="30"/>
      <c r="D142" s="50"/>
      <c r="E142" s="50"/>
      <c r="F142" s="30"/>
      <c r="G142" s="51"/>
      <c r="H142" s="64" t="str">
        <f t="shared" si="3"/>
        <v/>
      </c>
      <c r="I142" s="30"/>
      <c r="J142" s="39"/>
    </row>
    <row r="143" spans="3:10" ht="14.25" x14ac:dyDescent="0.2">
      <c r="C143" s="30"/>
      <c r="D143" s="50"/>
      <c r="E143" s="50"/>
      <c r="F143" s="30"/>
      <c r="G143" s="51"/>
      <c r="H143" s="64" t="str">
        <f t="shared" si="3"/>
        <v/>
      </c>
      <c r="I143" s="30"/>
      <c r="J143" s="39"/>
    </row>
    <row r="144" spans="3:10" ht="14.25" x14ac:dyDescent="0.2">
      <c r="C144" s="30"/>
      <c r="D144" s="50"/>
      <c r="E144" s="50"/>
      <c r="F144" s="30"/>
      <c r="G144" s="51"/>
      <c r="H144" s="64" t="str">
        <f t="shared" si="3"/>
        <v/>
      </c>
      <c r="I144" s="30"/>
      <c r="J144" s="39"/>
    </row>
    <row r="145" spans="3:10" ht="14.25" x14ac:dyDescent="0.2">
      <c r="C145" s="30"/>
      <c r="D145" s="50"/>
      <c r="E145" s="50"/>
      <c r="F145" s="30"/>
      <c r="G145" s="51"/>
      <c r="H145" s="64" t="str">
        <f t="shared" si="3"/>
        <v/>
      </c>
      <c r="I145" s="30"/>
      <c r="J145" s="39"/>
    </row>
    <row r="146" spans="3:10" ht="14.25" x14ac:dyDescent="0.2">
      <c r="C146" s="30"/>
      <c r="D146" s="50"/>
      <c r="E146" s="50"/>
      <c r="F146" s="30"/>
      <c r="G146" s="51"/>
      <c r="H146" s="64" t="str">
        <f t="shared" si="3"/>
        <v/>
      </c>
      <c r="I146" s="30"/>
      <c r="J146" s="39"/>
    </row>
    <row r="147" spans="3:10" ht="14.25" x14ac:dyDescent="0.2">
      <c r="C147" s="30"/>
      <c r="D147" s="50"/>
      <c r="E147" s="50"/>
      <c r="F147" s="30"/>
      <c r="G147" s="51"/>
      <c r="H147" s="64" t="str">
        <f t="shared" si="3"/>
        <v/>
      </c>
      <c r="I147" s="30"/>
      <c r="J147" s="39"/>
    </row>
    <row r="148" spans="3:10" ht="14.25" x14ac:dyDescent="0.2">
      <c r="C148" s="30"/>
      <c r="D148" s="50"/>
      <c r="E148" s="50"/>
      <c r="F148" s="30"/>
      <c r="G148" s="51"/>
      <c r="H148" s="64" t="str">
        <f t="shared" si="3"/>
        <v/>
      </c>
      <c r="I148" s="30"/>
      <c r="J148" s="39"/>
    </row>
    <row r="149" spans="3:10" ht="14.25" x14ac:dyDescent="0.2">
      <c r="C149" s="30"/>
      <c r="D149" s="50"/>
      <c r="E149" s="50"/>
      <c r="F149" s="30"/>
      <c r="G149" s="51"/>
      <c r="H149" s="64" t="str">
        <f t="shared" si="3"/>
        <v/>
      </c>
      <c r="I149" s="30"/>
      <c r="J149" s="39"/>
    </row>
    <row r="150" spans="3:10" ht="14.25" x14ac:dyDescent="0.2">
      <c r="C150" s="30"/>
      <c r="D150" s="50"/>
      <c r="E150" s="50"/>
      <c r="F150" s="30"/>
      <c r="G150" s="51"/>
      <c r="H150" s="64" t="str">
        <f t="shared" si="3"/>
        <v/>
      </c>
      <c r="I150" s="30"/>
      <c r="J150" s="39"/>
    </row>
    <row r="151" spans="3:10" ht="14.25" x14ac:dyDescent="0.2">
      <c r="C151" s="30"/>
      <c r="D151" s="50"/>
      <c r="E151" s="50"/>
      <c r="F151" s="30"/>
      <c r="G151" s="51"/>
      <c r="H151" s="64" t="str">
        <f t="shared" si="3"/>
        <v/>
      </c>
      <c r="I151" s="30"/>
      <c r="J151" s="39"/>
    </row>
    <row r="152" spans="3:10" ht="14.25" x14ac:dyDescent="0.2">
      <c r="C152" s="30"/>
      <c r="D152" s="50"/>
      <c r="E152" s="50"/>
      <c r="F152" s="30"/>
      <c r="G152" s="51"/>
      <c r="H152" s="64" t="str">
        <f t="shared" si="3"/>
        <v/>
      </c>
      <c r="I152" s="30"/>
      <c r="J152" s="39"/>
    </row>
    <row r="153" spans="3:10" ht="14.25" x14ac:dyDescent="0.2">
      <c r="C153" s="30"/>
      <c r="D153" s="50"/>
      <c r="E153" s="50"/>
      <c r="F153" s="30"/>
      <c r="G153" s="51"/>
      <c r="H153" s="64" t="str">
        <f t="shared" si="3"/>
        <v/>
      </c>
      <c r="I153" s="30"/>
      <c r="J153" s="39"/>
    </row>
    <row r="154" spans="3:10" ht="14.25" x14ac:dyDescent="0.2">
      <c r="C154" s="30"/>
      <c r="D154" s="50"/>
      <c r="E154" s="50"/>
      <c r="F154" s="30"/>
      <c r="G154" s="51"/>
      <c r="H154" s="64" t="str">
        <f t="shared" si="3"/>
        <v/>
      </c>
      <c r="I154" s="30"/>
      <c r="J154" s="39"/>
    </row>
    <row r="155" spans="3:10" ht="14.25" x14ac:dyDescent="0.2">
      <c r="C155" s="30"/>
      <c r="D155" s="50"/>
      <c r="E155" s="50"/>
      <c r="F155" s="30"/>
      <c r="G155" s="51"/>
      <c r="H155" s="64" t="str">
        <f t="shared" si="3"/>
        <v/>
      </c>
      <c r="I155" s="30"/>
      <c r="J155" s="39"/>
    </row>
    <row r="156" spans="3:10" ht="14.25" x14ac:dyDescent="0.2">
      <c r="C156" s="30"/>
      <c r="D156" s="50"/>
      <c r="E156" s="50"/>
      <c r="F156" s="30"/>
      <c r="G156" s="51"/>
      <c r="H156" s="64" t="str">
        <f t="shared" si="3"/>
        <v/>
      </c>
      <c r="I156" s="30"/>
      <c r="J156" s="39"/>
    </row>
    <row r="157" spans="3:10" ht="14.25" x14ac:dyDescent="0.2">
      <c r="C157" s="30"/>
      <c r="D157" s="50"/>
      <c r="E157" s="50"/>
      <c r="F157" s="30"/>
      <c r="G157" s="51"/>
      <c r="H157" s="64" t="str">
        <f t="shared" si="3"/>
        <v/>
      </c>
      <c r="I157" s="30"/>
      <c r="J157" s="39"/>
    </row>
    <row r="158" spans="3:10" ht="14.25" x14ac:dyDescent="0.2">
      <c r="C158" s="30"/>
      <c r="D158" s="50"/>
      <c r="E158" s="50"/>
      <c r="F158" s="30"/>
      <c r="G158" s="51"/>
      <c r="H158" s="64" t="str">
        <f t="shared" si="3"/>
        <v/>
      </c>
      <c r="I158" s="30"/>
      <c r="J158" s="39"/>
    </row>
    <row r="159" spans="3:10" ht="14.25" x14ac:dyDescent="0.2">
      <c r="C159" s="30"/>
      <c r="D159" s="50"/>
      <c r="E159" s="50"/>
      <c r="F159" s="30"/>
      <c r="G159" s="51"/>
      <c r="H159" s="64" t="str">
        <f t="shared" si="3"/>
        <v/>
      </c>
      <c r="I159" s="30"/>
      <c r="J159" s="39"/>
    </row>
    <row r="160" spans="3:10" ht="14.25" x14ac:dyDescent="0.2">
      <c r="C160" s="30"/>
      <c r="D160" s="50"/>
      <c r="E160" s="50"/>
      <c r="F160" s="30"/>
      <c r="G160" s="51"/>
      <c r="H160" s="64" t="str">
        <f t="shared" si="3"/>
        <v/>
      </c>
      <c r="I160" s="30"/>
      <c r="J160" s="39"/>
    </row>
    <row r="161" spans="3:10" ht="14.25" x14ac:dyDescent="0.2">
      <c r="C161" s="30"/>
      <c r="D161" s="50"/>
      <c r="E161" s="50"/>
      <c r="F161" s="30"/>
      <c r="G161" s="51"/>
      <c r="H161" s="64" t="str">
        <f t="shared" si="3"/>
        <v/>
      </c>
      <c r="I161" s="30"/>
      <c r="J161" s="39"/>
    </row>
    <row r="162" spans="3:10" ht="14.25" x14ac:dyDescent="0.2">
      <c r="C162" s="30"/>
      <c r="D162" s="50"/>
      <c r="E162" s="50"/>
      <c r="F162" s="30"/>
      <c r="G162" s="51"/>
      <c r="H162" s="64" t="str">
        <f t="shared" si="3"/>
        <v/>
      </c>
      <c r="I162" s="30"/>
      <c r="J162" s="39"/>
    </row>
    <row r="163" spans="3:10" ht="14.25" x14ac:dyDescent="0.2">
      <c r="C163" s="30"/>
      <c r="D163" s="50"/>
      <c r="E163" s="50"/>
      <c r="F163" s="30"/>
      <c r="G163" s="51"/>
      <c r="H163" s="64" t="str">
        <f t="shared" si="3"/>
        <v/>
      </c>
      <c r="I163" s="30"/>
      <c r="J163" s="39"/>
    </row>
    <row r="164" spans="3:10" ht="14.25" x14ac:dyDescent="0.2">
      <c r="C164" s="30"/>
      <c r="D164" s="50"/>
      <c r="E164" s="50"/>
      <c r="F164" s="30"/>
      <c r="G164" s="51"/>
      <c r="H164" s="64" t="str">
        <f t="shared" si="3"/>
        <v/>
      </c>
      <c r="I164" s="30"/>
      <c r="J164" s="39"/>
    </row>
    <row r="165" spans="3:10" ht="14.25" x14ac:dyDescent="0.2">
      <c r="C165" s="30"/>
      <c r="D165" s="50"/>
      <c r="E165" s="50"/>
      <c r="F165" s="30"/>
      <c r="G165" s="51"/>
      <c r="H165" s="64" t="str">
        <f t="shared" si="3"/>
        <v/>
      </c>
      <c r="I165" s="30"/>
      <c r="J165" s="39"/>
    </row>
    <row r="166" spans="3:10" ht="14.25" x14ac:dyDescent="0.2">
      <c r="C166" s="30"/>
      <c r="D166" s="50"/>
      <c r="E166" s="50"/>
      <c r="F166" s="30"/>
      <c r="G166" s="51"/>
      <c r="H166" s="64" t="str">
        <f t="shared" si="3"/>
        <v/>
      </c>
      <c r="I166" s="30"/>
      <c r="J166" s="39"/>
    </row>
    <row r="167" spans="3:10" ht="14.25" x14ac:dyDescent="0.2">
      <c r="C167" s="30"/>
      <c r="D167" s="50"/>
      <c r="E167" s="50"/>
      <c r="F167" s="30"/>
      <c r="G167" s="51"/>
      <c r="H167" s="64" t="str">
        <f t="shared" si="3"/>
        <v/>
      </c>
      <c r="I167" s="30"/>
      <c r="J167" s="39"/>
    </row>
    <row r="168" spans="3:10" ht="14.25" x14ac:dyDescent="0.2">
      <c r="C168" s="30"/>
      <c r="D168" s="50"/>
      <c r="E168" s="50"/>
      <c r="F168" s="30"/>
      <c r="G168" s="51"/>
      <c r="H168" s="64" t="str">
        <f t="shared" si="3"/>
        <v/>
      </c>
      <c r="I168" s="30"/>
      <c r="J168" s="39"/>
    </row>
    <row r="169" spans="3:10" ht="14.25" x14ac:dyDescent="0.2">
      <c r="C169" s="30"/>
      <c r="D169" s="50"/>
      <c r="E169" s="50"/>
      <c r="F169" s="30"/>
      <c r="G169" s="51"/>
      <c r="H169" s="64" t="str">
        <f t="shared" si="3"/>
        <v/>
      </c>
      <c r="I169" s="30"/>
      <c r="J169" s="39"/>
    </row>
    <row r="170" spans="3:10" ht="14.25" x14ac:dyDescent="0.2">
      <c r="C170" s="30"/>
      <c r="D170" s="50"/>
      <c r="E170" s="50"/>
      <c r="F170" s="30"/>
      <c r="G170" s="51"/>
      <c r="H170" s="64" t="str">
        <f t="shared" si="3"/>
        <v/>
      </c>
      <c r="I170" s="30"/>
      <c r="J170" s="39"/>
    </row>
    <row r="171" spans="3:10" ht="14.25" x14ac:dyDescent="0.2">
      <c r="C171" s="30"/>
      <c r="D171" s="50"/>
      <c r="E171" s="50"/>
      <c r="F171" s="30"/>
      <c r="G171" s="51"/>
      <c r="H171" s="64" t="str">
        <f t="shared" si="3"/>
        <v/>
      </c>
      <c r="I171" s="30"/>
      <c r="J171" s="39"/>
    </row>
    <row r="172" spans="3:10" ht="14.25" x14ac:dyDescent="0.2">
      <c r="C172" s="30"/>
      <c r="D172" s="50"/>
      <c r="E172" s="50"/>
      <c r="F172" s="30"/>
      <c r="G172" s="51"/>
      <c r="H172" s="64" t="str">
        <f t="shared" si="3"/>
        <v/>
      </c>
      <c r="I172" s="30"/>
      <c r="J172" s="39"/>
    </row>
    <row r="173" spans="3:10" ht="14.25" x14ac:dyDescent="0.2">
      <c r="C173" s="30"/>
      <c r="D173" s="50"/>
      <c r="E173" s="50"/>
      <c r="F173" s="30"/>
      <c r="G173" s="51"/>
      <c r="H173" s="64" t="str">
        <f t="shared" si="3"/>
        <v/>
      </c>
      <c r="I173" s="30"/>
      <c r="J173" s="39"/>
    </row>
    <row r="174" spans="3:10" ht="14.25" x14ac:dyDescent="0.2">
      <c r="C174" s="30"/>
      <c r="D174" s="50"/>
      <c r="E174" s="50"/>
      <c r="F174" s="30"/>
      <c r="G174" s="51"/>
      <c r="H174" s="64" t="str">
        <f t="shared" si="3"/>
        <v/>
      </c>
      <c r="I174" s="30"/>
      <c r="J174" s="39"/>
    </row>
    <row r="175" spans="3:10" ht="14.25" x14ac:dyDescent="0.2">
      <c r="C175" s="30"/>
      <c r="D175" s="50"/>
      <c r="E175" s="50"/>
      <c r="F175" s="30"/>
      <c r="G175" s="51"/>
      <c r="H175" s="64" t="str">
        <f t="shared" si="3"/>
        <v/>
      </c>
      <c r="I175" s="30"/>
      <c r="J175" s="39"/>
    </row>
    <row r="176" spans="3:10" ht="14.25" x14ac:dyDescent="0.2">
      <c r="C176" s="30"/>
      <c r="D176" s="50"/>
      <c r="E176" s="50"/>
      <c r="F176" s="30"/>
      <c r="G176" s="51"/>
      <c r="H176" s="64" t="str">
        <f t="shared" si="3"/>
        <v/>
      </c>
      <c r="I176" s="30"/>
      <c r="J176" s="39"/>
    </row>
    <row r="177" spans="3:10" ht="14.25" x14ac:dyDescent="0.2">
      <c r="C177" s="30"/>
      <c r="D177" s="50"/>
      <c r="E177" s="50"/>
      <c r="F177" s="30"/>
      <c r="G177" s="51"/>
      <c r="H177" s="64" t="str">
        <f t="shared" si="3"/>
        <v/>
      </c>
      <c r="I177" s="30"/>
      <c r="J177" s="39"/>
    </row>
    <row r="178" spans="3:10" ht="14.25" x14ac:dyDescent="0.2">
      <c r="C178" s="30"/>
      <c r="D178" s="50"/>
      <c r="E178" s="50"/>
      <c r="F178" s="30"/>
      <c r="G178" s="51"/>
      <c r="H178" s="64" t="str">
        <f t="shared" si="3"/>
        <v/>
      </c>
      <c r="I178" s="30"/>
      <c r="J178" s="39"/>
    </row>
    <row r="179" spans="3:10" ht="14.25" x14ac:dyDescent="0.2">
      <c r="C179" s="30"/>
      <c r="D179" s="50"/>
      <c r="E179" s="50"/>
      <c r="F179" s="30"/>
      <c r="G179" s="51"/>
      <c r="H179" s="64" t="str">
        <f t="shared" si="3"/>
        <v/>
      </c>
      <c r="I179" s="30"/>
      <c r="J179" s="39"/>
    </row>
    <row r="180" spans="3:10" ht="14.25" x14ac:dyDescent="0.2">
      <c r="C180" s="30"/>
      <c r="D180" s="50"/>
      <c r="E180" s="50"/>
      <c r="F180" s="30"/>
      <c r="G180" s="51"/>
      <c r="H180" s="64" t="str">
        <f t="shared" si="3"/>
        <v/>
      </c>
      <c r="I180" s="30"/>
      <c r="J180" s="39"/>
    </row>
    <row r="181" spans="3:10" ht="14.25" x14ac:dyDescent="0.2">
      <c r="C181" s="30"/>
      <c r="D181" s="50"/>
      <c r="E181" s="50"/>
      <c r="F181" s="30"/>
      <c r="G181" s="51"/>
      <c r="H181" s="64" t="str">
        <f t="shared" si="3"/>
        <v/>
      </c>
      <c r="I181" s="30"/>
      <c r="J181" s="39"/>
    </row>
    <row r="182" spans="3:10" ht="14.25" x14ac:dyDescent="0.2">
      <c r="C182" s="30"/>
      <c r="D182" s="50"/>
      <c r="E182" s="50"/>
      <c r="F182" s="30"/>
      <c r="G182" s="51"/>
      <c r="H182" s="64" t="str">
        <f t="shared" si="3"/>
        <v/>
      </c>
      <c r="I182" s="30"/>
      <c r="J182" s="39"/>
    </row>
    <row r="183" spans="3:10" ht="14.25" x14ac:dyDescent="0.2">
      <c r="C183" s="30"/>
      <c r="D183" s="50"/>
      <c r="E183" s="50"/>
      <c r="F183" s="30"/>
      <c r="G183" s="51"/>
      <c r="H183" s="64" t="str">
        <f t="shared" si="3"/>
        <v/>
      </c>
      <c r="I183" s="30"/>
      <c r="J183" s="39"/>
    </row>
    <row r="184" spans="3:10" ht="14.25" x14ac:dyDescent="0.2">
      <c r="C184" s="30"/>
      <c r="D184" s="50"/>
      <c r="E184" s="50"/>
      <c r="F184" s="30"/>
      <c r="G184" s="51"/>
      <c r="H184" s="64" t="str">
        <f t="shared" si="3"/>
        <v/>
      </c>
      <c r="I184" s="30"/>
      <c r="J184" s="39"/>
    </row>
    <row r="185" spans="3:10" ht="14.25" x14ac:dyDescent="0.2">
      <c r="C185" s="30"/>
      <c r="D185" s="50"/>
      <c r="E185" s="50"/>
      <c r="F185" s="30"/>
      <c r="G185" s="51"/>
      <c r="H185" s="64" t="str">
        <f t="shared" si="3"/>
        <v/>
      </c>
      <c r="I185" s="30"/>
      <c r="J185" s="39"/>
    </row>
    <row r="186" spans="3:10" ht="14.25" x14ac:dyDescent="0.2">
      <c r="C186" s="30"/>
      <c r="D186" s="50"/>
      <c r="E186" s="50"/>
      <c r="F186" s="30"/>
      <c r="G186" s="51"/>
      <c r="H186" s="64" t="str">
        <f t="shared" si="3"/>
        <v/>
      </c>
      <c r="I186" s="30"/>
      <c r="J186" s="39"/>
    </row>
    <row r="187" spans="3:10" ht="14.25" x14ac:dyDescent="0.2">
      <c r="C187" s="30"/>
      <c r="D187" s="50"/>
      <c r="E187" s="50"/>
      <c r="F187" s="30"/>
      <c r="G187" s="51"/>
      <c r="H187" s="64" t="str">
        <f t="shared" si="3"/>
        <v/>
      </c>
      <c r="I187" s="30"/>
      <c r="J187" s="39"/>
    </row>
    <row r="188" spans="3:10" ht="14.25" x14ac:dyDescent="0.2">
      <c r="C188" s="30"/>
      <c r="D188" s="50"/>
      <c r="E188" s="50"/>
      <c r="F188" s="30"/>
      <c r="G188" s="51"/>
      <c r="H188" s="64" t="str">
        <f t="shared" si="3"/>
        <v/>
      </c>
      <c r="I188" s="30"/>
      <c r="J188" s="39"/>
    </row>
    <row r="189" spans="3:10" ht="14.25" x14ac:dyDescent="0.2">
      <c r="C189" s="30"/>
      <c r="D189" s="50"/>
      <c r="E189" s="50"/>
      <c r="F189" s="30"/>
      <c r="G189" s="51"/>
      <c r="H189" s="64" t="str">
        <f t="shared" si="3"/>
        <v/>
      </c>
      <c r="I189" s="30"/>
      <c r="J189" s="39"/>
    </row>
    <row r="190" spans="3:10" ht="14.25" x14ac:dyDescent="0.2">
      <c r="C190" s="30"/>
      <c r="D190" s="50"/>
      <c r="E190" s="50"/>
      <c r="F190" s="30"/>
      <c r="G190" s="51"/>
      <c r="H190" s="64" t="str">
        <f t="shared" si="3"/>
        <v/>
      </c>
      <c r="I190" s="30"/>
      <c r="J190" s="39"/>
    </row>
    <row r="191" spans="3:10" ht="14.25" x14ac:dyDescent="0.2">
      <c r="C191" s="30"/>
      <c r="D191" s="50"/>
      <c r="E191" s="50"/>
      <c r="F191" s="30"/>
      <c r="G191" s="51"/>
      <c r="H191" s="64" t="str">
        <f t="shared" si="3"/>
        <v/>
      </c>
      <c r="I191" s="30"/>
      <c r="J191" s="39"/>
    </row>
    <row r="192" spans="3:10" ht="14.25" x14ac:dyDescent="0.2">
      <c r="C192" s="30"/>
      <c r="D192" s="50"/>
      <c r="E192" s="50"/>
      <c r="F192" s="30"/>
      <c r="G192" s="51"/>
      <c r="H192" s="64" t="str">
        <f t="shared" si="3"/>
        <v/>
      </c>
      <c r="I192" s="30"/>
      <c r="J192" s="39"/>
    </row>
    <row r="193" spans="3:10" ht="14.25" x14ac:dyDescent="0.2">
      <c r="C193" s="30"/>
      <c r="D193" s="50"/>
      <c r="E193" s="50"/>
      <c r="F193" s="30"/>
      <c r="G193" s="51"/>
      <c r="H193" s="64" t="str">
        <f t="shared" si="3"/>
        <v/>
      </c>
      <c r="I193" s="30"/>
      <c r="J193" s="39"/>
    </row>
    <row r="194" spans="3:10" ht="14.25" x14ac:dyDescent="0.2">
      <c r="C194" s="30"/>
      <c r="D194" s="50"/>
      <c r="E194" s="50"/>
      <c r="F194" s="30"/>
      <c r="G194" s="51"/>
      <c r="H194" s="64" t="str">
        <f t="shared" si="3"/>
        <v/>
      </c>
      <c r="I194" s="30"/>
      <c r="J194" s="39"/>
    </row>
    <row r="195" spans="3:10" ht="14.25" x14ac:dyDescent="0.2">
      <c r="C195" s="30"/>
      <c r="D195" s="50"/>
      <c r="E195" s="50"/>
      <c r="F195" s="30"/>
      <c r="G195" s="51"/>
      <c r="H195" s="64" t="str">
        <f t="shared" si="3"/>
        <v/>
      </c>
      <c r="I195" s="30"/>
      <c r="J195" s="39"/>
    </row>
    <row r="196" spans="3:10" ht="14.25" x14ac:dyDescent="0.2">
      <c r="C196" s="30"/>
      <c r="D196" s="50"/>
      <c r="E196" s="50"/>
      <c r="F196" s="30"/>
      <c r="G196" s="51"/>
      <c r="H196" s="64" t="str">
        <f t="shared" si="3"/>
        <v/>
      </c>
      <c r="I196" s="30"/>
      <c r="J196" s="39"/>
    </row>
    <row r="197" spans="3:10" ht="14.25" x14ac:dyDescent="0.2">
      <c r="C197" s="30"/>
      <c r="D197" s="50"/>
      <c r="E197" s="50"/>
      <c r="F197" s="30"/>
      <c r="G197" s="51"/>
      <c r="H197" s="64" t="str">
        <f t="shared" si="3"/>
        <v/>
      </c>
      <c r="I197" s="30"/>
      <c r="J197" s="39"/>
    </row>
    <row r="198" spans="3:10" ht="14.25" x14ac:dyDescent="0.2">
      <c r="C198" s="30"/>
      <c r="D198" s="50"/>
      <c r="E198" s="50"/>
      <c r="F198" s="30"/>
      <c r="G198" s="51"/>
      <c r="H198" s="64" t="str">
        <f t="shared" si="3"/>
        <v/>
      </c>
      <c r="I198" s="30"/>
      <c r="J198" s="39"/>
    </row>
    <row r="199" spans="3:10" ht="14.25" x14ac:dyDescent="0.2">
      <c r="C199" s="30"/>
      <c r="D199" s="50"/>
      <c r="E199" s="50"/>
      <c r="F199" s="30"/>
      <c r="G199" s="51"/>
      <c r="H199" s="64" t="str">
        <f t="shared" si="3"/>
        <v/>
      </c>
      <c r="I199" s="30"/>
      <c r="J199" s="39"/>
    </row>
    <row r="200" spans="3:10" ht="14.25" x14ac:dyDescent="0.2">
      <c r="C200" s="30"/>
      <c r="D200" s="50"/>
      <c r="E200" s="50"/>
      <c r="F200" s="30"/>
      <c r="G200" s="51"/>
      <c r="H200" s="64" t="str">
        <f t="shared" si="3"/>
        <v/>
      </c>
      <c r="I200" s="30"/>
      <c r="J200" s="39"/>
    </row>
    <row r="201" spans="3:10" ht="14.25" x14ac:dyDescent="0.2">
      <c r="C201" s="30"/>
      <c r="D201" s="50"/>
      <c r="E201" s="50"/>
      <c r="F201" s="30"/>
      <c r="G201" s="51"/>
      <c r="H201" s="64" t="str">
        <f t="shared" si="3"/>
        <v/>
      </c>
      <c r="I201" s="30"/>
      <c r="J201" s="39"/>
    </row>
    <row r="202" spans="3:10" ht="14.25" x14ac:dyDescent="0.2">
      <c r="C202" s="30"/>
      <c r="D202" s="50"/>
      <c r="E202" s="50"/>
      <c r="F202" s="30"/>
      <c r="G202" s="51"/>
      <c r="H202" s="64" t="str">
        <f t="shared" ref="H202:H212" si="4">IF(G202="","",ROUND(G202*DT,0))</f>
        <v/>
      </c>
      <c r="I202" s="30"/>
      <c r="J202" s="39"/>
    </row>
    <row r="203" spans="3:10" ht="14.25" x14ac:dyDescent="0.2">
      <c r="C203" s="30"/>
      <c r="D203" s="50"/>
      <c r="E203" s="50"/>
      <c r="F203" s="30"/>
      <c r="G203" s="51"/>
      <c r="H203" s="64" t="str">
        <f t="shared" si="4"/>
        <v/>
      </c>
      <c r="I203" s="30"/>
      <c r="J203" s="39"/>
    </row>
    <row r="204" spans="3:10" ht="14.25" x14ac:dyDescent="0.2">
      <c r="C204" s="30"/>
      <c r="D204" s="50"/>
      <c r="E204" s="50"/>
      <c r="F204" s="30"/>
      <c r="G204" s="51"/>
      <c r="H204" s="64" t="str">
        <f t="shared" si="4"/>
        <v/>
      </c>
      <c r="I204" s="30"/>
      <c r="J204" s="39"/>
    </row>
    <row r="205" spans="3:10" ht="14.25" x14ac:dyDescent="0.2">
      <c r="C205" s="30"/>
      <c r="D205" s="50"/>
      <c r="E205" s="50"/>
      <c r="F205" s="30"/>
      <c r="G205" s="51"/>
      <c r="H205" s="64" t="str">
        <f t="shared" si="4"/>
        <v/>
      </c>
      <c r="I205" s="30"/>
      <c r="J205" s="39"/>
    </row>
    <row r="206" spans="3:10" ht="14.25" x14ac:dyDescent="0.2">
      <c r="C206" s="30"/>
      <c r="D206" s="50"/>
      <c r="E206" s="50"/>
      <c r="F206" s="30"/>
      <c r="G206" s="51"/>
      <c r="H206" s="64" t="str">
        <f t="shared" si="4"/>
        <v/>
      </c>
      <c r="I206" s="30"/>
      <c r="J206" s="39"/>
    </row>
    <row r="207" spans="3:10" ht="14.25" x14ac:dyDescent="0.2">
      <c r="C207" s="30"/>
      <c r="D207" s="50"/>
      <c r="E207" s="50"/>
      <c r="F207" s="30"/>
      <c r="G207" s="51"/>
      <c r="H207" s="64" t="str">
        <f t="shared" si="4"/>
        <v/>
      </c>
      <c r="I207" s="30"/>
      <c r="J207" s="39"/>
    </row>
    <row r="208" spans="3:10" ht="14.25" x14ac:dyDescent="0.2">
      <c r="C208" s="30"/>
      <c r="D208" s="50"/>
      <c r="E208" s="50"/>
      <c r="F208" s="30"/>
      <c r="G208" s="51"/>
      <c r="H208" s="64" t="str">
        <f t="shared" si="4"/>
        <v/>
      </c>
      <c r="I208" s="30"/>
      <c r="J208" s="39"/>
    </row>
    <row r="209" spans="3:10" ht="14.25" x14ac:dyDescent="0.2">
      <c r="C209" s="30"/>
      <c r="D209" s="50"/>
      <c r="E209" s="50"/>
      <c r="F209" s="30"/>
      <c r="G209" s="51"/>
      <c r="H209" s="64" t="str">
        <f t="shared" si="4"/>
        <v/>
      </c>
      <c r="I209" s="30"/>
      <c r="J209" s="39"/>
    </row>
    <row r="210" spans="3:10" ht="14.25" x14ac:dyDescent="0.2">
      <c r="C210" s="30"/>
      <c r="D210" s="50"/>
      <c r="E210" s="50"/>
      <c r="F210" s="30"/>
      <c r="G210" s="51"/>
      <c r="H210" s="64" t="str">
        <f t="shared" si="4"/>
        <v/>
      </c>
      <c r="I210" s="30"/>
      <c r="J210" s="39"/>
    </row>
    <row r="211" spans="3:10" ht="14.25" x14ac:dyDescent="0.2">
      <c r="C211" s="30"/>
      <c r="D211" s="50"/>
      <c r="E211" s="50"/>
      <c r="F211" s="30"/>
      <c r="G211" s="51"/>
      <c r="H211" s="64" t="str">
        <f t="shared" si="4"/>
        <v/>
      </c>
      <c r="I211" s="30"/>
      <c r="J211" s="39"/>
    </row>
    <row r="212" spans="3:10" ht="14.25" x14ac:dyDescent="0.2">
      <c r="C212" s="30"/>
      <c r="D212" s="50"/>
      <c r="E212" s="50"/>
      <c r="F212" s="30"/>
      <c r="G212" s="51"/>
      <c r="H212" s="64" t="str">
        <f t="shared" si="4"/>
        <v/>
      </c>
      <c r="I212" s="30"/>
      <c r="J212" s="39"/>
    </row>
    <row r="213" spans="3:10" ht="14.25" x14ac:dyDescent="0.2">
      <c r="C213" s="66"/>
      <c r="D213" s="66" t="s">
        <v>108</v>
      </c>
      <c r="E213" s="66"/>
      <c r="F213" s="66"/>
      <c r="G213" s="66"/>
      <c r="H213" s="66"/>
      <c r="I213" s="66"/>
      <c r="J213" s="67"/>
    </row>
  </sheetData>
  <sheetProtection selectLockedCells="1"/>
  <dataConsolidate/>
  <dataValidations count="2">
    <dataValidation type="list" allowBlank="1" showInputMessage="1" showErrorMessage="1" errorTitle="Netting Set no Existe" error="Primero debes especificar un Netting Set a la izquierda antes de asignarlo a una operación." sqref="D10:D13">
      <formula1>INDIRECT($F$4)</formula1>
    </dataValidation>
    <dataValidation type="decimal" allowBlank="1" showInputMessage="1" showErrorMessage="1" errorTitle="Percentil" error="El valor debe estar entre 0% y 100%." sqref="H7">
      <formula1>0</formula1>
      <formula2>1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¡Atención!" error="Debes poner Si o No.">
          <x14:formula1>
            <xm:f>Auxiliar!$E$5:$E$6</xm:f>
          </x14:formula1>
          <xm:sqref>E10:E1048576</xm:sqref>
        </x14:dataValidation>
        <x14:dataValidation type="list" allowBlank="1" showInputMessage="1" showErrorMessage="1" errorTitle="¡Atención!" error="El nombre de Nettong Set no es válido.">
          <x14:formula1>
            <xm:f>INDIRECT(NettingSets!$F$4)</xm:f>
          </x14:formula1>
          <xm:sqref>D40:D212</xm:sqref>
        </x14:dataValidation>
        <x14:dataValidation type="list" allowBlank="1" showInputMessage="1" showErrorMessage="1" errorTitle="Netting Set no Existe" error="Primero debes especificar un Netting Set a la izquierda antes de asignarlo a una operación.">
          <x14:formula1>
            <xm:f>INDIRECT(NettingSets!$F$4)</xm:f>
          </x14:formula1>
          <xm:sqref>D14:D39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M56"/>
  <sheetViews>
    <sheetView showGridLines="0" topLeftCell="C3" zoomScaleNormal="100" workbookViewId="0">
      <selection activeCell="J4" sqref="J4"/>
    </sheetView>
  </sheetViews>
  <sheetFormatPr baseColWidth="10" defaultRowHeight="14.25" outlineLevelRow="1" outlineLevelCol="1" x14ac:dyDescent="0.2"/>
  <cols>
    <col min="1" max="2" width="11" style="22" hidden="1" customWidth="1" outlineLevel="1"/>
    <col min="3" max="3" width="2.625" customWidth="1" collapsed="1"/>
    <col min="4" max="4" width="14.625" customWidth="1"/>
    <col min="5" max="11" width="13.625" customWidth="1"/>
    <col min="12" max="12" width="13.625" style="89" customWidth="1"/>
    <col min="13" max="13" width="11.25" bestFit="1" customWidth="1"/>
    <col min="14" max="14" width="11.5" customWidth="1"/>
    <col min="15" max="15" width="11" style="108"/>
    <col min="16" max="16" width="14.75" style="108" bestFit="1" customWidth="1"/>
    <col min="17" max="20" width="14.625" style="108" bestFit="1" customWidth="1"/>
    <col min="21" max="21" width="18.25" style="108" bestFit="1" customWidth="1"/>
    <col min="22" max="22" width="17.25" style="108" bestFit="1" customWidth="1"/>
    <col min="23" max="23" width="11" style="108"/>
    <col min="24" max="24" width="13.625" style="108" bestFit="1" customWidth="1"/>
    <col min="27" max="27" width="14.625" bestFit="1" customWidth="1"/>
    <col min="28" max="28" width="13.75" customWidth="1"/>
    <col min="29" max="29" width="18.5" bestFit="1" customWidth="1"/>
    <col min="30" max="30" width="16.5" bestFit="1" customWidth="1"/>
    <col min="33" max="33" width="12.125" bestFit="1" customWidth="1"/>
    <col min="35" max="37" width="11.5" bestFit="1" customWidth="1"/>
    <col min="38" max="38" width="14.375" bestFit="1" customWidth="1"/>
  </cols>
  <sheetData>
    <row r="1" spans="1:36" s="22" customFormat="1" hidden="1" outlineLevel="1" x14ac:dyDescent="0.2">
      <c r="O1" s="106"/>
      <c r="P1" s="106"/>
      <c r="Q1" s="106"/>
      <c r="R1" s="106"/>
      <c r="S1" s="106"/>
      <c r="T1" s="106"/>
      <c r="U1" s="106"/>
      <c r="V1" s="106"/>
      <c r="W1" s="106"/>
      <c r="X1" s="106"/>
    </row>
    <row r="2" spans="1:36" s="22" customFormat="1" hidden="1" outlineLevel="1" x14ac:dyDescent="0.2">
      <c r="O2" s="106"/>
      <c r="P2" s="106"/>
      <c r="Q2" s="106"/>
      <c r="R2" s="106"/>
      <c r="S2" s="106"/>
      <c r="T2" s="106"/>
      <c r="U2" s="106"/>
      <c r="V2" s="106"/>
      <c r="W2" s="106"/>
      <c r="X2" s="106"/>
    </row>
    <row r="3" spans="1:36" s="1" customFormat="1" ht="10.5" customHeight="1" collapsed="1" x14ac:dyDescent="0.2">
      <c r="A3" s="2"/>
      <c r="B3" s="2"/>
      <c r="C3" s="30"/>
      <c r="D3" s="29"/>
      <c r="E3" s="29"/>
      <c r="F3" s="29"/>
      <c r="G3" s="29"/>
      <c r="H3" s="29"/>
      <c r="I3" s="29"/>
      <c r="J3" s="29"/>
      <c r="K3" s="29"/>
      <c r="L3" s="29"/>
      <c r="M3" s="63"/>
      <c r="O3" s="107"/>
      <c r="P3" s="107"/>
      <c r="Q3" s="107"/>
      <c r="R3" s="107"/>
      <c r="S3" s="107"/>
      <c r="T3" s="107"/>
      <c r="U3" s="107"/>
      <c r="V3" s="107"/>
      <c r="W3" s="107"/>
      <c r="X3" s="107"/>
    </row>
    <row r="4" spans="1:36" s="1" customFormat="1" ht="42" customHeight="1" x14ac:dyDescent="0.2">
      <c r="A4" s="2"/>
      <c r="B4" s="2"/>
      <c r="C4" s="35" t="s">
        <v>125</v>
      </c>
      <c r="D4" s="58"/>
      <c r="E4" s="58"/>
      <c r="F4" s="30"/>
      <c r="G4" s="30"/>
      <c r="H4" s="30"/>
      <c r="I4" s="30"/>
      <c r="J4" s="30"/>
      <c r="K4" s="30"/>
      <c r="L4" s="30"/>
      <c r="M4" s="39"/>
      <c r="O4" s="107"/>
      <c r="P4" s="107"/>
      <c r="Q4" s="107"/>
      <c r="R4" s="107"/>
      <c r="S4" s="107"/>
      <c r="T4" s="107"/>
      <c r="U4" s="107"/>
      <c r="V4" s="107"/>
      <c r="W4" s="107"/>
      <c r="X4" s="107"/>
    </row>
    <row r="5" spans="1:36" x14ac:dyDescent="0.2">
      <c r="C5" s="30"/>
      <c r="D5" s="30"/>
      <c r="E5" s="30"/>
      <c r="F5" s="30"/>
      <c r="G5" s="30"/>
      <c r="H5" s="30"/>
      <c r="I5" s="30"/>
      <c r="J5" s="30"/>
      <c r="K5" s="30"/>
      <c r="L5" s="30"/>
      <c r="M5" s="39"/>
    </row>
    <row r="6" spans="1:36" s="24" customFormat="1" ht="24.75" customHeight="1" x14ac:dyDescent="0.2">
      <c r="A6" s="23"/>
      <c r="B6" s="23"/>
      <c r="C6" s="30"/>
      <c r="D6" s="33" t="s">
        <v>65</v>
      </c>
      <c r="E6" s="33" t="s">
        <v>111</v>
      </c>
      <c r="F6" s="33" t="s">
        <v>112</v>
      </c>
      <c r="G6" s="33" t="s">
        <v>210</v>
      </c>
      <c r="H6" s="33" t="s">
        <v>113</v>
      </c>
      <c r="I6" s="33" t="s">
        <v>114</v>
      </c>
      <c r="J6" s="33" t="s">
        <v>115</v>
      </c>
      <c r="K6" s="33" t="s">
        <v>116</v>
      </c>
      <c r="L6" s="33" t="s">
        <v>117</v>
      </c>
      <c r="M6" s="39"/>
      <c r="N6" s="102" t="s">
        <v>2</v>
      </c>
      <c r="O6" s="108"/>
      <c r="W6" s="109"/>
      <c r="X6" s="109"/>
      <c r="AA6" s="134"/>
      <c r="AB6" s="134"/>
      <c r="AC6" s="134"/>
      <c r="AD6" s="134"/>
      <c r="AE6" s="134"/>
      <c r="AF6" s="134"/>
      <c r="AG6" s="134"/>
      <c r="AH6" s="134"/>
      <c r="AI6" s="134"/>
      <c r="AJ6" s="134"/>
    </row>
    <row r="7" spans="1:36" s="26" customFormat="1" ht="25.5" customHeight="1" x14ac:dyDescent="0.2">
      <c r="A7" s="25"/>
      <c r="B7" s="25"/>
      <c r="C7" s="30"/>
      <c r="D7" s="95" t="s">
        <v>141</v>
      </c>
      <c r="E7" s="97">
        <f t="array" ref="E7:L7">_xll.getCreditExposureResults(D7)</f>
        <v>3026538</v>
      </c>
      <c r="F7" s="97">
        <v>2789845.8827817952</v>
      </c>
      <c r="G7" s="97">
        <v>-3273956.0739105209</v>
      </c>
      <c r="H7" s="97">
        <v>-2931079.7329791388</v>
      </c>
      <c r="I7" s="97">
        <v>-141233.85019734362</v>
      </c>
      <c r="J7" s="97">
        <v>-102625.83520609593</v>
      </c>
      <c r="K7" s="97">
        <v>295727850.44269931</v>
      </c>
      <c r="L7" s="97">
        <v>36123235.873880029</v>
      </c>
      <c r="M7" s="39"/>
      <c r="N7" s="64">
        <f>+Operations!AP9</f>
        <v>21158286490.959412</v>
      </c>
      <c r="O7" s="108"/>
      <c r="W7" s="86"/>
      <c r="X7" s="86"/>
      <c r="AA7" s="134"/>
      <c r="AB7" s="134"/>
      <c r="AC7" s="134"/>
      <c r="AD7" s="134"/>
      <c r="AE7" s="134"/>
      <c r="AF7" s="134"/>
      <c r="AG7" s="134"/>
      <c r="AH7" s="134"/>
      <c r="AI7" s="134"/>
      <c r="AJ7" s="134"/>
    </row>
    <row r="8" spans="1:36" ht="14.25" customHeight="1" x14ac:dyDescent="0.2">
      <c r="C8" s="30"/>
      <c r="D8" s="95" t="s">
        <v>183</v>
      </c>
      <c r="E8" s="97">
        <f t="array" ref="E8:L8">_xll.getCreditExposureResults(D8)</f>
        <v>0</v>
      </c>
      <c r="F8" s="97">
        <v>0</v>
      </c>
      <c r="G8" s="97">
        <v>0</v>
      </c>
      <c r="H8" s="97">
        <v>0</v>
      </c>
      <c r="I8" s="97">
        <v>0</v>
      </c>
      <c r="J8" s="97">
        <v>0</v>
      </c>
      <c r="K8" s="97">
        <v>0</v>
      </c>
      <c r="L8" s="97">
        <v>0</v>
      </c>
      <c r="M8" s="39"/>
      <c r="N8" s="64">
        <f>+Operations!AP10</f>
        <v>-1514712107.5039062</v>
      </c>
      <c r="AA8" s="134"/>
      <c r="AB8" s="134"/>
      <c r="AC8" s="134"/>
      <c r="AD8" s="134"/>
      <c r="AE8" s="134"/>
      <c r="AF8" s="134"/>
      <c r="AG8" s="134"/>
      <c r="AH8" s="134"/>
      <c r="AI8" s="134"/>
      <c r="AJ8" s="134"/>
    </row>
    <row r="9" spans="1:36" x14ac:dyDescent="0.2">
      <c r="C9" s="30"/>
      <c r="D9" s="95" t="s">
        <v>184</v>
      </c>
      <c r="E9" s="97">
        <f t="array" ref="E9:L9">_xll.getCreditExposureResults(D9)</f>
        <v>0</v>
      </c>
      <c r="F9" s="97">
        <v>0</v>
      </c>
      <c r="G9" s="97">
        <v>0</v>
      </c>
      <c r="H9" s="97">
        <v>0</v>
      </c>
      <c r="I9" s="97">
        <v>0</v>
      </c>
      <c r="J9" s="97">
        <v>0</v>
      </c>
      <c r="K9" s="97">
        <v>0</v>
      </c>
      <c r="L9" s="97">
        <v>0</v>
      </c>
      <c r="M9" s="39"/>
      <c r="N9" s="64">
        <f>+Operations!AP11</f>
        <v>9266531251.5663757</v>
      </c>
      <c r="AA9" s="134"/>
      <c r="AB9" s="134"/>
      <c r="AC9" s="134"/>
      <c r="AD9" s="134"/>
      <c r="AE9" s="134"/>
      <c r="AF9" s="134"/>
      <c r="AG9" s="134"/>
      <c r="AH9" s="134"/>
      <c r="AI9" s="134"/>
      <c r="AJ9" s="134"/>
    </row>
    <row r="10" spans="1:36" x14ac:dyDescent="0.2">
      <c r="C10" s="30"/>
      <c r="D10" s="95" t="s">
        <v>185</v>
      </c>
      <c r="E10" s="97">
        <f t="array" ref="E10:L10">_xll.getCreditExposureResults(D10)</f>
        <v>0</v>
      </c>
      <c r="F10" s="97">
        <v>0</v>
      </c>
      <c r="G10" s="97">
        <v>0</v>
      </c>
      <c r="H10" s="97">
        <v>0</v>
      </c>
      <c r="I10" s="97">
        <v>0</v>
      </c>
      <c r="J10" s="97">
        <v>0</v>
      </c>
      <c r="K10" s="97">
        <v>0</v>
      </c>
      <c r="L10" s="97">
        <v>0</v>
      </c>
      <c r="M10" s="39"/>
      <c r="N10" s="64">
        <f>+Operations!AP12</f>
        <v>8027764464.7703857</v>
      </c>
      <c r="AA10" s="134"/>
      <c r="AB10" s="134"/>
      <c r="AC10" s="134"/>
      <c r="AD10" s="134"/>
      <c r="AE10" s="134"/>
      <c r="AF10" s="134"/>
      <c r="AG10" s="134"/>
      <c r="AH10" s="134"/>
      <c r="AI10" s="134"/>
      <c r="AJ10" s="134"/>
    </row>
    <row r="11" spans="1:36" x14ac:dyDescent="0.2">
      <c r="C11" s="30"/>
      <c r="D11" s="95" t="s">
        <v>208</v>
      </c>
      <c r="E11" s="97">
        <f t="array" ref="E11:L11">_xll.getCreditExposureResults(D11)</f>
        <v>0</v>
      </c>
      <c r="F11" s="97">
        <v>0</v>
      </c>
      <c r="G11" s="97">
        <v>0</v>
      </c>
      <c r="H11" s="97">
        <v>0</v>
      </c>
      <c r="I11" s="97">
        <v>0</v>
      </c>
      <c r="J11" s="97">
        <v>0</v>
      </c>
      <c r="K11" s="97">
        <v>0</v>
      </c>
      <c r="L11" s="97">
        <v>0</v>
      </c>
      <c r="M11" s="39"/>
      <c r="AA11" s="134"/>
      <c r="AB11" s="134"/>
      <c r="AC11" s="134"/>
      <c r="AD11" s="134"/>
      <c r="AE11" s="134"/>
      <c r="AF11" s="134"/>
      <c r="AG11" s="134"/>
      <c r="AH11" s="134"/>
      <c r="AI11" s="134"/>
      <c r="AJ11" s="134"/>
    </row>
    <row r="12" spans="1:36" x14ac:dyDescent="0.2">
      <c r="C12" s="30"/>
      <c r="D12" s="95" t="s">
        <v>211</v>
      </c>
      <c r="E12" s="97">
        <f t="array" ref="E12:L12">_xll.getCreditExposureResults(D12)</f>
        <v>2282742</v>
      </c>
      <c r="F12" s="97">
        <v>2083202.8747343202</v>
      </c>
      <c r="G12" s="97">
        <v>-3927019.9336236417</v>
      </c>
      <c r="H12" s="97">
        <v>-3543360.9215436936</v>
      </c>
      <c r="I12" s="97">
        <v>-1460158.0468093734</v>
      </c>
      <c r="J12" s="97">
        <v>-695630.4773321792</v>
      </c>
      <c r="K12" s="97">
        <v>291813872.76379621</v>
      </c>
      <c r="L12" s="97">
        <v>21964655.40939955</v>
      </c>
      <c r="M12" s="39"/>
      <c r="AA12" s="134"/>
      <c r="AB12" s="134"/>
      <c r="AC12" s="134"/>
      <c r="AD12" s="134"/>
      <c r="AE12" s="134"/>
      <c r="AF12" s="134"/>
      <c r="AG12" s="134"/>
      <c r="AH12" s="134"/>
      <c r="AI12" s="134"/>
      <c r="AJ12" s="134"/>
    </row>
    <row r="13" spans="1:36" x14ac:dyDescent="0.2">
      <c r="C13" s="30"/>
      <c r="D13" s="95" t="s">
        <v>219</v>
      </c>
      <c r="E13" s="97">
        <f t="array" ref="E13:L13">_xll.getCreditExposureResults(D13)</f>
        <v>0</v>
      </c>
      <c r="F13" s="97">
        <v>0</v>
      </c>
      <c r="G13" s="97">
        <v>0</v>
      </c>
      <c r="H13" s="97">
        <v>0</v>
      </c>
      <c r="I13" s="97">
        <v>0</v>
      </c>
      <c r="J13" s="97">
        <v>0</v>
      </c>
      <c r="K13" s="97">
        <v>0</v>
      </c>
      <c r="L13" s="97">
        <v>0</v>
      </c>
      <c r="M13" s="39"/>
      <c r="P13" s="109"/>
      <c r="Q13" s="109"/>
      <c r="R13" s="109"/>
      <c r="S13" s="109"/>
      <c r="T13" s="109"/>
      <c r="U13" s="109"/>
      <c r="V13" s="109"/>
      <c r="AA13" s="134"/>
      <c r="AB13" s="134"/>
      <c r="AC13" s="134"/>
      <c r="AD13" s="134"/>
      <c r="AE13" s="134"/>
      <c r="AF13" s="134"/>
      <c r="AG13" s="134"/>
      <c r="AH13" s="134"/>
      <c r="AI13" s="134"/>
      <c r="AJ13" s="134"/>
    </row>
    <row r="14" spans="1:36" x14ac:dyDescent="0.2">
      <c r="C14" s="30"/>
      <c r="D14" s="95" t="s">
        <v>220</v>
      </c>
      <c r="E14" s="97">
        <f t="array" ref="E14:L14">_xll.getCreditExposureResults(D14)</f>
        <v>0</v>
      </c>
      <c r="F14" s="97">
        <v>0</v>
      </c>
      <c r="G14" s="97">
        <v>0</v>
      </c>
      <c r="H14" s="97">
        <v>0</v>
      </c>
      <c r="I14" s="97">
        <v>0</v>
      </c>
      <c r="J14" s="97">
        <v>0</v>
      </c>
      <c r="K14" s="97">
        <v>0</v>
      </c>
      <c r="L14" s="97">
        <v>0</v>
      </c>
      <c r="M14" s="39"/>
      <c r="N14" s="103"/>
      <c r="P14" s="86"/>
      <c r="Q14" s="86"/>
      <c r="R14" s="86"/>
      <c r="S14" s="86"/>
      <c r="T14" s="86"/>
      <c r="U14" s="86"/>
      <c r="V14" s="86"/>
      <c r="AA14" s="134"/>
      <c r="AB14" s="134"/>
      <c r="AC14" s="134"/>
      <c r="AD14" s="134"/>
      <c r="AE14" s="134"/>
      <c r="AF14" s="134"/>
      <c r="AG14" s="134"/>
      <c r="AH14" s="134"/>
      <c r="AI14" s="134"/>
      <c r="AJ14" s="134"/>
    </row>
    <row r="15" spans="1:36" x14ac:dyDescent="0.2">
      <c r="C15" s="30"/>
      <c r="D15" s="95" t="s">
        <v>221</v>
      </c>
      <c r="E15" s="97">
        <f t="array" ref="E15:L15">_xll.getCreditExposureResults(D15)</f>
        <v>0</v>
      </c>
      <c r="F15" s="97">
        <v>0</v>
      </c>
      <c r="G15" s="97">
        <v>0</v>
      </c>
      <c r="H15" s="97">
        <v>0</v>
      </c>
      <c r="I15" s="97">
        <v>0</v>
      </c>
      <c r="J15" s="97">
        <v>0</v>
      </c>
      <c r="K15" s="97">
        <v>0</v>
      </c>
      <c r="L15" s="97">
        <v>0</v>
      </c>
      <c r="M15" s="39"/>
    </row>
    <row r="16" spans="1:36" x14ac:dyDescent="0.2">
      <c r="C16" s="30"/>
      <c r="D16" s="95" t="s">
        <v>218</v>
      </c>
      <c r="E16" s="97">
        <f t="array" ref="E16:L16">_xll.getCreditExposureResults(D16)</f>
        <v>1791115</v>
      </c>
      <c r="F16" s="97">
        <v>1639397.9822052275</v>
      </c>
      <c r="G16" s="97">
        <v>-4566063.1697383961</v>
      </c>
      <c r="H16" s="97">
        <v>-4112935.4920275197</v>
      </c>
      <c r="I16" s="97">
        <v>-2473537.5098222923</v>
      </c>
      <c r="J16" s="97">
        <v>-1248997.9364952692</v>
      </c>
      <c r="K16" s="97">
        <v>263131220.13628814</v>
      </c>
      <c r="L16" s="97">
        <v>17640046.444878761</v>
      </c>
      <c r="M16" s="39"/>
      <c r="N16" s="31"/>
      <c r="AB16" s="110"/>
    </row>
    <row r="17" spans="1:30" s="31" customFormat="1" x14ac:dyDescent="0.2">
      <c r="A17" s="22"/>
      <c r="B17" s="22"/>
      <c r="C17" s="30"/>
      <c r="D17" s="95" t="s">
        <v>222</v>
      </c>
      <c r="E17" s="97">
        <f t="array" ref="E17:L17">_xll.getCreditExposureResults(D17)</f>
        <v>0</v>
      </c>
      <c r="F17" s="97">
        <v>0</v>
      </c>
      <c r="G17" s="97">
        <v>0</v>
      </c>
      <c r="H17" s="97">
        <v>0</v>
      </c>
      <c r="I17" s="97">
        <v>0</v>
      </c>
      <c r="J17" s="97">
        <v>0</v>
      </c>
      <c r="K17" s="97">
        <v>0</v>
      </c>
      <c r="L17" s="97">
        <v>0</v>
      </c>
      <c r="M17" s="39"/>
      <c r="O17" s="108"/>
      <c r="P17" s="108"/>
      <c r="Q17" s="108"/>
      <c r="R17" s="108"/>
      <c r="S17" s="108"/>
      <c r="T17" s="108"/>
      <c r="U17" s="108"/>
      <c r="V17" s="108"/>
      <c r="W17" s="108"/>
      <c r="X17" s="108"/>
    </row>
    <row r="18" spans="1:30" s="31" customFormat="1" x14ac:dyDescent="0.2">
      <c r="A18" s="22"/>
      <c r="B18" s="22"/>
      <c r="C18" s="30"/>
      <c r="D18" s="95" t="s">
        <v>223</v>
      </c>
      <c r="E18" s="97">
        <f t="array" ref="E18:L18">_xll.getCreditExposureResults(D18)</f>
        <v>0</v>
      </c>
      <c r="F18" s="97">
        <v>0</v>
      </c>
      <c r="G18" s="97">
        <v>0</v>
      </c>
      <c r="H18" s="97">
        <v>0</v>
      </c>
      <c r="I18" s="97">
        <v>0</v>
      </c>
      <c r="J18" s="97">
        <v>0</v>
      </c>
      <c r="K18" s="97">
        <v>0</v>
      </c>
      <c r="L18" s="97">
        <v>0</v>
      </c>
      <c r="M18" s="39"/>
      <c r="O18" s="108"/>
      <c r="W18" s="108"/>
      <c r="X18" s="108"/>
      <c r="AB18" s="105"/>
    </row>
    <row r="19" spans="1:30" s="31" customFormat="1" x14ac:dyDescent="0.2">
      <c r="A19" s="22"/>
      <c r="B19" s="22"/>
      <c r="C19" s="30"/>
      <c r="D19" s="95" t="s">
        <v>224</v>
      </c>
      <c r="E19" s="97">
        <f t="array" ref="E19:L19">_xll.getCreditExposureResults(D19)</f>
        <v>0</v>
      </c>
      <c r="F19" s="97">
        <v>0</v>
      </c>
      <c r="G19" s="97">
        <v>0</v>
      </c>
      <c r="H19" s="97">
        <v>0</v>
      </c>
      <c r="I19" s="97">
        <v>0</v>
      </c>
      <c r="J19" s="97">
        <v>0</v>
      </c>
      <c r="K19" s="97">
        <v>0</v>
      </c>
      <c r="L19" s="97">
        <v>0</v>
      </c>
      <c r="M19" s="39"/>
      <c r="O19" s="108"/>
      <c r="W19" s="108"/>
      <c r="X19" s="108"/>
      <c r="AB19" s="103"/>
      <c r="AD19" s="103"/>
    </row>
    <row r="20" spans="1:30" s="31" customFormat="1" x14ac:dyDescent="0.2">
      <c r="A20" s="22"/>
      <c r="B20" s="22"/>
      <c r="C20" s="30"/>
      <c r="D20" s="95"/>
      <c r="E20" s="97">
        <f t="array" ref="E20:L20">_xll.getCreditExposureResults(D20)</f>
        <v>0</v>
      </c>
      <c r="F20" s="97">
        <v>0</v>
      </c>
      <c r="G20" s="97">
        <v>0</v>
      </c>
      <c r="H20" s="97">
        <v>0</v>
      </c>
      <c r="I20" s="97">
        <v>0</v>
      </c>
      <c r="J20" s="97">
        <v>0</v>
      </c>
      <c r="K20" s="97">
        <v>0</v>
      </c>
      <c r="L20" s="97">
        <v>0</v>
      </c>
      <c r="M20" s="39"/>
      <c r="N20"/>
      <c r="O20" s="108"/>
      <c r="W20" s="108"/>
      <c r="X20" s="108"/>
      <c r="AD20" s="104"/>
    </row>
    <row r="21" spans="1:30" x14ac:dyDescent="0.2">
      <c r="C21" s="30"/>
      <c r="D21" s="53"/>
      <c r="E21" s="97">
        <f t="array" ref="E21:L21">_xll.getCreditExposureResults(D21)</f>
        <v>0</v>
      </c>
      <c r="F21" s="97">
        <v>0</v>
      </c>
      <c r="G21" s="97">
        <v>0</v>
      </c>
      <c r="H21" s="97">
        <v>0</v>
      </c>
      <c r="I21" s="97">
        <v>0</v>
      </c>
      <c r="J21" s="97">
        <v>0</v>
      </c>
      <c r="K21" s="97">
        <v>0</v>
      </c>
      <c r="L21" s="97">
        <v>0</v>
      </c>
      <c r="M21" s="39"/>
      <c r="N21" s="31"/>
    </row>
    <row r="22" spans="1:30" x14ac:dyDescent="0.2">
      <c r="C22" s="30"/>
      <c r="D22" s="53"/>
      <c r="E22" s="97">
        <f t="array" ref="E22:L22">_xll.getCreditExposureResults(D22)</f>
        <v>0</v>
      </c>
      <c r="F22" s="97">
        <v>0</v>
      </c>
      <c r="G22" s="97">
        <v>0</v>
      </c>
      <c r="H22" s="97">
        <v>0</v>
      </c>
      <c r="I22" s="97">
        <v>0</v>
      </c>
      <c r="J22" s="97">
        <v>0</v>
      </c>
      <c r="K22" s="97">
        <v>0</v>
      </c>
      <c r="L22" s="97">
        <v>0</v>
      </c>
      <c r="M22" s="39"/>
      <c r="N22" s="31"/>
      <c r="P22" s="86"/>
    </row>
    <row r="23" spans="1:30" x14ac:dyDescent="0.2">
      <c r="C23" s="30"/>
      <c r="D23" s="53"/>
      <c r="E23" s="97">
        <f t="array" ref="E23:L23">_xll.getCreditExposureResults(D23)</f>
        <v>0</v>
      </c>
      <c r="F23" s="97">
        <v>0</v>
      </c>
      <c r="G23" s="97">
        <v>0</v>
      </c>
      <c r="H23" s="97">
        <v>0</v>
      </c>
      <c r="I23" s="97">
        <v>0</v>
      </c>
      <c r="J23" s="97">
        <v>0</v>
      </c>
      <c r="K23" s="97">
        <v>0</v>
      </c>
      <c r="L23" s="97">
        <v>0</v>
      </c>
      <c r="M23" s="39"/>
      <c r="N23" s="31"/>
    </row>
    <row r="24" spans="1:30" x14ac:dyDescent="0.2">
      <c r="C24" s="30"/>
      <c r="D24" s="53"/>
      <c r="E24" s="97">
        <f t="array" ref="E24:L24">_xll.getCreditExposureResults(D24)</f>
        <v>0</v>
      </c>
      <c r="F24" s="97">
        <v>0</v>
      </c>
      <c r="G24" s="97">
        <v>0</v>
      </c>
      <c r="H24" s="97">
        <v>0</v>
      </c>
      <c r="I24" s="97">
        <v>0</v>
      </c>
      <c r="J24" s="97">
        <v>0</v>
      </c>
      <c r="K24" s="97">
        <v>0</v>
      </c>
      <c r="L24" s="97">
        <v>0</v>
      </c>
      <c r="M24" s="39"/>
      <c r="N24" s="31"/>
      <c r="O24" s="104"/>
    </row>
    <row r="25" spans="1:30" x14ac:dyDescent="0.2">
      <c r="C25" s="30"/>
      <c r="D25" s="53"/>
      <c r="E25" s="97">
        <f t="array" ref="E25:L25">_xll.getCreditExposureResults(D25)</f>
        <v>0</v>
      </c>
      <c r="F25" s="97">
        <v>0</v>
      </c>
      <c r="G25" s="97">
        <v>0</v>
      </c>
      <c r="H25" s="97">
        <v>0</v>
      </c>
      <c r="I25" s="97">
        <v>0</v>
      </c>
      <c r="J25" s="97">
        <v>0</v>
      </c>
      <c r="K25" s="97">
        <v>0</v>
      </c>
      <c r="L25" s="97">
        <v>0</v>
      </c>
      <c r="M25" s="39"/>
    </row>
    <row r="26" spans="1:30" x14ac:dyDescent="0.2">
      <c r="C26" s="30"/>
      <c r="D26" s="53"/>
      <c r="E26" s="97">
        <f t="array" ref="E26:L26">_xll.getCreditExposureResults(D26)</f>
        <v>0</v>
      </c>
      <c r="F26" s="97">
        <v>0</v>
      </c>
      <c r="G26" s="97">
        <v>0</v>
      </c>
      <c r="H26" s="97">
        <v>0</v>
      </c>
      <c r="I26" s="97">
        <v>0</v>
      </c>
      <c r="J26" s="97">
        <v>0</v>
      </c>
      <c r="K26" s="97">
        <v>0</v>
      </c>
      <c r="L26" s="97">
        <v>0</v>
      </c>
      <c r="M26" s="39"/>
    </row>
    <row r="27" spans="1:30" x14ac:dyDescent="0.2">
      <c r="C27" s="30"/>
      <c r="D27" s="53"/>
      <c r="E27" s="97">
        <f t="array" ref="E27:L27">_xll.getCreditExposureResults(D27)</f>
        <v>0</v>
      </c>
      <c r="F27" s="97">
        <v>0</v>
      </c>
      <c r="G27" s="97">
        <v>0</v>
      </c>
      <c r="H27" s="97">
        <v>0</v>
      </c>
      <c r="I27" s="97">
        <v>0</v>
      </c>
      <c r="J27" s="97">
        <v>0</v>
      </c>
      <c r="K27" s="97">
        <v>0</v>
      </c>
      <c r="L27" s="97">
        <v>0</v>
      </c>
      <c r="M27" s="39"/>
    </row>
    <row r="28" spans="1:30" x14ac:dyDescent="0.2">
      <c r="C28" s="30"/>
      <c r="D28" s="53"/>
      <c r="E28" s="97">
        <f t="array" ref="E28:L28">_xll.getCreditExposureResults(D28)</f>
        <v>0</v>
      </c>
      <c r="F28" s="97">
        <v>0</v>
      </c>
      <c r="G28" s="97">
        <v>0</v>
      </c>
      <c r="H28" s="97">
        <v>0</v>
      </c>
      <c r="I28" s="97">
        <v>0</v>
      </c>
      <c r="J28" s="97">
        <v>0</v>
      </c>
      <c r="K28" s="97">
        <v>0</v>
      </c>
      <c r="L28" s="97">
        <v>0</v>
      </c>
      <c r="M28" s="39"/>
    </row>
    <row r="29" spans="1:30" x14ac:dyDescent="0.2">
      <c r="C29" s="30"/>
      <c r="D29" s="53"/>
      <c r="E29" s="97">
        <f t="array" ref="E29:L29">_xll.getCreditExposureResults(D29)</f>
        <v>0</v>
      </c>
      <c r="F29" s="97">
        <v>0</v>
      </c>
      <c r="G29" s="97">
        <v>0</v>
      </c>
      <c r="H29" s="97">
        <v>0</v>
      </c>
      <c r="I29" s="97">
        <v>0</v>
      </c>
      <c r="J29" s="97">
        <v>0</v>
      </c>
      <c r="K29" s="97">
        <v>0</v>
      </c>
      <c r="L29" s="97">
        <v>0</v>
      </c>
      <c r="M29" s="39"/>
    </row>
    <row r="30" spans="1:30" x14ac:dyDescent="0.2">
      <c r="C30" s="30"/>
      <c r="D30" s="53"/>
      <c r="E30" s="97">
        <f t="array" ref="E30:L30">_xll.getCreditExposureResults(D30)</f>
        <v>0</v>
      </c>
      <c r="F30" s="97">
        <v>0</v>
      </c>
      <c r="G30" s="97">
        <v>0</v>
      </c>
      <c r="H30" s="97">
        <v>0</v>
      </c>
      <c r="I30" s="97">
        <v>0</v>
      </c>
      <c r="J30" s="97">
        <v>0</v>
      </c>
      <c r="K30" s="97">
        <v>0</v>
      </c>
      <c r="L30" s="97">
        <v>0</v>
      </c>
      <c r="M30" s="39"/>
    </row>
    <row r="31" spans="1:30" x14ac:dyDescent="0.2">
      <c r="C31" s="30"/>
      <c r="D31" s="53"/>
      <c r="E31" s="97">
        <f t="array" ref="E31:L31">_xll.getCreditExposureResults(D31)</f>
        <v>0</v>
      </c>
      <c r="F31" s="97">
        <v>0</v>
      </c>
      <c r="G31" s="97">
        <v>0</v>
      </c>
      <c r="H31" s="97">
        <v>0</v>
      </c>
      <c r="I31" s="97">
        <v>0</v>
      </c>
      <c r="J31" s="97">
        <v>0</v>
      </c>
      <c r="K31" s="97">
        <v>0</v>
      </c>
      <c r="L31" s="97">
        <v>0</v>
      </c>
      <c r="M31" s="39"/>
    </row>
    <row r="32" spans="1:30" x14ac:dyDescent="0.2">
      <c r="C32" s="30"/>
      <c r="D32" s="53"/>
      <c r="E32" s="97">
        <f t="array" ref="E32:L32">_xll.getCreditExposureResults(D32)</f>
        <v>0</v>
      </c>
      <c r="F32" s="97">
        <v>0</v>
      </c>
      <c r="G32" s="97">
        <v>0</v>
      </c>
      <c r="H32" s="97">
        <v>0</v>
      </c>
      <c r="I32" s="97">
        <v>0</v>
      </c>
      <c r="J32" s="97">
        <v>0</v>
      </c>
      <c r="K32" s="97">
        <v>0</v>
      </c>
      <c r="L32" s="97">
        <v>0</v>
      </c>
      <c r="M32" s="39"/>
    </row>
    <row r="33" spans="3:39" x14ac:dyDescent="0.2">
      <c r="C33" s="30"/>
      <c r="D33" s="53"/>
      <c r="E33" s="97">
        <f t="array" ref="E33:L33">_xll.getCreditExposureResults(D33)</f>
        <v>0</v>
      </c>
      <c r="F33" s="97">
        <v>0</v>
      </c>
      <c r="G33" s="97">
        <v>0</v>
      </c>
      <c r="H33" s="97">
        <v>0</v>
      </c>
      <c r="I33" s="97">
        <v>0</v>
      </c>
      <c r="J33" s="97">
        <v>0</v>
      </c>
      <c r="K33" s="97">
        <v>0</v>
      </c>
      <c r="L33" s="97">
        <v>0</v>
      </c>
      <c r="M33" s="39"/>
    </row>
    <row r="34" spans="3:39" x14ac:dyDescent="0.2">
      <c r="C34" s="30"/>
      <c r="D34" s="53"/>
      <c r="E34" s="97">
        <f t="array" ref="E34:L34">_xll.getCreditExposureResults(D34)</f>
        <v>0</v>
      </c>
      <c r="F34" s="97">
        <v>0</v>
      </c>
      <c r="G34" s="97">
        <v>0</v>
      </c>
      <c r="H34" s="97">
        <v>0</v>
      </c>
      <c r="I34" s="97">
        <v>0</v>
      </c>
      <c r="J34" s="97">
        <v>0</v>
      </c>
      <c r="K34" s="97">
        <v>0</v>
      </c>
      <c r="L34" s="97">
        <v>0</v>
      </c>
      <c r="M34" s="39"/>
    </row>
    <row r="35" spans="3:39" x14ac:dyDescent="0.2">
      <c r="C35" s="30"/>
      <c r="D35" s="53"/>
      <c r="E35" s="97">
        <f t="array" ref="E35:L35">_xll.getCreditExposureResults(D35)</f>
        <v>0</v>
      </c>
      <c r="F35" s="97">
        <v>0</v>
      </c>
      <c r="G35" s="97">
        <v>0</v>
      </c>
      <c r="H35" s="97">
        <v>0</v>
      </c>
      <c r="I35" s="97">
        <v>0</v>
      </c>
      <c r="J35" s="97">
        <v>0</v>
      </c>
      <c r="K35" s="97">
        <v>0</v>
      </c>
      <c r="L35" s="97">
        <v>0</v>
      </c>
      <c r="M35" s="39"/>
    </row>
    <row r="36" spans="3:39" x14ac:dyDescent="0.2">
      <c r="C36" s="30"/>
      <c r="D36" s="53"/>
      <c r="E36" s="97">
        <f t="array" ref="E36:L36">_xll.getCreditExposureResults(D36)</f>
        <v>0</v>
      </c>
      <c r="F36" s="97">
        <v>0</v>
      </c>
      <c r="G36" s="97">
        <v>0</v>
      </c>
      <c r="H36" s="97">
        <v>0</v>
      </c>
      <c r="I36" s="97">
        <v>0</v>
      </c>
      <c r="J36" s="97">
        <v>0</v>
      </c>
      <c r="K36" s="97">
        <v>0</v>
      </c>
      <c r="L36" s="97">
        <v>0</v>
      </c>
      <c r="M36" s="39"/>
    </row>
    <row r="37" spans="3:39" x14ac:dyDescent="0.2"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7"/>
    </row>
    <row r="42" spans="3:39" x14ac:dyDescent="0.2">
      <c r="P42" s="104"/>
      <c r="Q42" s="104"/>
      <c r="R42" s="104"/>
      <c r="S42" s="104"/>
      <c r="T42" s="104"/>
      <c r="U42" s="104"/>
      <c r="V42" s="104"/>
    </row>
    <row r="43" spans="3:39" x14ac:dyDescent="0.2">
      <c r="P43" s="104"/>
      <c r="Q43" s="104"/>
      <c r="R43" s="104"/>
      <c r="S43" s="104"/>
      <c r="T43" s="104"/>
      <c r="U43" s="104"/>
      <c r="V43" s="104"/>
      <c r="AG43" s="103"/>
      <c r="AH43" s="103"/>
      <c r="AI43" s="103"/>
      <c r="AJ43" s="103"/>
      <c r="AK43" s="103"/>
      <c r="AL43" s="103"/>
      <c r="AM43" s="103"/>
    </row>
    <row r="44" spans="3:39" x14ac:dyDescent="0.2">
      <c r="P44" s="104"/>
      <c r="Q44" s="104"/>
      <c r="R44" s="104"/>
      <c r="S44" s="104"/>
      <c r="T44" s="104"/>
      <c r="U44" s="104"/>
      <c r="V44" s="104"/>
      <c r="AG44" s="103"/>
      <c r="AH44" s="103"/>
      <c r="AI44" s="103"/>
      <c r="AJ44" s="103"/>
      <c r="AK44" s="103"/>
      <c r="AL44" s="103"/>
      <c r="AM44" s="103"/>
    </row>
    <row r="45" spans="3:39" x14ac:dyDescent="0.2">
      <c r="P45" s="104"/>
      <c r="Q45" s="104"/>
      <c r="R45" s="104"/>
      <c r="S45" s="104"/>
      <c r="T45" s="104"/>
      <c r="U45" s="104"/>
      <c r="V45" s="104"/>
      <c r="AG45" s="103"/>
      <c r="AH45" s="103"/>
      <c r="AI45" s="103"/>
      <c r="AJ45" s="103"/>
      <c r="AK45" s="103"/>
      <c r="AL45" s="103"/>
      <c r="AM45" s="103"/>
    </row>
    <row r="47" spans="3:39" x14ac:dyDescent="0.2">
      <c r="AG47" s="108"/>
    </row>
    <row r="48" spans="3:39" x14ac:dyDescent="0.2">
      <c r="AG48" s="108"/>
    </row>
    <row r="49" spans="33:39" x14ac:dyDescent="0.2">
      <c r="AG49" s="108"/>
      <c r="AL49" s="103"/>
      <c r="AM49" s="103"/>
    </row>
    <row r="50" spans="33:39" x14ac:dyDescent="0.2">
      <c r="AG50" s="108"/>
      <c r="AJ50" s="105"/>
      <c r="AL50" s="103"/>
      <c r="AM50" s="103"/>
    </row>
    <row r="51" spans="33:39" x14ac:dyDescent="0.2">
      <c r="AG51" s="108"/>
      <c r="AJ51" s="105"/>
      <c r="AL51" s="103"/>
      <c r="AM51" s="103"/>
    </row>
    <row r="52" spans="33:39" x14ac:dyDescent="0.2">
      <c r="AG52" s="108"/>
    </row>
    <row r="54" spans="33:39" x14ac:dyDescent="0.2">
      <c r="AG54" s="103"/>
      <c r="AH54" s="103"/>
      <c r="AI54" s="103"/>
      <c r="AJ54" s="103"/>
      <c r="AK54" s="103"/>
      <c r="AL54" s="103"/>
      <c r="AM54" s="103"/>
    </row>
    <row r="55" spans="33:39" x14ac:dyDescent="0.2">
      <c r="AG55" s="103"/>
      <c r="AH55" s="103"/>
      <c r="AI55" s="103"/>
      <c r="AJ55" s="103"/>
      <c r="AK55" s="103"/>
      <c r="AL55" s="103"/>
      <c r="AM55" s="103"/>
    </row>
    <row r="56" spans="33:39" x14ac:dyDescent="0.2">
      <c r="AG56" s="103"/>
      <c r="AH56" s="103"/>
      <c r="AI56" s="103"/>
      <c r="AJ56" s="103"/>
      <c r="AK56" s="103"/>
      <c r="AL56" s="103"/>
      <c r="AM56" s="103"/>
    </row>
  </sheetData>
  <sheetProtection selectLockedCells="1"/>
  <mergeCells count="1">
    <mergeCell ref="AA6:AJ14"/>
  </mergeCells>
  <pageMargins left="0.7" right="0.7" top="0.75" bottom="0.75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Netting Set no Existe" error="Primero debes especificar un Netting Set a la izquierda antes de asignarlo a una operación.">
          <x14:formula1>
            <xm:f>INDIRECT(NettingSets!$F$4)</xm:f>
          </x14:formula1>
          <xm:sqref>D7:D36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33"/>
  <sheetViews>
    <sheetView showGridLines="0" topLeftCell="C4" workbookViewId="0">
      <selection activeCell="J6" sqref="J6"/>
    </sheetView>
  </sheetViews>
  <sheetFormatPr baseColWidth="10" defaultRowHeight="15" outlineLevelRow="1" outlineLevelCol="1" x14ac:dyDescent="0.2"/>
  <cols>
    <col min="1" max="2" width="11" style="2" hidden="1" customWidth="1" outlineLevel="1"/>
    <col min="3" max="3" width="2.625" style="13" customWidth="1" collapsed="1"/>
    <col min="4" max="4" width="12.625" style="1" customWidth="1"/>
    <col min="5" max="5" width="2.625" style="14" customWidth="1"/>
    <col min="6" max="6" width="12.625" style="1" customWidth="1"/>
    <col min="7" max="7" width="2.625" style="14" customWidth="1"/>
    <col min="8" max="8" width="12.625" style="1" customWidth="1"/>
    <col min="9" max="9" width="2.625" style="14" customWidth="1"/>
    <col min="10" max="10" width="12.625" style="1" customWidth="1"/>
    <col min="11" max="11" width="2.625" style="14" customWidth="1"/>
    <col min="12" max="12" width="12.625" style="1" customWidth="1"/>
    <col min="13" max="13" width="2.625" style="14" customWidth="1"/>
    <col min="14" max="14" width="12.625" style="1" customWidth="1"/>
    <col min="15" max="15" width="3.375" style="14" customWidth="1"/>
    <col min="16" max="16384" width="11" style="1"/>
  </cols>
  <sheetData>
    <row r="1" spans="1:16" s="2" customFormat="1" hidden="1" outlineLevel="1" x14ac:dyDescent="0.2">
      <c r="A1" s="2" t="str">
        <f ca="1">nameOfThisSheet()</f>
        <v>Datos Estaticos</v>
      </c>
      <c r="C1" s="11"/>
      <c r="E1" s="12"/>
      <c r="G1" s="12"/>
      <c r="I1" s="12"/>
      <c r="K1" s="12"/>
      <c r="L1" s="2">
        <f>COUNTA(fxDefinition)</f>
        <v>3</v>
      </c>
      <c r="M1" s="12"/>
      <c r="N1" s="2">
        <f>COUNTA(curveDefinition)</f>
        <v>4</v>
      </c>
      <c r="O1" s="12"/>
    </row>
    <row r="2" spans="1:16" s="2" customFormat="1" hidden="1" outlineLevel="1" x14ac:dyDescent="0.2">
      <c r="C2" s="11"/>
      <c r="E2" s="12"/>
      <c r="G2" s="12"/>
      <c r="I2" s="12"/>
      <c r="K2" s="12"/>
      <c r="L2" s="2" t="str">
        <f ca="1">$A$1&amp;"!O5:O"&amp;(5+L1-1)</f>
        <v>Datos Estaticos!O5:O7</v>
      </c>
      <c r="M2" s="12"/>
      <c r="N2" s="2" t="str">
        <f ca="1">$A$1&amp;"!Q5:Q"&amp;(5+N1-1)</f>
        <v>Datos Estaticos!Q5:Q8</v>
      </c>
      <c r="O2" s="12"/>
    </row>
    <row r="3" spans="1:16" s="2" customFormat="1" hidden="1" outlineLevel="1" x14ac:dyDescent="0.2">
      <c r="C3" s="11"/>
      <c r="E3" s="12"/>
      <c r="G3" s="12"/>
      <c r="I3" s="12"/>
      <c r="K3" s="12"/>
      <c r="M3" s="12"/>
      <c r="O3" s="12"/>
    </row>
    <row r="4" spans="1:16" ht="10.5" customHeight="1" collapsed="1" x14ac:dyDescent="0.2">
      <c r="C4" s="30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63"/>
    </row>
    <row r="5" spans="1:16" ht="42" customHeight="1" x14ac:dyDescent="0.2">
      <c r="C5" s="35" t="s">
        <v>126</v>
      </c>
      <c r="D5" s="58"/>
      <c r="E5" s="58"/>
      <c r="F5" s="30"/>
      <c r="G5" s="30"/>
      <c r="H5" s="30"/>
      <c r="I5" s="30"/>
      <c r="J5" s="30"/>
      <c r="K5" s="30"/>
      <c r="L5" s="30"/>
      <c r="M5" s="30"/>
      <c r="N5" s="30"/>
      <c r="O5" s="30"/>
      <c r="P5" s="39"/>
    </row>
    <row r="6" spans="1:16" s="13" customFormat="1" x14ac:dyDescent="0.2">
      <c r="A6" s="11"/>
      <c r="B6" s="11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9"/>
    </row>
    <row r="7" spans="1:16" s="13" customFormat="1" x14ac:dyDescent="0.2">
      <c r="A7" s="11"/>
      <c r="B7" s="11"/>
      <c r="C7" s="30"/>
      <c r="D7" s="33" t="s">
        <v>19</v>
      </c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9"/>
    </row>
    <row r="8" spans="1:16" ht="14.25" x14ac:dyDescent="0.2">
      <c r="C8" s="30"/>
      <c r="D8" s="50" t="s">
        <v>3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9"/>
    </row>
    <row r="9" spans="1:16" ht="14.25" x14ac:dyDescent="0.2"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9"/>
    </row>
    <row r="10" spans="1:16" ht="14.25" x14ac:dyDescent="0.2"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9"/>
    </row>
    <row r="11" spans="1:16" ht="14.25" x14ac:dyDescent="0.2"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9"/>
    </row>
    <row r="12" spans="1:16" ht="14.25" x14ac:dyDescent="0.2">
      <c r="C12" s="30"/>
      <c r="D12" s="33" t="s">
        <v>5</v>
      </c>
      <c r="E12" s="30"/>
      <c r="F12" s="33" t="s">
        <v>77</v>
      </c>
      <c r="G12" s="30"/>
      <c r="H12" s="33" t="s">
        <v>1</v>
      </c>
      <c r="I12" s="30"/>
      <c r="J12" s="33" t="s">
        <v>0</v>
      </c>
      <c r="K12" s="30"/>
      <c r="L12" s="33" t="s">
        <v>75</v>
      </c>
      <c r="M12" s="30"/>
      <c r="N12" s="33" t="s">
        <v>15</v>
      </c>
      <c r="O12" s="30"/>
      <c r="P12" s="39"/>
    </row>
    <row r="13" spans="1:16" ht="14.25" x14ac:dyDescent="0.2">
      <c r="C13" s="30"/>
      <c r="D13" s="50" t="s">
        <v>133</v>
      </c>
      <c r="E13" s="30"/>
      <c r="F13" s="50" t="s">
        <v>181</v>
      </c>
      <c r="G13" s="30"/>
      <c r="H13" s="50" t="s">
        <v>0</v>
      </c>
      <c r="I13" s="30"/>
      <c r="J13" s="50" t="s">
        <v>12</v>
      </c>
      <c r="K13" s="30"/>
      <c r="L13" s="50" t="s">
        <v>76</v>
      </c>
      <c r="M13" s="30"/>
      <c r="N13" s="50" t="s">
        <v>16</v>
      </c>
      <c r="O13" s="30"/>
      <c r="P13" s="39"/>
    </row>
    <row r="14" spans="1:16" ht="14.25" x14ac:dyDescent="0.2">
      <c r="C14" s="30"/>
      <c r="D14" s="50" t="s">
        <v>13</v>
      </c>
      <c r="E14" s="30"/>
      <c r="F14" s="94" t="s">
        <v>179</v>
      </c>
      <c r="G14" s="30"/>
      <c r="H14" s="50" t="s">
        <v>15</v>
      </c>
      <c r="I14" s="30"/>
      <c r="J14" s="50"/>
      <c r="K14" s="30"/>
      <c r="L14" s="50" t="s">
        <v>3</v>
      </c>
      <c r="M14" s="30"/>
      <c r="N14" s="50" t="s">
        <v>17</v>
      </c>
      <c r="O14" s="30"/>
      <c r="P14" s="39"/>
    </row>
    <row r="15" spans="1:16" ht="14.25" x14ac:dyDescent="0.2">
      <c r="C15" s="30"/>
      <c r="D15" s="94" t="s">
        <v>4</v>
      </c>
      <c r="E15" s="30"/>
      <c r="F15" s="94" t="s">
        <v>180</v>
      </c>
      <c r="G15" s="30"/>
      <c r="H15" s="50"/>
      <c r="I15" s="30"/>
      <c r="J15" s="50"/>
      <c r="K15" s="30"/>
      <c r="L15" s="50" t="s">
        <v>14</v>
      </c>
      <c r="M15" s="30"/>
      <c r="N15" s="50" t="s">
        <v>74</v>
      </c>
      <c r="O15" s="30"/>
      <c r="P15" s="39"/>
    </row>
    <row r="16" spans="1:16" ht="14.25" x14ac:dyDescent="0.2">
      <c r="C16" s="30"/>
      <c r="D16" s="94"/>
      <c r="E16" s="30"/>
      <c r="F16" s="94" t="s">
        <v>182</v>
      </c>
      <c r="G16" s="30"/>
      <c r="H16" s="50"/>
      <c r="I16" s="30"/>
      <c r="J16" s="50"/>
      <c r="K16" s="30"/>
      <c r="L16" s="50" t="s">
        <v>134</v>
      </c>
      <c r="M16" s="30"/>
      <c r="N16" s="50"/>
      <c r="O16" s="30"/>
      <c r="P16" s="39"/>
    </row>
    <row r="17" spans="3:16" ht="14.25" x14ac:dyDescent="0.2">
      <c r="C17" s="30"/>
      <c r="D17" s="94"/>
      <c r="E17" s="30"/>
      <c r="F17" s="94"/>
      <c r="G17" s="30"/>
      <c r="H17" s="50"/>
      <c r="I17" s="30"/>
      <c r="J17" s="50"/>
      <c r="K17" s="30"/>
      <c r="L17" s="50" t="s">
        <v>136</v>
      </c>
      <c r="M17" s="30"/>
      <c r="N17" s="50"/>
      <c r="O17" s="30"/>
      <c r="P17" s="39"/>
    </row>
    <row r="18" spans="3:16" ht="14.25" x14ac:dyDescent="0.2">
      <c r="C18" s="30"/>
      <c r="D18" s="94"/>
      <c r="E18" s="30"/>
      <c r="F18" s="94"/>
      <c r="G18" s="30"/>
      <c r="H18" s="50"/>
      <c r="I18" s="30"/>
      <c r="J18" s="50"/>
      <c r="K18" s="30"/>
      <c r="L18" s="50" t="s">
        <v>137</v>
      </c>
      <c r="M18" s="30"/>
      <c r="N18" s="50"/>
      <c r="O18" s="30"/>
      <c r="P18" s="39"/>
    </row>
    <row r="19" spans="3:16" ht="14.25" x14ac:dyDescent="0.2">
      <c r="C19" s="30"/>
      <c r="D19" s="94"/>
      <c r="E19" s="30"/>
      <c r="F19" s="94"/>
      <c r="G19" s="30"/>
      <c r="H19" s="50"/>
      <c r="I19" s="30"/>
      <c r="J19" s="50"/>
      <c r="K19" s="30"/>
      <c r="L19" s="50" t="s">
        <v>2</v>
      </c>
      <c r="M19" s="30"/>
      <c r="N19" s="50"/>
      <c r="O19" s="30"/>
      <c r="P19" s="39"/>
    </row>
    <row r="20" spans="3:16" ht="14.25" x14ac:dyDescent="0.2">
      <c r="C20" s="30"/>
      <c r="D20" s="50"/>
      <c r="E20" s="30"/>
      <c r="F20" s="94"/>
      <c r="G20" s="30"/>
      <c r="H20" s="50"/>
      <c r="I20" s="30"/>
      <c r="J20" s="50"/>
      <c r="K20" s="30"/>
      <c r="L20" s="50" t="s">
        <v>135</v>
      </c>
      <c r="M20" s="30"/>
      <c r="N20" s="50"/>
      <c r="O20" s="30"/>
      <c r="P20" s="39"/>
    </row>
    <row r="21" spans="3:16" ht="14.25" x14ac:dyDescent="0.2">
      <c r="C21" s="30"/>
      <c r="D21" s="50"/>
      <c r="E21" s="30"/>
      <c r="F21" s="94"/>
      <c r="G21" s="30"/>
      <c r="H21" s="50"/>
      <c r="I21" s="30"/>
      <c r="J21" s="50"/>
      <c r="K21" s="30"/>
      <c r="L21" s="50"/>
      <c r="M21" s="30"/>
      <c r="N21" s="50"/>
      <c r="O21" s="30"/>
      <c r="P21" s="39"/>
    </row>
    <row r="22" spans="3:16" ht="14.25" x14ac:dyDescent="0.2">
      <c r="C22" s="30"/>
      <c r="D22" s="50"/>
      <c r="E22" s="30"/>
      <c r="F22" s="94"/>
      <c r="G22" s="30"/>
      <c r="H22" s="50"/>
      <c r="I22" s="30"/>
      <c r="J22" s="50"/>
      <c r="K22" s="30"/>
      <c r="L22" s="50"/>
      <c r="M22" s="30"/>
      <c r="N22" s="50"/>
      <c r="O22" s="30"/>
      <c r="P22" s="39"/>
    </row>
    <row r="23" spans="3:16" ht="14.25" x14ac:dyDescent="0.2">
      <c r="C23" s="30"/>
      <c r="D23" s="50"/>
      <c r="E23" s="30"/>
      <c r="F23" s="94"/>
      <c r="G23" s="30"/>
      <c r="H23" s="50"/>
      <c r="I23" s="30"/>
      <c r="J23" s="50"/>
      <c r="K23" s="30"/>
      <c r="L23" s="50"/>
      <c r="M23" s="30"/>
      <c r="N23" s="50"/>
      <c r="O23" s="30"/>
      <c r="P23" s="39"/>
    </row>
    <row r="24" spans="3:16" ht="14.25" x14ac:dyDescent="0.2">
      <c r="C24" s="30"/>
      <c r="D24" s="50"/>
      <c r="E24" s="30"/>
      <c r="F24" s="94"/>
      <c r="G24" s="30"/>
      <c r="H24" s="50"/>
      <c r="I24" s="30"/>
      <c r="J24" s="50"/>
      <c r="K24" s="30"/>
      <c r="L24" s="50"/>
      <c r="M24" s="30"/>
      <c r="N24" s="50"/>
      <c r="O24" s="30"/>
      <c r="P24" s="39"/>
    </row>
    <row r="25" spans="3:16" ht="14.25" x14ac:dyDescent="0.2">
      <c r="C25" s="30"/>
      <c r="D25" s="50"/>
      <c r="E25" s="30"/>
      <c r="F25" s="94"/>
      <c r="G25" s="30"/>
      <c r="H25" s="50"/>
      <c r="I25" s="30"/>
      <c r="J25" s="50"/>
      <c r="K25" s="30"/>
      <c r="L25" s="50"/>
      <c r="M25" s="30"/>
      <c r="N25" s="50"/>
      <c r="O25" s="30"/>
      <c r="P25" s="39"/>
    </row>
    <row r="26" spans="3:16" ht="14.25" x14ac:dyDescent="0.2">
      <c r="C26" s="30"/>
      <c r="D26" s="50"/>
      <c r="E26" s="30"/>
      <c r="F26" s="94"/>
      <c r="G26" s="30"/>
      <c r="H26" s="50"/>
      <c r="I26" s="30"/>
      <c r="J26" s="50"/>
      <c r="K26" s="30"/>
      <c r="L26" s="50"/>
      <c r="M26" s="30"/>
      <c r="N26" s="50"/>
      <c r="O26" s="30"/>
      <c r="P26" s="39"/>
    </row>
    <row r="27" spans="3:16" ht="14.25" x14ac:dyDescent="0.2">
      <c r="C27" s="30"/>
      <c r="D27" s="50"/>
      <c r="E27" s="30"/>
      <c r="F27" s="50"/>
      <c r="G27" s="30"/>
      <c r="H27" s="50"/>
      <c r="I27" s="30"/>
      <c r="J27" s="50"/>
      <c r="K27" s="30"/>
      <c r="L27" s="50"/>
      <c r="M27" s="30"/>
      <c r="N27" s="50"/>
      <c r="O27" s="30"/>
      <c r="P27" s="39"/>
    </row>
    <row r="28" spans="3:16" ht="14.25" x14ac:dyDescent="0.2">
      <c r="C28" s="30"/>
      <c r="D28" s="50"/>
      <c r="E28" s="30"/>
      <c r="F28" s="50"/>
      <c r="G28" s="30"/>
      <c r="H28" s="50"/>
      <c r="I28" s="30"/>
      <c r="J28" s="50"/>
      <c r="K28" s="30"/>
      <c r="L28" s="50"/>
      <c r="M28" s="30"/>
      <c r="N28" s="50"/>
      <c r="O28" s="30"/>
      <c r="P28" s="39"/>
    </row>
    <row r="29" spans="3:16" ht="14.25" x14ac:dyDescent="0.2">
      <c r="C29" s="30"/>
      <c r="D29" s="50"/>
      <c r="E29" s="30"/>
      <c r="F29" s="50"/>
      <c r="G29" s="30"/>
      <c r="H29" s="50"/>
      <c r="I29" s="30"/>
      <c r="J29" s="50"/>
      <c r="K29" s="30"/>
      <c r="L29" s="50"/>
      <c r="M29" s="30"/>
      <c r="N29" s="50"/>
      <c r="O29" s="30"/>
      <c r="P29" s="39"/>
    </row>
    <row r="30" spans="3:16" ht="14.25" x14ac:dyDescent="0.2">
      <c r="C30" s="30"/>
      <c r="D30" s="50"/>
      <c r="E30" s="30"/>
      <c r="F30" s="50"/>
      <c r="G30" s="30"/>
      <c r="H30" s="50"/>
      <c r="I30" s="30"/>
      <c r="J30" s="50"/>
      <c r="K30" s="30"/>
      <c r="L30" s="50"/>
      <c r="M30" s="30"/>
      <c r="N30" s="50"/>
      <c r="O30" s="30"/>
      <c r="P30" s="39"/>
    </row>
    <row r="31" spans="3:16" ht="14.25" x14ac:dyDescent="0.2">
      <c r="C31" s="30"/>
      <c r="D31" s="50"/>
      <c r="E31" s="30"/>
      <c r="F31" s="50"/>
      <c r="G31" s="30"/>
      <c r="H31" s="50"/>
      <c r="I31" s="30"/>
      <c r="J31" s="50"/>
      <c r="K31" s="30"/>
      <c r="L31" s="50"/>
      <c r="M31" s="30"/>
      <c r="N31" s="50"/>
      <c r="O31" s="30"/>
      <c r="P31" s="39"/>
    </row>
    <row r="32" spans="3:16" ht="14.25" x14ac:dyDescent="0.2">
      <c r="C32" s="30"/>
      <c r="D32" s="50"/>
      <c r="E32" s="30"/>
      <c r="F32" s="50"/>
      <c r="G32" s="30"/>
      <c r="H32" s="50"/>
      <c r="I32" s="30"/>
      <c r="J32" s="50"/>
      <c r="K32" s="30"/>
      <c r="L32" s="50"/>
      <c r="M32" s="30"/>
      <c r="N32" s="50"/>
      <c r="O32" s="30"/>
      <c r="P32" s="39"/>
    </row>
    <row r="33" spans="3:16" ht="14.25" x14ac:dyDescent="0.2"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7"/>
    </row>
  </sheetData>
  <sheetProtection selectLockedCells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¡Atención!" error="No es una Moneda Base válida. Ver Hoja &quot;Auxiliar&quot;.">
          <x14:formula1>
            <xm:f>Auxiliar!$D$5:$D$9</xm:f>
          </x14:formula1>
          <xm:sqref>D8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L19"/>
  <sheetViews>
    <sheetView showGridLines="0" topLeftCell="C3" workbookViewId="0">
      <selection activeCell="I14" sqref="I14"/>
    </sheetView>
  </sheetViews>
  <sheetFormatPr baseColWidth="10" defaultRowHeight="14.25" outlineLevelRow="1" outlineLevelCol="1" x14ac:dyDescent="0.2"/>
  <cols>
    <col min="1" max="2" width="0" style="2" hidden="1" customWidth="1" outlineLevel="1"/>
    <col min="3" max="3" width="2.625" style="1" customWidth="1" collapsed="1"/>
    <col min="4" max="4" width="12.625" style="1" customWidth="1"/>
    <col min="5" max="7" width="10.625" style="1" customWidth="1"/>
    <col min="8" max="16384" width="11" style="1"/>
  </cols>
  <sheetData>
    <row r="1" spans="1:8" s="2" customFormat="1" hidden="1" outlineLevel="1" x14ac:dyDescent="0.2">
      <c r="A1" s="2" t="str">
        <f ca="1">nameOfThisSheet()</f>
        <v>Auxiliar</v>
      </c>
      <c r="C1" s="2">
        <f>maxRows()</f>
        <v>1048576</v>
      </c>
    </row>
    <row r="2" spans="1:8" s="2" customFormat="1" hidden="1" outlineLevel="1" x14ac:dyDescent="0.2"/>
    <row r="3" spans="1:8" ht="9.9499999999999993" customHeight="1" collapsed="1" x14ac:dyDescent="0.2">
      <c r="C3" s="62"/>
      <c r="D3" s="62"/>
      <c r="E3" s="62"/>
      <c r="F3" s="62"/>
      <c r="G3" s="62"/>
      <c r="H3" s="39"/>
    </row>
    <row r="4" spans="1:8" x14ac:dyDescent="0.2">
      <c r="C4" s="62"/>
      <c r="D4" s="74" t="s">
        <v>79</v>
      </c>
      <c r="E4" s="74" t="s">
        <v>80</v>
      </c>
      <c r="F4" s="74" t="s">
        <v>106</v>
      </c>
      <c r="G4" s="33" t="s">
        <v>128</v>
      </c>
      <c r="H4" s="39"/>
    </row>
    <row r="5" spans="1:8" x14ac:dyDescent="0.2">
      <c r="C5" s="62"/>
      <c r="D5" s="78" t="s">
        <v>3</v>
      </c>
      <c r="E5" s="78" t="s">
        <v>102</v>
      </c>
      <c r="F5" s="78">
        <f>22*12</f>
        <v>264</v>
      </c>
      <c r="G5" s="78" t="s">
        <v>131</v>
      </c>
      <c r="H5" s="39"/>
    </row>
    <row r="6" spans="1:8" x14ac:dyDescent="0.2">
      <c r="C6" s="62"/>
      <c r="D6" s="78" t="s">
        <v>2</v>
      </c>
      <c r="E6" s="78" t="s">
        <v>63</v>
      </c>
      <c r="F6" s="62"/>
      <c r="G6" s="79" t="s">
        <v>132</v>
      </c>
      <c r="H6" s="39"/>
    </row>
    <row r="7" spans="1:8" x14ac:dyDescent="0.2">
      <c r="C7" s="62"/>
      <c r="D7" s="78"/>
      <c r="E7" s="62"/>
      <c r="F7" s="62"/>
      <c r="G7" s="62"/>
      <c r="H7" s="39"/>
    </row>
    <row r="8" spans="1:8" x14ac:dyDescent="0.2">
      <c r="C8" s="62"/>
      <c r="D8" s="78"/>
      <c r="E8" s="62"/>
      <c r="F8" s="62"/>
      <c r="G8" s="62"/>
      <c r="H8" s="39"/>
    </row>
    <row r="9" spans="1:8" x14ac:dyDescent="0.2">
      <c r="C9" s="62"/>
      <c r="D9" s="78"/>
      <c r="E9" s="62"/>
      <c r="F9" s="62"/>
      <c r="G9" s="62"/>
      <c r="H9" s="39"/>
    </row>
    <row r="10" spans="1:8" x14ac:dyDescent="0.2">
      <c r="C10" s="66"/>
      <c r="D10" s="66"/>
      <c r="E10" s="66"/>
      <c r="F10" s="66"/>
      <c r="G10" s="66"/>
      <c r="H10" s="67"/>
    </row>
    <row r="19" spans="12:12" x14ac:dyDescent="0.2">
      <c r="L19" s="111"/>
    </row>
  </sheetData>
  <sheetProtection selectLockedCell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B22"/>
  <sheetViews>
    <sheetView showGridLines="0" workbookViewId="0">
      <selection activeCell="D9" sqref="D9"/>
    </sheetView>
  </sheetViews>
  <sheetFormatPr baseColWidth="10" defaultRowHeight="14.25" x14ac:dyDescent="0.2"/>
  <cols>
    <col min="1" max="1" width="14" style="31" bestFit="1" customWidth="1"/>
    <col min="2" max="2" width="37.875" style="31" customWidth="1"/>
    <col min="3" max="16384" width="11" style="31"/>
  </cols>
  <sheetData>
    <row r="1" spans="1:2" x14ac:dyDescent="0.2">
      <c r="A1" s="33" t="s">
        <v>148</v>
      </c>
      <c r="B1" s="33" t="s">
        <v>149</v>
      </c>
    </row>
    <row r="2" spans="1:2" ht="36" x14ac:dyDescent="0.2">
      <c r="A2" s="64" t="s">
        <v>18</v>
      </c>
      <c r="B2" s="64" t="s">
        <v>150</v>
      </c>
    </row>
    <row r="3" spans="1:2" x14ac:dyDescent="0.2">
      <c r="A3" s="64" t="s">
        <v>1</v>
      </c>
      <c r="B3" s="64" t="s">
        <v>151</v>
      </c>
    </row>
    <row r="4" spans="1:2" ht="36" x14ac:dyDescent="0.2">
      <c r="A4" s="64" t="s">
        <v>11</v>
      </c>
      <c r="B4" s="64" t="s">
        <v>152</v>
      </c>
    </row>
    <row r="5" spans="1:2" ht="24" x14ac:dyDescent="0.2">
      <c r="A5" s="64" t="s">
        <v>10</v>
      </c>
      <c r="B5" s="64" t="s">
        <v>153</v>
      </c>
    </row>
    <row r="6" spans="1:2" ht="48" x14ac:dyDescent="0.2">
      <c r="A6" s="64" t="s">
        <v>29</v>
      </c>
      <c r="B6" s="64" t="s">
        <v>154</v>
      </c>
    </row>
    <row r="7" spans="1:2" ht="48" x14ac:dyDescent="0.2">
      <c r="A7" s="64" t="s">
        <v>30</v>
      </c>
      <c r="B7" s="64" t="s">
        <v>155</v>
      </c>
    </row>
    <row r="8" spans="1:2" x14ac:dyDescent="0.2">
      <c r="A8" s="64" t="s">
        <v>31</v>
      </c>
      <c r="B8" s="64" t="s">
        <v>156</v>
      </c>
    </row>
    <row r="9" spans="1:2" x14ac:dyDescent="0.2">
      <c r="A9" s="64" t="s">
        <v>32</v>
      </c>
      <c r="B9" s="64" t="s">
        <v>157</v>
      </c>
    </row>
    <row r="10" spans="1:2" x14ac:dyDescent="0.2">
      <c r="A10" s="64" t="s">
        <v>33</v>
      </c>
      <c r="B10" s="64" t="s">
        <v>158</v>
      </c>
    </row>
    <row r="11" spans="1:2" ht="24" x14ac:dyDescent="0.2">
      <c r="A11" s="64" t="s">
        <v>34</v>
      </c>
      <c r="B11" s="64" t="s">
        <v>159</v>
      </c>
    </row>
    <row r="12" spans="1:2" ht="48" x14ac:dyDescent="0.2">
      <c r="A12" s="64" t="s">
        <v>35</v>
      </c>
      <c r="B12" s="64" t="s">
        <v>160</v>
      </c>
    </row>
    <row r="13" spans="1:2" ht="24" x14ac:dyDescent="0.2">
      <c r="A13" s="64" t="s">
        <v>36</v>
      </c>
      <c r="B13" s="64" t="s">
        <v>161</v>
      </c>
    </row>
    <row r="14" spans="1:2" ht="24" x14ac:dyDescent="0.2">
      <c r="A14" s="64" t="s">
        <v>37</v>
      </c>
      <c r="B14" s="64" t="s">
        <v>162</v>
      </c>
    </row>
    <row r="15" spans="1:2" ht="36" x14ac:dyDescent="0.2">
      <c r="A15" s="64" t="s">
        <v>38</v>
      </c>
      <c r="B15" s="64" t="s">
        <v>163</v>
      </c>
    </row>
    <row r="16" spans="1:2" ht="24" x14ac:dyDescent="0.2">
      <c r="A16" s="64" t="s">
        <v>39</v>
      </c>
      <c r="B16" s="64" t="s">
        <v>164</v>
      </c>
    </row>
    <row r="17" spans="1:2" x14ac:dyDescent="0.2">
      <c r="A17" s="64" t="s">
        <v>40</v>
      </c>
      <c r="B17" s="64" t="s">
        <v>165</v>
      </c>
    </row>
    <row r="18" spans="1:2" ht="48" x14ac:dyDescent="0.2">
      <c r="A18" s="64" t="s">
        <v>41</v>
      </c>
      <c r="B18" s="64" t="s">
        <v>166</v>
      </c>
    </row>
    <row r="19" spans="1:2" ht="24" x14ac:dyDescent="0.2">
      <c r="A19" s="64" t="s">
        <v>42</v>
      </c>
      <c r="B19" s="64" t="s">
        <v>167</v>
      </c>
    </row>
    <row r="20" spans="1:2" x14ac:dyDescent="0.2">
      <c r="A20" s="64" t="s">
        <v>43</v>
      </c>
      <c r="B20" s="64" t="s">
        <v>168</v>
      </c>
    </row>
    <row r="21" spans="1:2" x14ac:dyDescent="0.2">
      <c r="A21" s="64" t="s">
        <v>44</v>
      </c>
      <c r="B21" s="64" t="s">
        <v>169</v>
      </c>
    </row>
    <row r="22" spans="1:2" x14ac:dyDescent="0.2">
      <c r="A22" s="64" t="s">
        <v>45</v>
      </c>
      <c r="B22" s="64" t="s">
        <v>170</v>
      </c>
    </row>
  </sheetData>
  <sheetProtection select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49</vt:i4>
      </vt:variant>
    </vt:vector>
  </HeadingPairs>
  <TitlesOfParts>
    <vt:vector size="60" baseType="lpstr">
      <vt:lpstr>NettingSets</vt:lpstr>
      <vt:lpstr>Operations</vt:lpstr>
      <vt:lpstr>Custom Amort</vt:lpstr>
      <vt:lpstr>Mkt</vt:lpstr>
      <vt:lpstr>Model Parameters</vt:lpstr>
      <vt:lpstr>Simulacion</vt:lpstr>
      <vt:lpstr>Valorizacion y Metricas</vt:lpstr>
      <vt:lpstr>Resultados</vt:lpstr>
      <vt:lpstr>Datos Estaticos</vt:lpstr>
      <vt:lpstr>Auxiliar</vt:lpstr>
      <vt:lpstr>Ayuda</vt:lpstr>
      <vt:lpstr>curr</vt:lpstr>
      <vt:lpstr>curveDefinition</vt:lpstr>
      <vt:lpstr>DT</vt:lpstr>
      <vt:lpstr>fwd</vt:lpstr>
      <vt:lpstr>fxDefinition</vt:lpstr>
      <vt:lpstr>maxRowsValue</vt:lpstr>
      <vt:lpstr>mktFactors</vt:lpstr>
      <vt:lpstr>monedaBase</vt:lpstr>
      <vt:lpstr>numberCurvas</vt:lpstr>
      <vt:lpstr>numberFactors</vt:lpstr>
      <vt:lpstr>numberFX</vt:lpstr>
      <vt:lpstr>numberGamma</vt:lpstr>
      <vt:lpstr>numberNettingSets</vt:lpstr>
      <vt:lpstr>numberRho</vt:lpstr>
      <vt:lpstr>numberSigma</vt:lpstr>
      <vt:lpstr>okNettingSet</vt:lpstr>
      <vt:lpstr>originCurves</vt:lpstr>
      <vt:lpstr>originCustomAmort</vt:lpstr>
      <vt:lpstr>originDatosInstitucion</vt:lpstr>
      <vt:lpstr>originDealNumberNettingSet</vt:lpstr>
      <vt:lpstr>originFX</vt:lpstr>
      <vt:lpstr>originGamma</vt:lpstr>
      <vt:lpstr>originNettingSetParaValorizar</vt:lpstr>
      <vt:lpstr>originNettingSets</vt:lpstr>
      <vt:lpstr>originOperations</vt:lpstr>
      <vt:lpstr>originRho</vt:lpstr>
      <vt:lpstr>originSigma</vt:lpstr>
      <vt:lpstr>originSimFactores</vt:lpstr>
      <vt:lpstr>originStoppingTimes</vt:lpstr>
      <vt:lpstr>percentil</vt:lpstr>
      <vt:lpstr>rangeCurvas</vt:lpstr>
      <vt:lpstr>rangeCustomAmort</vt:lpstr>
      <vt:lpstr>rangeDealNumberNettingSet</vt:lpstr>
      <vt:lpstr>rangeFX</vt:lpstr>
      <vt:lpstr>rangeGamma</vt:lpstr>
      <vt:lpstr>rangeMarketCurves</vt:lpstr>
      <vt:lpstr>rangeMarketFX</vt:lpstr>
      <vt:lpstr>rangeNettingSets</vt:lpstr>
      <vt:lpstr>rangeNettingSetsParaValorizar</vt:lpstr>
      <vt:lpstr>rangeOperations</vt:lpstr>
      <vt:lpstr>rangeRho</vt:lpstr>
      <vt:lpstr>rangeSigma</vt:lpstr>
      <vt:lpstr>rangeSimFactores</vt:lpstr>
      <vt:lpstr>rangeStoppingTimes</vt:lpstr>
      <vt:lpstr>simHorizonte</vt:lpstr>
      <vt:lpstr>simIteraciones</vt:lpstr>
      <vt:lpstr>simRunTime</vt:lpstr>
      <vt:lpstr>swp</vt:lpstr>
      <vt:lpstr>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</dc:creator>
  <cp:lastModifiedBy>EFAA</cp:lastModifiedBy>
  <cp:lastPrinted>2014-12-14T20:05:02Z</cp:lastPrinted>
  <dcterms:created xsi:type="dcterms:W3CDTF">2014-03-13T12:50:07Z</dcterms:created>
  <dcterms:modified xsi:type="dcterms:W3CDTF">2015-01-29T21:05:32Z</dcterms:modified>
</cp:coreProperties>
</file>