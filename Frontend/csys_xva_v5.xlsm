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-15" yWindow="5400" windowWidth="21840" windowHeight="7365" tabRatio="866"/>
  </bookViews>
  <sheets>
    <sheet name="NettingSets" sheetId="11" r:id="rId1"/>
    <sheet name="Operations" sheetId="1" r:id="rId2"/>
    <sheet name="Custom Amort" sheetId="15" r:id="rId3"/>
    <sheet name="Mkt" sheetId="2" r:id="rId4"/>
    <sheet name="Model Parameters" sheetId="5" r:id="rId5"/>
    <sheet name="Simulacion" sheetId="6" r:id="rId6"/>
    <sheet name="Valorizacion y Metricas" sheetId="12" r:id="rId7"/>
    <sheet name="Resultados" sheetId="13" r:id="rId8"/>
    <sheet name="Datos Estaticos" sheetId="4" r:id="rId9"/>
    <sheet name="Auxiliar" sheetId="9" r:id="rId10"/>
    <sheet name="Ayuda" sheetId="16" r:id="rId11"/>
  </sheets>
  <functionGroups builtInGroupCount="17"/>
  <definedNames>
    <definedName name="_xlnm._FilterDatabase" localSheetId="3" hidden="1">Mkt!$I$8:$K$300</definedName>
    <definedName name="_xlnm._FilterDatabase" localSheetId="0" hidden="1">NettingSets!$D$11:$N$11</definedName>
    <definedName name="curr">'Datos Estaticos'!$L$13:$L$32</definedName>
    <definedName name="curveDefinition">'Datos Estaticos'!$F$13:$F$32</definedName>
    <definedName name="DT">Auxiliar!$F$5</definedName>
    <definedName name="fwd">'Datos Estaticos'!$J$13:$J$32</definedName>
    <definedName name="fxDefinition">'Datos Estaticos'!$D$13:$D$32</definedName>
    <definedName name="maxRowsValue">Auxiliar!$C$1</definedName>
    <definedName name="mktFactors">Simulacion!$D$8:$E$27</definedName>
    <definedName name="monedaBase">'Datos Estaticos'!$D$8</definedName>
    <definedName name="numberCurvas">'Datos Estaticos'!$N$1</definedName>
    <definedName name="numberFactors">Simulacion!$C$2</definedName>
    <definedName name="numberFX">'Datos Estaticos'!$L$1</definedName>
    <definedName name="numberGamma">'Model Parameters'!$B$11</definedName>
    <definedName name="numberNettingSets">NettingSets!$D$1</definedName>
    <definedName name="numberRho">'Model Parameters'!$B$31</definedName>
    <definedName name="numberSigma">'Model Parameters'!$B$21</definedName>
    <definedName name="okNettingSet">NettingSets!$D$4</definedName>
    <definedName name="originCurves">Mkt!$I$9</definedName>
    <definedName name="originCustomAmort">'Custom Amort'!$D$9</definedName>
    <definedName name="originDatosInstitucion">NettingSets!$S$12</definedName>
    <definedName name="originDealNumberNettingSet">NettingSets!$P$12</definedName>
    <definedName name="originFX">Mkt!$D$9</definedName>
    <definedName name="originGamma">'Model Parameters'!$D$8</definedName>
    <definedName name="originNettingSetParaValorizar">'Valorizacion y Metricas'!$D$8</definedName>
    <definedName name="originNettingSets">NettingSets!$D$12</definedName>
    <definedName name="originOperations">Operations!$D$9</definedName>
    <definedName name="originRho">'Model Parameters'!$J$8</definedName>
    <definedName name="originSigma">'Model Parameters'!$G$8</definedName>
    <definedName name="originSimFactores">Simulacion!$D$8</definedName>
    <definedName name="originStoppingTimes">'Valorizacion y Metricas'!$G$8</definedName>
    <definedName name="rangeCurvas">'Datos Estaticos'!$N$2</definedName>
    <definedName name="rangeCustomAmort">'Custom Amort'!$B$12</definedName>
    <definedName name="rangeDealNumberNettingSet">NettingSets!$B$26</definedName>
    <definedName name="rangeFX">'Datos Estaticos'!$L$2</definedName>
    <definedName name="rangeGamma">'Model Parameters'!$B$13</definedName>
    <definedName name="rangeMarketCurves">Mkt!$B$21</definedName>
    <definedName name="rangeMarketFX">Mkt!$B$12</definedName>
    <definedName name="rangeNettingSets">NettingSets!$B$17</definedName>
    <definedName name="rangeNettingSetsParaValorizar">'Valorizacion y Metricas'!$B$15</definedName>
    <definedName name="rangeOperations">Operations!$B$12</definedName>
    <definedName name="rangeRho">'Model Parameters'!$B$33</definedName>
    <definedName name="rangeSigma">'Model Parameters'!$B$23</definedName>
    <definedName name="rangeSimFactores">Simulacion!$B$13</definedName>
    <definedName name="rangeStoppingTimes">'Valorizacion y Metricas'!$B$26</definedName>
    <definedName name="simHorizonte">Simulacion!$I$7</definedName>
    <definedName name="simIteraciones">Simulacion!$I$8</definedName>
    <definedName name="simRunTime">Simulacion!$I$10</definedName>
    <definedName name="swp">'Datos Estaticos'!$N$13:$N$32</definedName>
    <definedName name="type">'Datos Estaticos'!$H$13:$H$32</definedName>
  </definedNames>
  <calcPr calcId="145621" concurrentCalc="0"/>
</workbook>
</file>

<file path=xl/calcChain.xml><?xml version="1.0" encoding="utf-8"?>
<calcChain xmlns="http://schemas.openxmlformats.org/spreadsheetml/2006/main">
  <c r="N1" i="11" l="1"/>
  <c r="M1" i="11"/>
  <c r="L1" i="11"/>
  <c r="K1" i="11"/>
  <c r="J1" i="11"/>
  <c r="F3" i="11"/>
  <c r="G3" i="11"/>
  <c r="AP17" i="1"/>
  <c r="AP16" i="1"/>
  <c r="AP15" i="1"/>
  <c r="AP14" i="1"/>
  <c r="AP13" i="1"/>
  <c r="AP12" i="1"/>
  <c r="AP11" i="1"/>
  <c r="AP10" i="1"/>
  <c r="AP9" i="1"/>
  <c r="N7" i="13"/>
  <c r="N10" i="13"/>
  <c r="N8" i="13"/>
  <c r="N9" i="13"/>
  <c r="AP20" i="1"/>
  <c r="AP19" i="1"/>
  <c r="AP18" i="1"/>
  <c r="AP21" i="1"/>
  <c r="AR9" i="1"/>
  <c r="N9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E21" i="13" a="1"/>
  <c r="E23" i="13" a="1"/>
  <c r="E25" i="13" a="1"/>
  <c r="E27" i="13" a="1"/>
  <c r="E29" i="13" a="1"/>
  <c r="E31" i="13" a="1"/>
  <c r="E22" i="13" a="1"/>
  <c r="E26" i="13" a="1"/>
  <c r="E30" i="13" a="1"/>
  <c r="E33" i="13" a="1"/>
  <c r="E35" i="13" a="1"/>
  <c r="E24" i="13" a="1"/>
  <c r="E28" i="13" a="1"/>
  <c r="E32" i="13" a="1"/>
  <c r="E34" i="13" a="1"/>
  <c r="E36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36" i="13"/>
  <c r="G36" i="13"/>
  <c r="I36" i="13"/>
  <c r="K36" i="13"/>
  <c r="F36" i="13"/>
  <c r="H36" i="13"/>
  <c r="J36" i="13"/>
  <c r="L36" i="13"/>
  <c r="E34" i="13"/>
  <c r="G34" i="13"/>
  <c r="I34" i="13"/>
  <c r="K34" i="13"/>
  <c r="F34" i="13"/>
  <c r="H34" i="13"/>
  <c r="J34" i="13"/>
  <c r="L34" i="13"/>
  <c r="E32" i="13"/>
  <c r="G32" i="13"/>
  <c r="I32" i="13"/>
  <c r="K32" i="13"/>
  <c r="F32" i="13"/>
  <c r="H32" i="13"/>
  <c r="J32" i="13"/>
  <c r="L32" i="13"/>
  <c r="E28" i="13"/>
  <c r="G28" i="13"/>
  <c r="I28" i="13"/>
  <c r="K28" i="13"/>
  <c r="F28" i="13"/>
  <c r="J28" i="13"/>
  <c r="H28" i="13"/>
  <c r="L28" i="13"/>
  <c r="E24" i="13"/>
  <c r="G24" i="13"/>
  <c r="I24" i="13"/>
  <c r="K24" i="13"/>
  <c r="F24" i="13"/>
  <c r="J24" i="13"/>
  <c r="H24" i="13"/>
  <c r="L24" i="13"/>
  <c r="E20" i="13"/>
  <c r="G20" i="13"/>
  <c r="I20" i="13"/>
  <c r="K20" i="13"/>
  <c r="F20" i="13"/>
  <c r="J20" i="13"/>
  <c r="H20" i="13"/>
  <c r="L20" i="13"/>
  <c r="E16" i="13"/>
  <c r="G16" i="13"/>
  <c r="I16" i="13"/>
  <c r="K16" i="13"/>
  <c r="F16" i="13"/>
  <c r="J16" i="13"/>
  <c r="H16" i="13"/>
  <c r="L16" i="13"/>
  <c r="E12" i="13"/>
  <c r="G12" i="13"/>
  <c r="I12" i="13"/>
  <c r="K12" i="13"/>
  <c r="F12" i="13"/>
  <c r="J12" i="13"/>
  <c r="H12" i="13"/>
  <c r="L12" i="13"/>
  <c r="F35" i="13"/>
  <c r="H35" i="13"/>
  <c r="J35" i="13"/>
  <c r="L35" i="13"/>
  <c r="E35" i="13"/>
  <c r="G35" i="13"/>
  <c r="I35" i="13"/>
  <c r="K35" i="13"/>
  <c r="F33" i="13"/>
  <c r="H33" i="13"/>
  <c r="J33" i="13"/>
  <c r="L33" i="13"/>
  <c r="E33" i="13"/>
  <c r="G33" i="13"/>
  <c r="I33" i="13"/>
  <c r="K33" i="13"/>
  <c r="E30" i="13"/>
  <c r="G30" i="13"/>
  <c r="I30" i="13"/>
  <c r="K30" i="13"/>
  <c r="H30" i="13"/>
  <c r="L30" i="13"/>
  <c r="F30" i="13"/>
  <c r="J30" i="13"/>
  <c r="E26" i="13"/>
  <c r="G26" i="13"/>
  <c r="I26" i="13"/>
  <c r="K26" i="13"/>
  <c r="H26" i="13"/>
  <c r="L26" i="13"/>
  <c r="F26" i="13"/>
  <c r="J26" i="13"/>
  <c r="E22" i="13"/>
  <c r="G22" i="13"/>
  <c r="I22" i="13"/>
  <c r="K22" i="13"/>
  <c r="H22" i="13"/>
  <c r="L22" i="13"/>
  <c r="F22" i="13"/>
  <c r="J22" i="13"/>
  <c r="E18" i="13"/>
  <c r="G18" i="13"/>
  <c r="I18" i="13"/>
  <c r="K18" i="13"/>
  <c r="H18" i="13"/>
  <c r="L18" i="13"/>
  <c r="F18" i="13"/>
  <c r="J18" i="13"/>
  <c r="E14" i="13"/>
  <c r="G14" i="13"/>
  <c r="I14" i="13"/>
  <c r="K14" i="13"/>
  <c r="H14" i="13"/>
  <c r="L14" i="13"/>
  <c r="F14" i="13"/>
  <c r="J14" i="13"/>
  <c r="F31" i="13"/>
  <c r="H31" i="13"/>
  <c r="G31" i="13"/>
  <c r="J31" i="13"/>
  <c r="L31" i="13"/>
  <c r="E31" i="13"/>
  <c r="I31" i="13"/>
  <c r="K31" i="13"/>
  <c r="F29" i="13"/>
  <c r="H29" i="13"/>
  <c r="J29" i="13"/>
  <c r="L29" i="13"/>
  <c r="E29" i="13"/>
  <c r="I29" i="13"/>
  <c r="G29" i="13"/>
  <c r="K29" i="13"/>
  <c r="F27" i="13"/>
  <c r="H27" i="13"/>
  <c r="J27" i="13"/>
  <c r="L27" i="13"/>
  <c r="G27" i="13"/>
  <c r="K27" i="13"/>
  <c r="E27" i="13"/>
  <c r="I27" i="13"/>
  <c r="F25" i="13"/>
  <c r="H25" i="13"/>
  <c r="J25" i="13"/>
  <c r="L25" i="13"/>
  <c r="E25" i="13"/>
  <c r="I25" i="13"/>
  <c r="G25" i="13"/>
  <c r="K25" i="13"/>
  <c r="F23" i="13"/>
  <c r="H23" i="13"/>
  <c r="J23" i="13"/>
  <c r="L23" i="13"/>
  <c r="G23" i="13"/>
  <c r="K23" i="13"/>
  <c r="E23" i="13"/>
  <c r="I23" i="13"/>
  <c r="F21" i="13"/>
  <c r="H21" i="13"/>
  <c r="J21" i="13"/>
  <c r="L21" i="13"/>
  <c r="E21" i="13"/>
  <c r="I21" i="13"/>
  <c r="G21" i="13"/>
  <c r="K21" i="13"/>
  <c r="F19" i="13"/>
  <c r="H19" i="13"/>
  <c r="J19" i="13"/>
  <c r="L19" i="13"/>
  <c r="G19" i="13"/>
  <c r="K19" i="13"/>
  <c r="E19" i="13"/>
  <c r="I19" i="13"/>
  <c r="F17" i="13"/>
  <c r="H17" i="13"/>
  <c r="J17" i="13"/>
  <c r="L17" i="13"/>
  <c r="E17" i="13"/>
  <c r="I17" i="13"/>
  <c r="G17" i="13"/>
  <c r="K17" i="13"/>
  <c r="F15" i="13"/>
  <c r="H15" i="13"/>
  <c r="J15" i="13"/>
  <c r="L15" i="13"/>
  <c r="G15" i="13"/>
  <c r="K15" i="13"/>
  <c r="E15" i="13"/>
  <c r="I15" i="13"/>
  <c r="F13" i="13"/>
  <c r="H13" i="13"/>
  <c r="J13" i="13"/>
  <c r="L13" i="13"/>
  <c r="E13" i="13"/>
  <c r="I13" i="13"/>
  <c r="G13" i="13"/>
  <c r="K13" i="13"/>
  <c r="E10" i="13"/>
  <c r="G10" i="13"/>
  <c r="I10" i="13"/>
  <c r="K10" i="13"/>
  <c r="F10" i="13"/>
  <c r="H10" i="13"/>
  <c r="J10" i="13"/>
  <c r="L10" i="13"/>
  <c r="E8" i="13"/>
  <c r="G8" i="13"/>
  <c r="I8" i="13"/>
  <c r="K8" i="13"/>
  <c r="F8" i="13"/>
  <c r="H8" i="13"/>
  <c r="J8" i="13"/>
  <c r="L8" i="13"/>
  <c r="F11" i="13"/>
  <c r="H11" i="13"/>
  <c r="J11" i="13"/>
  <c r="L11" i="13"/>
  <c r="E11" i="13"/>
  <c r="G11" i="13"/>
  <c r="I11" i="13"/>
  <c r="K11" i="13"/>
  <c r="F9" i="13"/>
  <c r="H9" i="13"/>
  <c r="J9" i="13"/>
  <c r="L9" i="13"/>
  <c r="E9" i="13"/>
  <c r="G9" i="13"/>
  <c r="I9" i="13"/>
  <c r="K9" i="13"/>
  <c r="F7" i="13"/>
  <c r="H7" i="13"/>
  <c r="J7" i="13"/>
  <c r="L7" i="13"/>
  <c r="E7" i="13"/>
  <c r="G7" i="13"/>
  <c r="I7" i="13"/>
  <c r="K7" i="13"/>
  <c r="I12" i="6"/>
  <c r="AR12" i="1"/>
  <c r="AR11" i="1"/>
  <c r="AR10" i="1"/>
  <c r="J19" i="9"/>
  <c r="C2" i="6"/>
  <c r="B7" i="1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20" i="12"/>
  <c r="H21" i="12"/>
  <c r="H18" i="12"/>
  <c r="H19" i="12"/>
  <c r="B21" i="11"/>
  <c r="B29" i="5"/>
  <c r="B7" i="15"/>
  <c r="B6" i="15"/>
  <c r="A1" i="15"/>
  <c r="B6" i="5"/>
  <c r="B7" i="5"/>
  <c r="F5" i="9"/>
  <c r="C1" i="9"/>
  <c r="B8" i="15"/>
  <c r="B9" i="15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B10" i="15"/>
  <c r="H8" i="12"/>
  <c r="H9" i="12"/>
  <c r="H10" i="12"/>
  <c r="B9" i="12"/>
  <c r="B18" i="12"/>
  <c r="B19" i="12"/>
  <c r="B12" i="15"/>
  <c r="B8" i="12"/>
  <c r="H11" i="12"/>
  <c r="B20" i="12"/>
  <c r="B20" i="11"/>
  <c r="A1" i="1"/>
  <c r="F2" i="11"/>
  <c r="B16" i="5"/>
  <c r="B11" i="11"/>
  <c r="B22" i="11"/>
  <c r="B7" i="6"/>
  <c r="B7" i="2"/>
  <c r="B12" i="11"/>
  <c r="B10" i="12"/>
  <c r="B26" i="5"/>
  <c r="B25" i="12"/>
  <c r="B6" i="1"/>
  <c r="B27" i="5"/>
  <c r="B6" i="6"/>
  <c r="B15" i="2"/>
  <c r="B17" i="5"/>
  <c r="B16" i="2"/>
  <c r="B6" i="2"/>
  <c r="B23" i="11"/>
  <c r="B22" i="12"/>
  <c r="B12" i="12"/>
  <c r="H12" i="12"/>
  <c r="B8" i="6"/>
  <c r="B13" i="11"/>
  <c r="B28" i="5"/>
  <c r="B8" i="1"/>
  <c r="B8" i="5"/>
  <c r="B18" i="5"/>
  <c r="B17" i="2"/>
  <c r="B8" i="2"/>
  <c r="A1" i="5"/>
  <c r="B13" i="12"/>
  <c r="B18" i="2"/>
  <c r="B20" i="5"/>
  <c r="B9" i="1"/>
  <c r="B10" i="5"/>
  <c r="B30" i="5"/>
  <c r="B14" i="11"/>
  <c r="B9" i="2"/>
  <c r="B10" i="6"/>
  <c r="H13" i="12"/>
  <c r="N1" i="4"/>
  <c r="L1" i="4"/>
  <c r="A1" i="6"/>
  <c r="B15" i="12"/>
  <c r="A1" i="2"/>
  <c r="A1" i="4"/>
  <c r="A1" i="9"/>
  <c r="B1" i="11"/>
  <c r="B11" i="6"/>
  <c r="B11" i="5"/>
  <c r="B21" i="5"/>
  <c r="B19" i="2"/>
  <c r="B24" i="11"/>
  <c r="B15" i="11"/>
  <c r="B10" i="1"/>
  <c r="B31" i="5"/>
  <c r="B10" i="2"/>
  <c r="H14" i="12"/>
  <c r="C1" i="6"/>
  <c r="B13" i="6"/>
  <c r="B17" i="11"/>
  <c r="B23" i="5"/>
  <c r="B12" i="1"/>
  <c r="B21" i="2"/>
  <c r="B13" i="5"/>
  <c r="B33" i="5"/>
  <c r="B12" i="2"/>
  <c r="B26" i="11"/>
  <c r="B2" i="11"/>
  <c r="H15" i="12"/>
  <c r="N2" i="4"/>
  <c r="L2" i="4"/>
  <c r="H16" i="12"/>
  <c r="D1" i="11"/>
  <c r="E4" i="11"/>
  <c r="H17" i="12"/>
  <c r="G1" i="11"/>
  <c r="E1" i="11"/>
  <c r="I1" i="11"/>
  <c r="H1" i="11"/>
  <c r="F1" i="11"/>
  <c r="D4" i="11"/>
  <c r="B23" i="12"/>
  <c r="F4" i="11"/>
  <c r="B26" i="12"/>
</calcChain>
</file>

<file path=xl/comments1.xml><?xml version="1.0" encoding="utf-8"?>
<comments xmlns="http://schemas.openxmlformats.org/spreadsheetml/2006/main">
  <authors>
    <author>Banco Security</author>
    <author>EFAA</author>
    <author>Solange Becerra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Numero de campos de Netting Set.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Nombre identificador del Netting Set. El usuario puede definirlo como quiera.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 de la contraparte asociada al Netting Set.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 anual de la contraparte asociada al Netting Set.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Moneda del threshold del contrato de colaterales asociado al Netting Set.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contraparte asociada al Netting Set.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Institución (Banco Security) para este Netting Set.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Última fecha en que se constituyó garantía.
Se expresa en días hábiles con signo negativo asumiendo que los meses tienen 22 días hábiles.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Margen constituido en Last Date. Es positivo si es a favor de la institución y negativo si es a favor de la contraparte.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Periodicidad de reevaluación del contrato de colateral asociado al netting set.
Se expresa en días hábiles asumiendo que los meses tienen 22 días hábiles.</t>
        </r>
      </text>
    </comment>
    <comment ref="M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Ajuste sobre la garantía asociada al netting set.</t>
        </r>
      </text>
    </comment>
    <comment ref="N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Monto mínimo de transferencia para un netting set.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Es el número de operación precedido de un ' para que se interprete como texto.
Esto permitirá números de operación que incluyan códigos u otro de tipo de flags.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ingresa el netting set al cual pertenece la operación.
El identificador de Netting Set es un texto cualquiera que podría el nombre de la contraparte.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default.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recuperación.</t>
        </r>
      </text>
    </comment>
    <comment ref="U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captación para el cálculo de FVA.</t>
        </r>
      </text>
    </comment>
    <comment ref="V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colocación para el cálculo de FVA.</t>
        </r>
      </text>
    </comment>
  </commentList>
</comments>
</file>

<file path=xl/comments2.xml><?xml version="1.0" encoding="utf-8"?>
<comments xmlns="http://schemas.openxmlformats.org/spreadsheetml/2006/main">
  <authors>
    <author>Banco Security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Constante. Número de campos de la tabla Operaciones.</t>
        </r>
      </text>
    </comment>
  </commentList>
</comments>
</file>

<file path=xl/sharedStrings.xml><?xml version="1.0" encoding="utf-8"?>
<sst xmlns="http://schemas.openxmlformats.org/spreadsheetml/2006/main" count="869" uniqueCount="228">
  <si>
    <t>FWD</t>
  </si>
  <si>
    <t>Type</t>
  </si>
  <si>
    <t>USD</t>
  </si>
  <si>
    <t>CLP</t>
  </si>
  <si>
    <t>USDCLP</t>
  </si>
  <si>
    <t>FX</t>
  </si>
  <si>
    <t>Valor</t>
  </si>
  <si>
    <t>Curva</t>
  </si>
  <si>
    <t>Plazo</t>
  </si>
  <si>
    <t>Tasa</t>
  </si>
  <si>
    <t>Fx</t>
  </si>
  <si>
    <t>Pricer</t>
  </si>
  <si>
    <t>FX_Forward</t>
  </si>
  <si>
    <t>EURUSD</t>
  </si>
  <si>
    <t>EUR</t>
  </si>
  <si>
    <t>SWP</t>
  </si>
  <si>
    <t>IRS_Plain</t>
  </si>
  <si>
    <t>IRS_CLCAM</t>
  </si>
  <si>
    <t>DealNumber</t>
  </si>
  <si>
    <t>Moneda Base</t>
  </si>
  <si>
    <t>Nombre</t>
  </si>
  <si>
    <t>Simula</t>
  </si>
  <si>
    <t>Tipo</t>
  </si>
  <si>
    <t>IR</t>
  </si>
  <si>
    <t>Factor</t>
  </si>
  <si>
    <t>Horizonte</t>
  </si>
  <si>
    <t>Iteraciones</t>
  </si>
  <si>
    <t>CurvaFuerte</t>
  </si>
  <si>
    <t>CurvaDebil</t>
  </si>
  <si>
    <t>bStartTime</t>
  </si>
  <si>
    <t>bExpiryTime</t>
  </si>
  <si>
    <t>bCurr</t>
  </si>
  <si>
    <t>bAmount</t>
  </si>
  <si>
    <t>bTipoTasa</t>
  </si>
  <si>
    <t>bFormaTasa</t>
  </si>
  <si>
    <t>bValueRate</t>
  </si>
  <si>
    <t>bPeriodicity</t>
  </si>
  <si>
    <t>bStubPeriod</t>
  </si>
  <si>
    <t>bFixPeriodicity</t>
  </si>
  <si>
    <t>bFixStubPeriod</t>
  </si>
  <si>
    <t>bSpread</t>
  </si>
  <si>
    <t>bAmort</t>
  </si>
  <si>
    <t>bIncludeAmort</t>
  </si>
  <si>
    <t>bProjCurve</t>
  </si>
  <si>
    <t>bDiscountCurve</t>
  </si>
  <si>
    <t>bInitialUF</t>
  </si>
  <si>
    <t>sStartTime</t>
  </si>
  <si>
    <t>sExpiryTime</t>
  </si>
  <si>
    <t>sCurr</t>
  </si>
  <si>
    <t>sAmount</t>
  </si>
  <si>
    <t>sTipoTasa</t>
  </si>
  <si>
    <t>sFormaTasa</t>
  </si>
  <si>
    <t>sValueRate</t>
  </si>
  <si>
    <t>sPeriodicity</t>
  </si>
  <si>
    <t>sStubPeriod</t>
  </si>
  <si>
    <t>sFixPeriodicity</t>
  </si>
  <si>
    <t>sFixStubPeriod</t>
  </si>
  <si>
    <t>sSpread</t>
  </si>
  <si>
    <t>sAmort</t>
  </si>
  <si>
    <t>sIncludeAmort</t>
  </si>
  <si>
    <t>sProjCurve</t>
  </si>
  <si>
    <t>sDiscountCurve</t>
  </si>
  <si>
    <t>sInitialUF</t>
  </si>
  <si>
    <t>No</t>
  </si>
  <si>
    <t>NS</t>
  </si>
  <si>
    <t>Netting Set</t>
  </si>
  <si>
    <t>RR</t>
  </si>
  <si>
    <t>ThrNS</t>
  </si>
  <si>
    <t>ThrINST</t>
  </si>
  <si>
    <t>Periodicity</t>
  </si>
  <si>
    <t>ThrCurr</t>
  </si>
  <si>
    <t>DP</t>
  </si>
  <si>
    <t>Datos de la Institución</t>
  </si>
  <si>
    <t>Netting Sets</t>
  </si>
  <si>
    <t>IRS_UFCAM</t>
  </si>
  <si>
    <t>Curr</t>
  </si>
  <si>
    <t>CLF</t>
  </si>
  <si>
    <t>Curvas</t>
  </si>
  <si>
    <t>Rho</t>
  </si>
  <si>
    <t>Monedas Base</t>
  </si>
  <si>
    <t>Sí/No</t>
  </si>
  <si>
    <t>Sim. Run Time</t>
  </si>
  <si>
    <t>SpreadCap</t>
  </si>
  <si>
    <t>SpreadCol</t>
  </si>
  <si>
    <t>Fila</t>
  </si>
  <si>
    <t>Columna</t>
  </si>
  <si>
    <t>ColumnaTxt</t>
  </si>
  <si>
    <t>Rango Contar</t>
  </si>
  <si>
    <t>ContarA</t>
  </si>
  <si>
    <t>Num Columnas</t>
  </si>
  <si>
    <t>Rango Insertar</t>
  </si>
  <si>
    <t>Tabla Gamma</t>
  </si>
  <si>
    <t>Cuantas Curvas</t>
  </si>
  <si>
    <t>Tabla Sigma</t>
  </si>
  <si>
    <t>Cuantas FX + Curvas</t>
  </si>
  <si>
    <t>Cuantos Factores</t>
  </si>
  <si>
    <t>Tabla Factores</t>
  </si>
  <si>
    <t>Tabla Curvas</t>
  </si>
  <si>
    <t>Tabla Operations</t>
  </si>
  <si>
    <t>Tabla Netting Sets</t>
  </si>
  <si>
    <t>Tabla DealNum - NS</t>
  </si>
  <si>
    <t>Tabla Rho</t>
  </si>
  <si>
    <t>Si</t>
  </si>
  <si>
    <t>Valorizar</t>
  </si>
  <si>
    <t>Stopping Times en Años</t>
  </si>
  <si>
    <t>Stopping Times en Pasos</t>
  </si>
  <si>
    <t>DT</t>
  </si>
  <si>
    <t>Tabla Netting Set</t>
  </si>
  <si>
    <t>STOP</t>
  </si>
  <si>
    <t>Tabla Stopping Times</t>
  </si>
  <si>
    <t>Columna Int</t>
  </si>
  <si>
    <t>Unilateral CVA</t>
  </si>
  <si>
    <t>CVA</t>
  </si>
  <si>
    <t>DVA</t>
  </si>
  <si>
    <t>Bilateral CVA</t>
  </si>
  <si>
    <t>FVA</t>
  </si>
  <si>
    <t>Potential Future Exposure</t>
  </si>
  <si>
    <t>Expected Positive Exposure</t>
  </si>
  <si>
    <t>Operación - 
Netting Set</t>
  </si>
  <si>
    <t>Xva: NettingSets</t>
  </si>
  <si>
    <t>Xva: Operations</t>
  </si>
  <si>
    <t>Xva: Market</t>
  </si>
  <si>
    <t>Xva: Model Parameters</t>
  </si>
  <si>
    <t>Xva: Simulación</t>
  </si>
  <si>
    <t>Xva: Valorización y Métricas</t>
  </si>
  <si>
    <t>Xva: Resultados</t>
  </si>
  <si>
    <t>Xva: Datos Estáticos</t>
  </si>
  <si>
    <t>Xva: Custom Amortization</t>
  </si>
  <si>
    <t>Leg</t>
  </si>
  <si>
    <t>AmortTime</t>
  </si>
  <si>
    <t>AmortPercent</t>
  </si>
  <si>
    <t>b</t>
  </si>
  <si>
    <t>s</t>
  </si>
  <si>
    <t>CLFCLP</t>
  </si>
  <si>
    <t>GBP</t>
  </si>
  <si>
    <t>CHF</t>
  </si>
  <si>
    <t>JPY</t>
  </si>
  <si>
    <t>MXN</t>
  </si>
  <si>
    <t>CLFCLP$EURUSD</t>
  </si>
  <si>
    <t>CLFCLP$USDCLP</t>
  </si>
  <si>
    <t>EURUSD$USDCLP</t>
  </si>
  <si>
    <t>1</t>
  </si>
  <si>
    <t>FIX</t>
  </si>
  <si>
    <t>CortoAlInicio</t>
  </si>
  <si>
    <t/>
  </si>
  <si>
    <t>MTA</t>
  </si>
  <si>
    <t>Modificar para Que entre la matriz con las otras dos columnas</t>
  </si>
  <si>
    <t>Collateral Adjustment</t>
  </si>
  <si>
    <t>Nombre Campo</t>
  </si>
  <si>
    <t>Descripcion</t>
  </si>
  <si>
    <t>Número de operación. Debe ingresarse con un ' como primer carácter para que se interprete como texto.</t>
  </si>
  <si>
    <t>Tipo de operación: puede ser FWD o SWP.</t>
  </si>
  <si>
    <t>Fórmula para valorizar. Por ahora acepta FX_Forward si Type = FWD e IRS_Plain, IRS_CLCAM o IRS_UFCAM si Type = SWP.</t>
  </si>
  <si>
    <t>La paridad de la operación si corresponde (si es cross).</t>
  </si>
  <si>
    <t>Considerando la fecha de proceso como t = 0, aquí se ingresa el instante de tiempo en que inició la operación. Por ejemplo, si inició hace un año este campo tendrá el valor -1.</t>
  </si>
  <si>
    <t>Considerando la fecha de proceso como t = 0, aquí se ingresa el instante de tiempo en que vence la operación. Por ejemplo, si vence en un año este campo tendrá el valor 1.</t>
  </si>
  <si>
    <t>Moneda de la pata de la operación.</t>
  </si>
  <si>
    <t>Nominal inicial de la operación.</t>
  </si>
  <si>
    <t>Indica si la tasa es fija, FIX, o flotante, FLOAT.</t>
  </si>
  <si>
    <t>Indica si la tasa devenga lineal Lin, o compuesto, Com.</t>
  </si>
  <si>
    <t>Valor de la tasa. Si es una tasa flotante nos referimos a la última fijación. Si es un SWP cuyo pricer es IRS_CLCAM o IRS_UFCAM nos referimos a la fijación acumulada hasta la fecha de proceso.</t>
  </si>
  <si>
    <t>Periodicidad de pago expresada en meses. Por ejemplo, 3M.</t>
  </si>
  <si>
    <t>Indica como se ajusta el calendario si hay un peírodo irregular.</t>
  </si>
  <si>
    <t>Indica con qué periodicidad se fija la tasa flotante. Para los pricers IRS_CLCAM e IRS_UFCAM este parámtero no tiene efecto.</t>
  </si>
  <si>
    <t>Indica como se ajusta el calendario de fixing si existe un período irregular.</t>
  </si>
  <si>
    <t>Valor del spread sobre tasa flotante si aplica.</t>
  </si>
  <si>
    <t>Tipo de amortización. Acepta BULLET, FRENCH, GERMAN o CUSTOM. Si es CUSTOM se debe ingresar en otra hoja el porcentaje de amortización en cada período.</t>
  </si>
  <si>
    <t>Indica si se incluye o no el pago de amortizaciones al valorizar.</t>
  </si>
  <si>
    <t>Nombre de la curva de proyección para valorizar.</t>
  </si>
  <si>
    <t>Nombre de la curva de decuento para valorizar.</t>
  </si>
  <si>
    <t>Valor de la UF en la fecha del último corte de cupón.</t>
  </si>
  <si>
    <t>Lin</t>
  </si>
  <si>
    <t>6M</t>
  </si>
  <si>
    <t>BULLET</t>
  </si>
  <si>
    <t>12M</t>
  </si>
  <si>
    <t>SI(D4,insertNettingSets(D12:J14),"Error en el input")</t>
  </si>
  <si>
    <t>Gamma</t>
  </si>
  <si>
    <t>Sigma</t>
  </si>
  <si>
    <t>CCS</t>
  </si>
  <si>
    <t>ZEROUSD</t>
  </si>
  <si>
    <t>ZEROEUR</t>
  </si>
  <si>
    <t>ZEROCLP</t>
  </si>
  <si>
    <t>ZEROCLF</t>
  </si>
  <si>
    <t>2</t>
  </si>
  <si>
    <t>3</t>
  </si>
  <si>
    <t>4</t>
  </si>
  <si>
    <t>CLFCLP$ZEROCLP</t>
  </si>
  <si>
    <t>CLFCLP$ZEROUSD</t>
  </si>
  <si>
    <t>CLFCLP$ZEROEUR</t>
  </si>
  <si>
    <t>CLFCLP$ZEROCLF</t>
  </si>
  <si>
    <t>EURUSD$ZEROCLP</t>
  </si>
  <si>
    <t>EURUSD$ZEROUSD</t>
  </si>
  <si>
    <t>EURUSD$ZEROEUR</t>
  </si>
  <si>
    <t>EURUSD$ZEROCLF</t>
  </si>
  <si>
    <t>USDCLP$ZEROCLP</t>
  </si>
  <si>
    <t>USDCLP$ZEROUSD</t>
  </si>
  <si>
    <t>USDCLP$ZEROEUR</t>
  </si>
  <si>
    <t>USDCLP$ZEROCLF</t>
  </si>
  <si>
    <t>ZEROCLP$ZEROUSD</t>
  </si>
  <si>
    <t>ZEROCLP$ZEROEUR</t>
  </si>
  <si>
    <t>ZEROCLP$ZEROCLF</t>
  </si>
  <si>
    <t>ZEROUSD$ZEROEUR</t>
  </si>
  <si>
    <t>ZEROUSD$ZEROCLF</t>
  </si>
  <si>
    <t>ZEROEUR$ZEROCLF</t>
  </si>
  <si>
    <t>UF</t>
  </si>
  <si>
    <t>11</t>
  </si>
  <si>
    <t>22</t>
  </si>
  <si>
    <t>33</t>
  </si>
  <si>
    <t>44</t>
  </si>
  <si>
    <t>5</t>
  </si>
  <si>
    <t>55</t>
  </si>
  <si>
    <t>Unilateral DVA</t>
  </si>
  <si>
    <t>111</t>
  </si>
  <si>
    <t>122</t>
  </si>
  <si>
    <t>133</t>
  </si>
  <si>
    <t>144</t>
  </si>
  <si>
    <t>222</t>
  </si>
  <si>
    <t>333</t>
  </si>
  <si>
    <t>444</t>
  </si>
  <si>
    <t>211</t>
  </si>
  <si>
    <t>112</t>
  </si>
  <si>
    <t>113</t>
  </si>
  <si>
    <t>114</t>
  </si>
  <si>
    <t>212</t>
  </si>
  <si>
    <t>213</t>
  </si>
  <si>
    <t>214</t>
  </si>
  <si>
    <t>Last Date</t>
  </si>
  <si>
    <t>Initial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</si>
</sst>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$&quot;* #,##0_);_(&quot;$&quot;* \(#,##0\);_(&quot;$&quot;* &quot;-&quot;_);_(@_)"/>
    <numFmt numFmtId="165" formatCode="0.0%"/>
    <numFmt numFmtId="166" formatCode="#,##0.000"/>
    <numFmt numFmtId="167" formatCode="_-* #,##0_-;\-* #,##0_-;_-* &quot;-&quot;??_-;_-@_-"/>
    <numFmt numFmtId="168" formatCode="#,##0.0000"/>
  </numFmts>
  <fonts count="18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  <scheme val="minor"/>
    </font>
    <font>
      <sz val="10"/>
      <name val="Helv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color rgb="FF444444"/>
      <name val="Arial"/>
      <family val="2"/>
    </font>
    <font>
      <sz val="11"/>
      <color rgb="FF646464"/>
      <name val="Arial"/>
      <family val="2"/>
    </font>
    <font>
      <b/>
      <sz val="11"/>
      <color theme="1"/>
      <name val="Arial"/>
      <family val="2"/>
    </font>
    <font>
      <b/>
      <sz val="28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  <scheme val="major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  <scheme val="minor"/>
    </font>
    <font>
      <sz val="24"/>
      <color theme="1" tint="0.34998626667073579"/>
      <name val="Arial"/>
      <family val="2"/>
      <scheme val="minor"/>
    </font>
    <font>
      <sz val="9"/>
      <color rgb="FF646464"/>
      <name val="Arial"/>
      <family val="2"/>
    </font>
    <font>
      <b/>
      <sz val="10"/>
      <color rgb="FF64646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7DFE8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indexed="64"/>
      </top>
      <bottom style="thin">
        <color rgb="FFC0C0C0"/>
      </bottom>
      <diagonal/>
    </border>
    <border>
      <left/>
      <right style="thin">
        <color rgb="FFC0C0C0"/>
      </right>
      <top style="thin">
        <color indexed="64"/>
      </top>
      <bottom/>
      <diagonal/>
    </border>
  </borders>
  <cellStyleXfs count="33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6" fillId="5" borderId="1" applyNumberFormat="0" applyAlignment="0">
      <alignment horizontal="left"/>
      <protection locked="0"/>
    </xf>
    <xf numFmtId="0" fontId="2" fillId="0" borderId="0" applyNumberFormat="0" applyAlignment="0">
      <alignment horizontal="left"/>
    </xf>
    <xf numFmtId="0" fontId="8" fillId="3" borderId="1" applyNumberFormat="0" applyAlignment="0">
      <alignment horizontal="left"/>
    </xf>
    <xf numFmtId="0" fontId="9" fillId="4" borderId="1" applyNumberFormat="0" applyAlignment="0"/>
    <xf numFmtId="0" fontId="17" fillId="0" borderId="2" applyNumberFormat="0" applyFill="0">
      <alignment horizontal="left" vertical="center" wrapText="1"/>
    </xf>
    <xf numFmtId="0" fontId="2" fillId="2" borderId="0" applyNumberFormat="0" applyFont="0" applyBorder="0" applyAlignment="0">
      <alignment horizontal="center" vertical="center"/>
    </xf>
    <xf numFmtId="0" fontId="14" fillId="0" borderId="0">
      <alignment vertical="center"/>
    </xf>
    <xf numFmtId="0" fontId="11" fillId="0" borderId="0" applyNumberFormat="0" applyProtection="0">
      <alignment vertical="center"/>
    </xf>
    <xf numFmtId="0" fontId="12" fillId="0" borderId="0" applyNumberFormat="0" applyProtection="0">
      <alignment vertical="center"/>
    </xf>
    <xf numFmtId="9" fontId="1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6" borderId="0">
      <alignment vertical="center"/>
    </xf>
    <xf numFmtId="0" fontId="14" fillId="8" borderId="0">
      <alignment vertical="center"/>
    </xf>
    <xf numFmtId="164" fontId="13" fillId="7" borderId="2">
      <alignment horizontal="center" vertical="center" wrapText="1"/>
    </xf>
    <xf numFmtId="0" fontId="15" fillId="8" borderId="0">
      <alignment horizontal="left" vertical="center" indent="1"/>
    </xf>
    <xf numFmtId="9" fontId="3" fillId="0" borderId="0" applyFont="0" applyFill="0" applyBorder="0" applyAlignment="0" applyProtection="0"/>
    <xf numFmtId="3" fontId="14" fillId="9" borderId="1">
      <alignment horizontal="center" vertical="center" wrapText="1"/>
      <protection locked="0"/>
    </xf>
    <xf numFmtId="3" fontId="14" fillId="9" borderId="1">
      <alignment horizontal="center" vertical="center" wrapText="1"/>
    </xf>
    <xf numFmtId="3" fontId="14" fillId="5" borderId="1">
      <alignment horizontal="center" vertical="center" wrapText="1"/>
    </xf>
    <xf numFmtId="4" fontId="14" fillId="9" borderId="1">
      <alignment horizontal="center" vertical="center" wrapText="1"/>
      <protection locked="0"/>
    </xf>
    <xf numFmtId="43" fontId="3" fillId="0" borderId="0" applyFont="0" applyFill="0" applyBorder="0" applyAlignment="0" applyProtection="0"/>
    <xf numFmtId="168" fontId="14" fillId="9" borderId="1">
      <alignment horizontal="center" vertical="center" wrapText="1"/>
      <protection locked="0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</cellStyleXfs>
  <cellXfs count="134">
    <xf numFmtId="0" fontId="0" fillId="0" borderId="0" xfId="0"/>
    <xf numFmtId="0" fontId="7" fillId="0" borderId="0" xfId="0" applyFont="1"/>
    <xf numFmtId="0" fontId="7" fillId="2" borderId="0" xfId="8" applyFont="1" applyAlignment="1"/>
    <xf numFmtId="0" fontId="7" fillId="2" borderId="0" xfId="8" applyFont="1" applyAlignment="1">
      <alignment vertical="center"/>
    </xf>
    <xf numFmtId="0" fontId="7" fillId="2" borderId="0" xfId="8" applyFont="1" applyAlignment="1">
      <alignment horizontal="center"/>
    </xf>
    <xf numFmtId="4" fontId="7" fillId="2" borderId="0" xfId="8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8" applyFont="1" applyAlignment="1">
      <alignment vertical="center" wrapText="1"/>
    </xf>
    <xf numFmtId="0" fontId="2" fillId="0" borderId="0" xfId="4" applyAlignment="1"/>
    <xf numFmtId="0" fontId="2" fillId="0" borderId="0" xfId="4" applyAlignment="1">
      <alignment horizontal="center"/>
    </xf>
    <xf numFmtId="0" fontId="2" fillId="2" borderId="0" xfId="8" applyAlignment="1"/>
    <xf numFmtId="0" fontId="1" fillId="2" borderId="0" xfId="8" applyFont="1" applyAlignment="1"/>
    <xf numFmtId="0" fontId="7" fillId="2" borderId="0" xfId="8" applyFont="1" applyBorder="1" applyAlignment="1"/>
    <xf numFmtId="0" fontId="1" fillId="0" borderId="0" xfId="4" applyFont="1" applyAlignment="1"/>
    <xf numFmtId="0" fontId="7" fillId="0" borderId="0" xfId="0" applyFont="1" applyBorder="1"/>
    <xf numFmtId="0" fontId="7" fillId="0" borderId="0" xfId="0" applyFont="1" applyAlignment="1">
      <alignment vertical="center"/>
    </xf>
    <xf numFmtId="0" fontId="7" fillId="0" borderId="0" xfId="4" applyFont="1" applyAlignment="1"/>
    <xf numFmtId="0" fontId="7" fillId="0" borderId="0" xfId="4" applyNumberFormat="1" applyFont="1" applyAlignment="1"/>
    <xf numFmtId="0" fontId="7" fillId="2" borderId="0" xfId="8" applyFont="1" applyAlignment="1">
      <alignment horizontal="right"/>
    </xf>
    <xf numFmtId="0" fontId="10" fillId="2" borderId="0" xfId="8" applyFont="1" applyAlignment="1"/>
    <xf numFmtId="0" fontId="2" fillId="0" borderId="0" xfId="4" applyNumberFormat="1" applyAlignment="1"/>
    <xf numFmtId="0" fontId="2" fillId="0" borderId="0" xfId="4" applyNumberFormat="1" applyAlignment="1">
      <alignment horizontal="center"/>
    </xf>
    <xf numFmtId="0" fontId="0" fillId="2" borderId="0" xfId="8" applyFont="1" applyAlignment="1"/>
    <xf numFmtId="0" fontId="0" fillId="2" borderId="0" xfId="8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8" applyFont="1" applyAlignment="1">
      <alignment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 wrapText="1"/>
    </xf>
    <xf numFmtId="0" fontId="3" fillId="6" borderId="0" xfId="18">
      <alignment vertical="center"/>
    </xf>
    <xf numFmtId="0" fontId="14" fillId="8" borderId="0" xfId="19">
      <alignment vertical="center"/>
    </xf>
    <xf numFmtId="0" fontId="0" fillId="0" borderId="0" xfId="0"/>
    <xf numFmtId="0" fontId="15" fillId="8" borderId="0" xfId="19" applyFont="1">
      <alignment vertical="center"/>
    </xf>
    <xf numFmtId="164" fontId="13" fillId="7" borderId="2" xfId="20">
      <alignment horizontal="center" vertical="center" wrapText="1"/>
    </xf>
    <xf numFmtId="164" fontId="13" fillId="7" borderId="2" xfId="20" applyAlignment="1">
      <alignment horizontal="center" vertical="center"/>
    </xf>
    <xf numFmtId="0" fontId="15" fillId="8" borderId="0" xfId="21">
      <alignment horizontal="left" vertical="center" indent="1"/>
    </xf>
    <xf numFmtId="0" fontId="7" fillId="2" borderId="0" xfId="8" applyFont="1" applyAlignment="1">
      <alignment wrapText="1"/>
    </xf>
    <xf numFmtId="0" fontId="14" fillId="8" borderId="0" xfId="19" applyAlignment="1">
      <alignment vertical="center" wrapText="1"/>
    </xf>
    <xf numFmtId="0" fontId="7" fillId="0" borderId="0" xfId="0" applyFont="1" applyAlignment="1">
      <alignment wrapText="1"/>
    </xf>
    <xf numFmtId="0" fontId="14" fillId="8" borderId="3" xfId="19" applyBorder="1">
      <alignment vertical="center"/>
    </xf>
    <xf numFmtId="0" fontId="14" fillId="8" borderId="3" xfId="19" applyFill="1" applyBorder="1">
      <alignment vertical="center"/>
    </xf>
    <xf numFmtId="0" fontId="7" fillId="8" borderId="3" xfId="0" applyFont="1" applyFill="1" applyBorder="1"/>
    <xf numFmtId="0" fontId="3" fillId="0" borderId="0" xfId="17"/>
    <xf numFmtId="164" fontId="13" fillId="7" borderId="2" xfId="20" applyAlignment="1">
      <alignment horizontal="center" vertical="center" wrapText="1"/>
    </xf>
    <xf numFmtId="0" fontId="14" fillId="2" borderId="0" xfId="8" applyFont="1" applyAlignment="1">
      <alignment vertical="center"/>
    </xf>
    <xf numFmtId="164" fontId="13" fillId="7" borderId="4" xfId="20" applyBorder="1">
      <alignment horizontal="center" vertical="center" wrapText="1"/>
    </xf>
    <xf numFmtId="164" fontId="13" fillId="7" borderId="4" xfId="20" applyBorder="1" applyAlignment="1">
      <alignment horizontal="center" vertical="center"/>
    </xf>
    <xf numFmtId="43" fontId="7" fillId="2" borderId="0" xfId="13" applyFont="1" applyFill="1" applyAlignment="1"/>
    <xf numFmtId="43" fontId="15" fillId="8" borderId="0" xfId="13" applyFont="1" applyFill="1" applyAlignment="1">
      <alignment horizontal="left" vertical="center" indent="1"/>
    </xf>
    <xf numFmtId="0" fontId="14" fillId="0" borderId="0" xfId="19" applyFill="1">
      <alignment vertical="center"/>
    </xf>
    <xf numFmtId="3" fontId="14" fillId="9" borderId="1" xfId="23">
      <alignment horizontal="center" vertical="center" wrapText="1"/>
      <protection locked="0"/>
    </xf>
    <xf numFmtId="2" fontId="14" fillId="9" borderId="1" xfId="23" applyNumberFormat="1">
      <alignment horizontal="center" vertical="center" wrapText="1"/>
      <protection locked="0"/>
    </xf>
    <xf numFmtId="3" fontId="14" fillId="9" borderId="1" xfId="23" applyAlignment="1">
      <alignment horizontal="right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165" fontId="14" fillId="9" borderId="1" xfId="22" applyNumberFormat="1" applyFont="1" applyFill="1" applyBorder="1" applyAlignment="1">
      <alignment horizontal="center" vertical="center" wrapText="1"/>
    </xf>
    <xf numFmtId="10" fontId="14" fillId="9" borderId="1" xfId="22" applyNumberFormat="1" applyFont="1" applyFill="1" applyBorder="1" applyAlignment="1">
      <alignment horizontal="center" vertical="center" wrapText="1"/>
    </xf>
    <xf numFmtId="3" fontId="14" fillId="9" borderId="1" xfId="23" applyAlignment="1">
      <alignment horizontal="center" vertical="center"/>
      <protection locked="0"/>
    </xf>
    <xf numFmtId="0" fontId="3" fillId="6" borderId="0" xfId="18" applyAlignment="1">
      <alignment vertical="center"/>
    </xf>
    <xf numFmtId="0" fontId="14" fillId="8" borderId="0" xfId="19" applyAlignment="1">
      <alignment vertical="center"/>
    </xf>
    <xf numFmtId="4" fontId="14" fillId="9" borderId="1" xfId="23" applyNumberFormat="1" applyAlignment="1">
      <alignment horizontal="center" vertical="center"/>
      <protection locked="0"/>
    </xf>
    <xf numFmtId="10" fontId="14" fillId="9" borderId="1" xfId="22" applyNumberFormat="1" applyFont="1" applyFill="1" applyBorder="1" applyAlignment="1">
      <alignment horizontal="center" vertical="center"/>
    </xf>
    <xf numFmtId="0" fontId="7" fillId="0" borderId="0" xfId="4" applyNumberFormat="1" applyFont="1" applyFill="1" applyAlignment="1"/>
    <xf numFmtId="0" fontId="14" fillId="8" borderId="0" xfId="19" applyBorder="1">
      <alignment vertical="center"/>
    </xf>
    <xf numFmtId="0" fontId="3" fillId="6" borderId="3" xfId="18" applyBorder="1">
      <alignment vertical="center"/>
    </xf>
    <xf numFmtId="3" fontId="14" fillId="5" borderId="1" xfId="25">
      <alignment horizontal="center" vertical="center" wrapText="1"/>
    </xf>
    <xf numFmtId="3" fontId="14" fillId="5" borderId="1" xfId="25" applyAlignment="1">
      <alignment horizontal="center" vertical="center"/>
    </xf>
    <xf numFmtId="0" fontId="14" fillId="8" borderId="8" xfId="19" applyBorder="1">
      <alignment vertical="center"/>
    </xf>
    <xf numFmtId="0" fontId="14" fillId="8" borderId="7" xfId="19" applyBorder="1">
      <alignment vertical="center"/>
    </xf>
    <xf numFmtId="0" fontId="3" fillId="2" borderId="0" xfId="8" applyFont="1" applyAlignment="1">
      <alignment vertical="center"/>
    </xf>
    <xf numFmtId="0" fontId="3" fillId="2" borderId="0" xfId="8" applyFont="1" applyAlignment="1"/>
    <xf numFmtId="0" fontId="3" fillId="2" borderId="0" xfId="8" applyFont="1" applyBorder="1" applyAlignment="1">
      <alignment vertical="center"/>
    </xf>
    <xf numFmtId="43" fontId="15" fillId="2" borderId="0" xfId="8" applyNumberFormat="1" applyFont="1" applyAlignment="1">
      <alignment horizontal="left" vertical="center" indent="1"/>
    </xf>
    <xf numFmtId="0" fontId="14" fillId="8" borderId="0" xfId="19" applyAlignment="1">
      <alignment horizontal="center" vertical="center"/>
    </xf>
    <xf numFmtId="0" fontId="14" fillId="8" borderId="3" xfId="19" applyBorder="1" applyAlignment="1">
      <alignment vertical="center" wrapText="1"/>
    </xf>
    <xf numFmtId="164" fontId="13" fillId="7" borderId="2" xfId="20" applyBorder="1">
      <alignment horizontal="center" vertical="center" wrapText="1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3" fontId="14" fillId="8" borderId="0" xfId="19" applyNumberFormat="1" applyAlignment="1">
      <alignment vertical="center" wrapText="1"/>
    </xf>
    <xf numFmtId="3" fontId="14" fillId="8" borderId="0" xfId="19" applyNumberFormat="1">
      <alignment vertical="center"/>
    </xf>
    <xf numFmtId="3" fontId="16" fillId="5" borderId="1" xfId="3" applyNumberFormat="1" applyAlignment="1">
      <alignment horizontal="center" vertical="center" wrapText="1"/>
      <protection locked="0"/>
    </xf>
    <xf numFmtId="0" fontId="16" fillId="5" borderId="1" xfId="3" applyNumberFormat="1" applyAlignment="1">
      <alignment horizontal="center" vertical="center"/>
      <protection locked="0"/>
    </xf>
    <xf numFmtId="166" fontId="14" fillId="9" borderId="1" xfId="23" applyNumberFormat="1">
      <alignment horizontal="center" vertical="center" wrapText="1"/>
      <protection locked="0"/>
    </xf>
    <xf numFmtId="4" fontId="14" fillId="9" borderId="1" xfId="26">
      <alignment horizontal="center" vertical="center" wrapText="1"/>
      <protection locked="0"/>
    </xf>
    <xf numFmtId="4" fontId="14" fillId="9" borderId="1" xfId="23" applyNumberFormat="1" applyAlignment="1">
      <alignment vertical="center"/>
      <protection locked="0"/>
    </xf>
    <xf numFmtId="4" fontId="14" fillId="9" borderId="1" xfId="26" applyProtection="1">
      <alignment horizontal="center" vertical="center" wrapText="1"/>
      <protection locked="0"/>
    </xf>
    <xf numFmtId="49" fontId="14" fillId="9" borderId="1" xfId="23" applyNumberFormat="1">
      <alignment horizontal="center" vertical="center" wrapText="1"/>
      <protection locked="0"/>
    </xf>
    <xf numFmtId="164" fontId="13" fillId="7" borderId="2" xfId="20" applyBorder="1" applyAlignment="1">
      <alignment horizontal="center" vertical="center" wrapText="1"/>
    </xf>
    <xf numFmtId="167" fontId="0" fillId="0" borderId="0" xfId="27" applyNumberFormat="1" applyFont="1" applyAlignment="1">
      <alignment vertical="center"/>
    </xf>
    <xf numFmtId="3" fontId="14" fillId="9" borderId="1" xfId="23" quotePrefix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3" fontId="14" fillId="9" borderId="1" xfId="23">
      <alignment horizontal="center" vertical="center" wrapText="1"/>
      <protection locked="0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66" fontId="14" fillId="9" borderId="1" xfId="23" applyNumberFormat="1">
      <alignment horizontal="center" vertical="center" wrapText="1"/>
      <protection locked="0"/>
    </xf>
    <xf numFmtId="3" fontId="14" fillId="9" borderId="1" xfId="23">
      <alignment horizontal="center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43" fontId="14" fillId="8" borderId="0" xfId="27" applyFont="1" applyFill="1" applyAlignment="1">
      <alignment vertical="center"/>
    </xf>
    <xf numFmtId="3" fontId="14" fillId="5" borderId="1" xfId="25" applyNumberFormat="1">
      <alignment horizontal="center" vertical="center" wrapText="1"/>
    </xf>
    <xf numFmtId="3" fontId="7" fillId="2" borderId="0" xfId="8" applyNumberFormat="1" applyFont="1" applyAlignment="1"/>
    <xf numFmtId="167" fontId="14" fillId="8" borderId="0" xfId="27" applyNumberFormat="1" applyFont="1" applyFill="1" applyBorder="1" applyAlignment="1">
      <alignment vertical="center"/>
    </xf>
    <xf numFmtId="10" fontId="14" fillId="10" borderId="1" xfId="22" applyNumberFormat="1" applyFont="1" applyFill="1" applyBorder="1" applyAlignment="1" applyProtection="1">
      <alignment horizontal="center" vertical="center" wrapText="1"/>
      <protection locked="0"/>
    </xf>
    <xf numFmtId="167" fontId="14" fillId="8" borderId="3" xfId="27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165" fontId="0" fillId="0" borderId="0" xfId="22" applyNumberFormat="1" applyFont="1"/>
    <xf numFmtId="43" fontId="0" fillId="0" borderId="0" xfId="27" applyFont="1"/>
    <xf numFmtId="167" fontId="0" fillId="2" borderId="0" xfId="27" applyNumberFormat="1" applyFont="1" applyFill="1" applyAlignment="1"/>
    <xf numFmtId="167" fontId="7" fillId="0" borderId="0" xfId="27" applyNumberFormat="1" applyFont="1"/>
    <xf numFmtId="167" fontId="0" fillId="0" borderId="0" xfId="27" applyNumberFormat="1" applyFont="1"/>
    <xf numFmtId="167" fontId="0" fillId="0" borderId="0" xfId="27" applyNumberFormat="1" applyFont="1" applyAlignment="1">
      <alignment vertical="center" wrapText="1"/>
    </xf>
    <xf numFmtId="167" fontId="0" fillId="0" borderId="0" xfId="0" applyNumberFormat="1"/>
    <xf numFmtId="9" fontId="7" fillId="0" borderId="0" xfId="0" applyNumberFormat="1" applyFont="1"/>
    <xf numFmtId="167" fontId="7" fillId="0" borderId="0" xfId="0" applyNumberFormat="1" applyFont="1"/>
    <xf numFmtId="9" fontId="14" fillId="9" borderId="1" xfId="22" applyFont="1" applyFill="1" applyBorder="1" applyAlignment="1">
      <alignment horizontal="center" vertical="center"/>
    </xf>
    <xf numFmtId="4" fontId="14" fillId="9" borderId="1" xfId="23" applyNumberFormat="1">
      <alignment horizontal="center" vertical="center" wrapText="1"/>
      <protection locked="0"/>
    </xf>
    <xf numFmtId="3" fontId="14" fillId="9" borderId="10" xfId="23" quotePrefix="1" applyBorder="1">
      <alignment horizontal="center" vertical="center" wrapText="1"/>
      <protection locked="0"/>
    </xf>
    <xf numFmtId="3" fontId="14" fillId="9" borderId="10" xfId="23" applyBorder="1">
      <alignment horizontal="center" vertical="center" wrapText="1"/>
      <protection locked="0"/>
    </xf>
    <xf numFmtId="10" fontId="14" fillId="9" borderId="10" xfId="22" applyNumberFormat="1" applyFont="1" applyFill="1" applyBorder="1" applyAlignment="1" applyProtection="1">
      <alignment horizontal="center" vertical="center" wrapText="1"/>
      <protection locked="0"/>
    </xf>
    <xf numFmtId="3" fontId="14" fillId="9" borderId="11" xfId="23" quotePrefix="1" applyBorder="1">
      <alignment horizontal="center" vertical="center" wrapText="1"/>
      <protection locked="0"/>
    </xf>
    <xf numFmtId="3" fontId="14" fillId="9" borderId="11" xfId="23" applyBorder="1">
      <alignment horizontal="center" vertical="center" wrapText="1"/>
      <protection locked="0"/>
    </xf>
    <xf numFmtId="166" fontId="14" fillId="9" borderId="11" xfId="23" applyNumberFormat="1" applyBorder="1">
      <alignment horizontal="center" vertical="center" wrapText="1"/>
      <protection locked="0"/>
    </xf>
    <xf numFmtId="10" fontId="14" fillId="9" borderId="11" xfId="22" applyNumberFormat="1" applyFont="1" applyFill="1" applyBorder="1" applyAlignment="1" applyProtection="1">
      <alignment horizontal="center" vertical="center" wrapText="1"/>
      <protection locked="0"/>
    </xf>
    <xf numFmtId="4" fontId="14" fillId="9" borderId="11" xfId="23" applyNumberFormat="1" applyBorder="1">
      <alignment horizontal="center" vertical="center" wrapText="1"/>
      <protection locked="0"/>
    </xf>
    <xf numFmtId="167" fontId="14" fillId="8" borderId="12" xfId="27" applyNumberFormat="1" applyFont="1" applyFill="1" applyBorder="1" applyAlignment="1">
      <alignment vertical="center"/>
    </xf>
    <xf numFmtId="10" fontId="14" fillId="10" borderId="11" xfId="22" applyNumberFormat="1" applyFont="1" applyFill="1" applyBorder="1" applyAlignment="1" applyProtection="1">
      <alignment horizontal="center" vertical="center" wrapText="1"/>
      <protection locked="0"/>
    </xf>
    <xf numFmtId="3" fontId="14" fillId="10" borderId="11" xfId="23" applyFill="1" applyBorder="1">
      <alignment horizontal="center" vertical="center" wrapText="1"/>
      <protection locked="0"/>
    </xf>
    <xf numFmtId="3" fontId="14" fillId="9" borderId="1" xfId="23" applyAlignment="1">
      <alignment horizontal="center" vertical="center" wrapText="1"/>
      <protection locked="0"/>
    </xf>
    <xf numFmtId="0" fontId="17" fillId="8" borderId="5" xfId="7" applyFill="1" applyBorder="1" applyAlignment="1">
      <alignment horizontal="left" vertical="center"/>
    </xf>
    <xf numFmtId="0" fontId="17" fillId="8" borderId="6" xfId="7" applyFill="1" applyBorder="1" applyAlignment="1">
      <alignment horizontal="left" vertical="center"/>
    </xf>
    <xf numFmtId="0" fontId="17" fillId="8" borderId="2" xfId="7" applyFill="1">
      <alignment horizontal="left" vertical="center" wrapText="1"/>
    </xf>
    <xf numFmtId="0" fontId="17" fillId="8" borderId="5" xfId="7" applyFill="1" applyBorder="1" applyAlignment="1">
      <alignment horizontal="left" vertical="center" wrapText="1"/>
    </xf>
    <xf numFmtId="0" fontId="17" fillId="8" borderId="9" xfId="7" applyFill="1" applyBorder="1" applyAlignment="1">
      <alignment horizontal="left" vertical="center" wrapText="1"/>
    </xf>
    <xf numFmtId="0" fontId="17" fillId="8" borderId="6" xfId="7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33">
    <cellStyle name="Bordecito" xfId="18"/>
    <cellStyle name="Estilo 1" xfId="4"/>
    <cellStyle name="Estilo 1 2" xfId="31"/>
    <cellStyle name="Estilo 1 3" xfId="29"/>
    <cellStyle name="Estilo 2" xfId="24"/>
    <cellStyle name="Fondo" xfId="19"/>
    <cellStyle name="headerCell" xfId="5"/>
    <cellStyle name="headerCells" xfId="20"/>
    <cellStyle name="inputCell" xfId="3"/>
    <cellStyle name="InputCell2" xfId="23"/>
    <cellStyle name="InputCell2 Num" xfId="26"/>
    <cellStyle name="InputCellDecimals" xfId="28"/>
    <cellStyle name="Millares" xfId="27" builtinId="3"/>
    <cellStyle name="Millares 2" xfId="13"/>
    <cellStyle name="Millares 3" xfId="14"/>
    <cellStyle name="Millares 4" xfId="15"/>
    <cellStyle name="Normal" xfId="0" builtinId="0"/>
    <cellStyle name="Normal 2" xfId="1"/>
    <cellStyle name="Normal 3" xfId="9"/>
    <cellStyle name="Normal 4" xfId="16"/>
    <cellStyle name="Normal 5" xfId="17"/>
    <cellStyle name="outputCell" xfId="6"/>
    <cellStyle name="OutputCell2" xfId="25"/>
    <cellStyle name="Porcentaje" xfId="22" builtinId="5"/>
    <cellStyle name="Porcentaje 2" xfId="2"/>
    <cellStyle name="Porcentaje 3" xfId="12"/>
    <cellStyle name="systemCell" xfId="8"/>
    <cellStyle name="systemCell 2" xfId="32"/>
    <cellStyle name="systemCell 3" xfId="30"/>
    <cellStyle name="Title" xfId="21"/>
    <cellStyle name="titleCell" xfId="7"/>
    <cellStyle name="Título 1 2" xfId="10"/>
    <cellStyle name="Título 2 2" xfId="11"/>
  </cellStyles>
  <dxfs count="0"/>
  <tableStyles count="0" defaultTableStyle="TableStyleMedium2" defaultPivotStyle="PivotStyleLight16"/>
  <colors>
    <mruColors>
      <color rgb="FFC0C0C0"/>
      <color rgb="FFF0EBD2"/>
      <color rgb="FFFAFAF0"/>
      <color rgb="FF9A958E"/>
      <color rgb="FFFFF7E1"/>
      <color rgb="FF404040"/>
      <color rgb="FF646464"/>
      <color rgb="FF444444"/>
      <color rgb="FFF4F7ED"/>
      <color rgb="FFCDE4E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9525</xdr:rowOff>
    </xdr:from>
    <xdr:to>
      <xdr:col>4</xdr:col>
      <xdr:colOff>422775</xdr:colOff>
      <xdr:row>8</xdr:row>
      <xdr:rowOff>159975</xdr:rowOff>
    </xdr:to>
    <xdr:sp macro="[0]!botonHojaNettingSets" textlink="">
      <xdr:nvSpPr>
        <xdr:cNvPr id="3" name="2 Rectángulo"/>
        <xdr:cNvSpPr/>
      </xdr:nvSpPr>
      <xdr:spPr>
        <a:xfrm>
          <a:off x="200025" y="8096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352424</xdr:rowOff>
    </xdr:from>
    <xdr:to>
      <xdr:col>4</xdr:col>
      <xdr:colOff>251325</xdr:colOff>
      <xdr:row>6</xdr:row>
      <xdr:rowOff>150449</xdr:rowOff>
    </xdr:to>
    <xdr:sp macro="[0]!botonHojaOperations" textlink="">
      <xdr:nvSpPr>
        <xdr:cNvPr id="3" name="2 Rectángulo"/>
        <xdr:cNvSpPr/>
      </xdr:nvSpPr>
      <xdr:spPr>
        <a:xfrm>
          <a:off x="180975" y="48577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76200</xdr:rowOff>
    </xdr:from>
    <xdr:to>
      <xdr:col>4</xdr:col>
      <xdr:colOff>241800</xdr:colOff>
      <xdr:row>6</xdr:row>
      <xdr:rowOff>74250</xdr:rowOff>
    </xdr:to>
    <xdr:sp macro="[0]!botonHojaCustomAmortizations" textlink="">
      <xdr:nvSpPr>
        <xdr:cNvPr id="2" name="1 Rectángulo"/>
        <xdr:cNvSpPr/>
      </xdr:nvSpPr>
      <xdr:spPr>
        <a:xfrm>
          <a:off x="1943100" y="10001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485774</xdr:rowOff>
    </xdr:from>
    <xdr:to>
      <xdr:col>4</xdr:col>
      <xdr:colOff>384675</xdr:colOff>
      <xdr:row>6</xdr:row>
      <xdr:rowOff>131399</xdr:rowOff>
    </xdr:to>
    <xdr:sp macro="[0]!botonHojaMkt" textlink="">
      <xdr:nvSpPr>
        <xdr:cNvPr id="2" name="btnMkt"/>
        <xdr:cNvSpPr/>
      </xdr:nvSpPr>
      <xdr:spPr>
        <a:xfrm>
          <a:off x="200025" y="61912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64725</xdr:rowOff>
    </xdr:to>
    <xdr:sp macro="[0]!botonHojaModelParameters" textlink="">
      <xdr:nvSpPr>
        <xdr:cNvPr id="4" name="btnMkt"/>
        <xdr:cNvSpPr/>
      </xdr:nvSpPr>
      <xdr:spPr>
        <a:xfrm>
          <a:off x="219075" y="647700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112350</xdr:rowOff>
    </xdr:to>
    <xdr:sp macro="[0]!botonHojaSimulacion" textlink="">
      <xdr:nvSpPr>
        <xdr:cNvPr id="2" name="btnMkt"/>
        <xdr:cNvSpPr/>
      </xdr:nvSpPr>
      <xdr:spPr>
        <a:xfrm>
          <a:off x="219075" y="60007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Simular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438150</xdr:rowOff>
    </xdr:from>
    <xdr:to>
      <xdr:col>5</xdr:col>
      <xdr:colOff>51300</xdr:colOff>
      <xdr:row>5</xdr:row>
      <xdr:rowOff>74250</xdr:rowOff>
    </xdr:to>
    <xdr:sp macro="[0]!botonValorizacionHojaValorizacionMetricas" textlink="">
      <xdr:nvSpPr>
        <xdr:cNvPr id="2" name="btnMkt"/>
        <xdr:cNvSpPr/>
      </xdr:nvSpPr>
      <xdr:spPr>
        <a:xfrm>
          <a:off x="1219200" y="933450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Valorizar </a:t>
          </a:r>
        </a:p>
      </xdr:txBody>
    </xdr:sp>
    <xdr:clientData/>
  </xdr:twoCellAnchor>
  <xdr:twoCellAnchor>
    <xdr:from>
      <xdr:col>6</xdr:col>
      <xdr:colOff>819150</xdr:colOff>
      <xdr:row>3</xdr:row>
      <xdr:rowOff>428624</xdr:rowOff>
    </xdr:from>
    <xdr:to>
      <xdr:col>8</xdr:col>
      <xdr:colOff>38700</xdr:colOff>
      <xdr:row>5</xdr:row>
      <xdr:rowOff>64724</xdr:rowOff>
    </xdr:to>
    <xdr:sp macro="[0]!botonMetricasHojaValorizacionMetricas" textlink="">
      <xdr:nvSpPr>
        <xdr:cNvPr id="3" name="btnMkt"/>
        <xdr:cNvSpPr/>
      </xdr:nvSpPr>
      <xdr:spPr>
        <a:xfrm>
          <a:off x="3124200" y="923924"/>
          <a:ext cx="1296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Calcular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Métricas</a:t>
          </a:r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447675</xdr:rowOff>
    </xdr:from>
    <xdr:to>
      <xdr:col>3</xdr:col>
      <xdr:colOff>937125</xdr:colOff>
      <xdr:row>5</xdr:row>
      <xdr:rowOff>83775</xdr:rowOff>
    </xdr:to>
    <xdr:sp macro="[0]!botonCargaParamValorizacionHojaValorizacionMetricas" textlink="">
      <xdr:nvSpPr>
        <xdr:cNvPr id="4" name="btnMkt"/>
        <xdr:cNvSpPr/>
      </xdr:nvSpPr>
      <xdr:spPr>
        <a:xfrm>
          <a:off x="200025" y="9429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Cargar Parámetros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190501</xdr:colOff>
      <xdr:row>8</xdr:row>
      <xdr:rowOff>123824</xdr:rowOff>
    </xdr:from>
    <xdr:to>
      <xdr:col>5</xdr:col>
      <xdr:colOff>448426</xdr:colOff>
      <xdr:row>10</xdr:row>
      <xdr:rowOff>121874</xdr:rowOff>
    </xdr:to>
    <xdr:sp macro="[0]!botonActualizarHojaDatosEstaticos" textlink="">
      <xdr:nvSpPr>
        <xdr:cNvPr id="3" name="2 Rectángulo"/>
        <xdr:cNvSpPr/>
      </xdr:nvSpPr>
      <xdr:spPr>
        <a:xfrm>
          <a:off x="190501" y="1352549"/>
          <a:ext cx="162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FX y Curvas</a:t>
          </a:r>
        </a:p>
      </xdr:txBody>
    </xdr:sp>
    <xdr:clientData/>
  </xdr:twoCellAnchor>
  <xdr:twoCellAnchor>
    <xdr:from>
      <xdr:col>4</xdr:col>
      <xdr:colOff>200024</xdr:colOff>
      <xdr:row>5</xdr:row>
      <xdr:rowOff>180974</xdr:rowOff>
    </xdr:from>
    <xdr:to>
      <xdr:col>7</xdr:col>
      <xdr:colOff>19050</xdr:colOff>
      <xdr:row>7</xdr:row>
      <xdr:rowOff>161924</xdr:rowOff>
    </xdr:to>
    <xdr:sp macro="[0]!botonMonedaBaseHojaDatosEstaticos" textlink="">
      <xdr:nvSpPr>
        <xdr:cNvPr id="5" name="4 Rectángulo"/>
        <xdr:cNvSpPr/>
      </xdr:nvSpPr>
      <xdr:spPr>
        <a:xfrm>
          <a:off x="1362074" y="847724"/>
          <a:ext cx="1181101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M.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Base</a:t>
          </a:r>
          <a:endParaRPr lang="es-CL" sz="11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5</xdr:row>
      <xdr:rowOff>180976</xdr:rowOff>
    </xdr:from>
    <xdr:to>
      <xdr:col>5</xdr:col>
      <xdr:colOff>742950</xdr:colOff>
      <xdr:row>8</xdr:row>
      <xdr:rowOff>19051</xdr:rowOff>
    </xdr:to>
    <xdr:sp macro="" textlink="">
      <xdr:nvSpPr>
        <xdr:cNvPr id="2" name="1 CuadroTexto"/>
        <xdr:cNvSpPr txBox="1"/>
      </xdr:nvSpPr>
      <xdr:spPr>
        <a:xfrm>
          <a:off x="4419600" y="1762126"/>
          <a:ext cx="27908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 se da la descripción de los campos cuyo nombre comienza con b y que corresponden a los de la pata comprada o activa de la operación.</a:t>
          </a:r>
        </a:p>
        <a:p>
          <a:r>
            <a:rPr lang="es-CL" sz="1100"/>
            <a:t>Los campos cuyo nombre comienzan con s corresponden a los de la pata vendida</a:t>
          </a:r>
          <a:r>
            <a:rPr lang="es-CL" sz="1100" baseline="0"/>
            <a:t> o pasiva de la operación.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iTema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W1574"/>
  <sheetViews>
    <sheetView showGridLines="0" tabSelected="1" topLeftCell="C5" workbookViewId="0">
      <selection activeCell="D4" sqref="D4"/>
    </sheetView>
  </sheetViews>
  <sheetFormatPr baseColWidth="10" defaultColWidth="2.125" defaultRowHeight="14.25" outlineLevelRow="1" outlineLevelCol="1" x14ac:dyDescent="0.2"/>
  <cols>
    <col min="1" max="1" width="17" style="2" hidden="1" customWidth="1" outlineLevel="1"/>
    <col min="2" max="2" width="14.875" style="2" hidden="1" customWidth="1" outlineLevel="1"/>
    <col min="3" max="3" width="2.625" style="30" customWidth="1" collapsed="1"/>
    <col min="4" max="4" width="15.75" style="50" customWidth="1"/>
    <col min="5" max="6" width="8.625" style="54" customWidth="1"/>
    <col min="7" max="7" width="8.625" style="50" customWidth="1"/>
    <col min="8" max="8" width="14.375" style="52" customWidth="1"/>
    <col min="9" max="9" width="13.75" style="52" bestFit="1" customWidth="1"/>
    <col min="10" max="10" width="12" style="52" customWidth="1"/>
    <col min="11" max="11" width="10.75" style="52" customWidth="1"/>
    <col min="12" max="12" width="8.625" style="50" customWidth="1"/>
    <col min="13" max="13" width="9.75" style="50" customWidth="1"/>
    <col min="14" max="14" width="8.375" style="50" customWidth="1"/>
    <col min="15" max="15" width="2.5" style="30" customWidth="1"/>
    <col min="16" max="17" width="10.625" style="84" customWidth="1"/>
    <col min="18" max="18" width="2.625" style="30" customWidth="1"/>
    <col min="19" max="22" width="8.625" style="30" customWidth="1"/>
    <col min="23" max="23" width="2.625" style="41" customWidth="1"/>
    <col min="24" max="16384" width="2.125" style="1"/>
  </cols>
  <sheetData>
    <row r="1" spans="1:23" s="2" customFormat="1" ht="14.25" hidden="1" customHeight="1" outlineLevel="1" x14ac:dyDescent="0.2">
      <c r="B1" s="2" t="str">
        <f ca="1">nameOfThisSheet()</f>
        <v>NettingSets</v>
      </c>
      <c r="D1" s="4">
        <f t="shared" ref="D1:N1" si="0">COUNTA(D12:D1048576)</f>
        <v>13</v>
      </c>
      <c r="E1" s="4">
        <f t="shared" si="0"/>
        <v>13</v>
      </c>
      <c r="F1" s="4">
        <f t="shared" si="0"/>
        <v>13</v>
      </c>
      <c r="G1" s="4">
        <f t="shared" si="0"/>
        <v>13</v>
      </c>
      <c r="H1" s="4">
        <f t="shared" si="0"/>
        <v>13</v>
      </c>
      <c r="I1" s="4">
        <f t="shared" si="0"/>
        <v>13</v>
      </c>
      <c r="J1" s="4">
        <f t="shared" si="0"/>
        <v>13</v>
      </c>
      <c r="K1" s="4">
        <f t="shared" si="0"/>
        <v>13</v>
      </c>
      <c r="L1" s="4">
        <f t="shared" si="0"/>
        <v>13</v>
      </c>
      <c r="M1" s="4">
        <f t="shared" si="0"/>
        <v>13</v>
      </c>
      <c r="N1" s="4">
        <f t="shared" si="0"/>
        <v>13</v>
      </c>
    </row>
    <row r="2" spans="1:23" s="2" customFormat="1" ht="14.25" hidden="1" customHeight="1" outlineLevel="1" x14ac:dyDescent="0.2">
      <c r="B2" s="2" t="str">
        <f ca="1">B1&amp;"!"&amp;rangeNettingSets</f>
        <v>NettingSets!D12:N24</v>
      </c>
      <c r="D2" s="4"/>
      <c r="E2" s="4"/>
      <c r="F2" s="4">
        <f ca="1">ROW(INDIRECT("originNettingSets"))</f>
        <v>12</v>
      </c>
      <c r="G2" s="4"/>
      <c r="H2" s="4"/>
      <c r="I2" s="4"/>
      <c r="J2" s="4"/>
      <c r="K2" s="4"/>
      <c r="L2" s="4"/>
      <c r="M2" s="4"/>
      <c r="N2" s="4"/>
    </row>
    <row r="3" spans="1:23" s="2" customFormat="1" ht="14.25" hidden="1" customHeight="1" outlineLevel="1" x14ac:dyDescent="0.2">
      <c r="D3" s="4"/>
      <c r="E3" s="4"/>
      <c r="F3" s="4">
        <f ca="1">COLUMN(INDIRECT("originNettingSets"))</f>
        <v>4</v>
      </c>
      <c r="G3" s="4" t="str">
        <f ca="1">numbertoletter(9+F3)</f>
        <v>M</v>
      </c>
      <c r="H3" s="4"/>
      <c r="I3" s="4"/>
      <c r="J3" s="4"/>
      <c r="K3" s="4"/>
      <c r="L3" s="4"/>
      <c r="M3" s="4"/>
      <c r="N3" s="4"/>
    </row>
    <row r="4" spans="1:23" s="2" customFormat="1" ht="14.25" hidden="1" customHeight="1" outlineLevel="1" x14ac:dyDescent="0.2">
      <c r="D4" s="4" t="b">
        <f>equalValues(D1:L1)</f>
        <v>1</v>
      </c>
      <c r="E4" s="4" t="str">
        <f ca="1">B1&amp;"!C6:I"&amp;(6+D1-1)</f>
        <v>NettingSets!C6:I18</v>
      </c>
      <c r="F4" s="4" t="str">
        <f ca="1">B1&amp;"!"&amp;numbertoletter(F3)&amp;F2&amp;":"&amp;"D"&amp;(F1+F2-1)</f>
        <v>NettingSets!D12:D24</v>
      </c>
      <c r="G4" s="4" t="s">
        <v>175</v>
      </c>
      <c r="H4" s="4"/>
      <c r="I4" s="4"/>
      <c r="J4" s="4"/>
      <c r="K4" s="4"/>
      <c r="L4" s="4"/>
      <c r="M4" s="4"/>
      <c r="N4" s="4"/>
    </row>
    <row r="5" spans="1:23" s="26" customFormat="1" ht="10.5" customHeight="1" collapsed="1" x14ac:dyDescent="0.2">
      <c r="C5" s="30"/>
      <c r="D5" s="29"/>
      <c r="E5" s="27"/>
      <c r="F5" s="27"/>
      <c r="G5" s="27"/>
      <c r="H5" s="27"/>
      <c r="I5" s="27"/>
      <c r="J5" s="27"/>
      <c r="K5" s="27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23" s="26" customFormat="1" ht="10.5" customHeight="1" x14ac:dyDescent="0.2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9"/>
    </row>
    <row r="7" spans="1:23" s="26" customFormat="1" ht="42" customHeight="1" x14ac:dyDescent="0.2">
      <c r="A7" s="26" t="s">
        <v>146</v>
      </c>
      <c r="C7" s="32" t="s">
        <v>119</v>
      </c>
      <c r="D7" s="32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9"/>
    </row>
    <row r="8" spans="1:23" s="8" customFormat="1" ht="16.5" customHeight="1" x14ac:dyDescent="0.2">
      <c r="A8" s="10"/>
      <c r="B8" s="1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9"/>
    </row>
    <row r="9" spans="1:23" s="8" customFormat="1" ht="16.5" customHeight="1" x14ac:dyDescent="0.2">
      <c r="A9" s="10"/>
      <c r="B9" s="1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9"/>
    </row>
    <row r="10" spans="1:23" s="15" customFormat="1" ht="15.75" customHeight="1" x14ac:dyDescent="0.2">
      <c r="A10" s="2" t="s">
        <v>99</v>
      </c>
      <c r="B10" s="2"/>
      <c r="C10" s="30"/>
      <c r="D10" s="130" t="s">
        <v>73</v>
      </c>
      <c r="E10" s="131"/>
      <c r="F10" s="131"/>
      <c r="G10" s="131"/>
      <c r="H10" s="131"/>
      <c r="I10" s="131"/>
      <c r="J10" s="131"/>
      <c r="K10" s="131"/>
      <c r="L10" s="131"/>
      <c r="M10" s="131"/>
      <c r="N10" s="132"/>
      <c r="O10" s="30"/>
      <c r="P10" s="127" t="s">
        <v>118</v>
      </c>
      <c r="Q10" s="128"/>
      <c r="R10" s="30"/>
      <c r="S10" s="129" t="s">
        <v>72</v>
      </c>
      <c r="T10" s="129"/>
      <c r="U10" s="129"/>
      <c r="V10" s="129"/>
      <c r="W10" s="39"/>
    </row>
    <row r="11" spans="1:23" ht="25.5" customHeight="1" x14ac:dyDescent="0.2">
      <c r="A11" s="2" t="s">
        <v>84</v>
      </c>
      <c r="B11" s="2">
        <f ca="1">ROW(INDIRECT("originNettingSets"))</f>
        <v>12</v>
      </c>
      <c r="D11" s="45" t="s">
        <v>65</v>
      </c>
      <c r="E11" s="46" t="s">
        <v>66</v>
      </c>
      <c r="F11" s="45" t="s">
        <v>71</v>
      </c>
      <c r="G11" s="45" t="s">
        <v>70</v>
      </c>
      <c r="H11" s="45" t="s">
        <v>67</v>
      </c>
      <c r="I11" s="45" t="s">
        <v>68</v>
      </c>
      <c r="J11" s="45" t="s">
        <v>226</v>
      </c>
      <c r="K11" s="45" t="s">
        <v>227</v>
      </c>
      <c r="L11" s="45" t="s">
        <v>69</v>
      </c>
      <c r="M11" s="74" t="s">
        <v>147</v>
      </c>
      <c r="N11" s="85" t="s">
        <v>145</v>
      </c>
      <c r="P11" s="34" t="s">
        <v>18</v>
      </c>
      <c r="Q11" s="33" t="s">
        <v>64</v>
      </c>
      <c r="S11" s="34" t="s">
        <v>71</v>
      </c>
      <c r="T11" s="34" t="s">
        <v>66</v>
      </c>
      <c r="U11" s="34" t="s">
        <v>82</v>
      </c>
      <c r="V11" s="34" t="s">
        <v>83</v>
      </c>
      <c r="W11" s="39"/>
    </row>
    <row r="12" spans="1:23" ht="15.75" customHeight="1" x14ac:dyDescent="0.2">
      <c r="A12" s="2" t="s">
        <v>85</v>
      </c>
      <c r="B12" s="2">
        <f ca="1">COLUMN(INDIRECT("originNettingSets"))</f>
        <v>4</v>
      </c>
      <c r="D12" s="95" t="s">
        <v>141</v>
      </c>
      <c r="E12" s="54">
        <v>0.5</v>
      </c>
      <c r="F12" s="54">
        <v>1.7295793270035699E-2</v>
      </c>
      <c r="G12" s="50" t="s">
        <v>2</v>
      </c>
      <c r="H12" s="52">
        <v>5000000000000</v>
      </c>
      <c r="I12" s="52">
        <v>5000000000000</v>
      </c>
      <c r="J12" s="126">
        <v>-10</v>
      </c>
      <c r="K12" s="126">
        <v>100000</v>
      </c>
      <c r="L12" s="50">
        <v>5</v>
      </c>
      <c r="M12" s="75">
        <v>0</v>
      </c>
      <c r="N12" s="50">
        <v>0</v>
      </c>
      <c r="P12" s="95" t="s">
        <v>205</v>
      </c>
      <c r="Q12" s="87" t="s">
        <v>141</v>
      </c>
      <c r="S12" s="75">
        <v>1.5428540529566642E-2</v>
      </c>
      <c r="T12" s="75">
        <v>0.4</v>
      </c>
      <c r="U12" s="75">
        <v>5.0000000000000001E-3</v>
      </c>
      <c r="V12" s="75">
        <v>5.0000000000000001E-3</v>
      </c>
      <c r="W12" s="39"/>
    </row>
    <row r="13" spans="1:23" x14ac:dyDescent="0.2">
      <c r="A13" s="2" t="s">
        <v>86</v>
      </c>
      <c r="B13" s="18" t="str">
        <f ca="1">numbertoletter(B12)</f>
        <v>D</v>
      </c>
      <c r="D13" s="95" t="s">
        <v>183</v>
      </c>
      <c r="E13" s="54">
        <v>0.5</v>
      </c>
      <c r="F13" s="54">
        <v>2.7890939167404399E-2</v>
      </c>
      <c r="G13" s="94" t="s">
        <v>2</v>
      </c>
      <c r="H13" s="52">
        <v>5000000000000</v>
      </c>
      <c r="I13" s="52">
        <v>5000000000000</v>
      </c>
      <c r="J13" s="126">
        <v>-10</v>
      </c>
      <c r="K13" s="126">
        <v>100000</v>
      </c>
      <c r="L13" s="94">
        <v>5</v>
      </c>
      <c r="M13" s="75">
        <v>0</v>
      </c>
      <c r="N13" s="50">
        <v>0</v>
      </c>
      <c r="P13" s="95" t="s">
        <v>206</v>
      </c>
      <c r="Q13" s="87" t="s">
        <v>183</v>
      </c>
      <c r="W13" s="39"/>
    </row>
    <row r="14" spans="1:23" s="15" customFormat="1" ht="15.75" customHeight="1" x14ac:dyDescent="0.2">
      <c r="A14" s="2" t="s">
        <v>87</v>
      </c>
      <c r="B14" s="18" t="str">
        <f ca="1">B13&amp;B11&amp;":"&amp;B13&amp;maxRowsValue</f>
        <v>D12:D1048576</v>
      </c>
      <c r="C14" s="30"/>
      <c r="D14" s="95" t="s">
        <v>184</v>
      </c>
      <c r="E14" s="54">
        <v>0.5</v>
      </c>
      <c r="F14" s="54">
        <v>2.7228624554439224E-2</v>
      </c>
      <c r="G14" s="94" t="s">
        <v>2</v>
      </c>
      <c r="H14" s="52">
        <v>5000000000000</v>
      </c>
      <c r="I14" s="52">
        <v>5000000000000</v>
      </c>
      <c r="J14" s="126">
        <v>-10</v>
      </c>
      <c r="K14" s="126">
        <v>100000</v>
      </c>
      <c r="L14" s="94">
        <v>5</v>
      </c>
      <c r="M14" s="91">
        <v>0</v>
      </c>
      <c r="N14" s="94">
        <v>0</v>
      </c>
      <c r="O14" s="30"/>
      <c r="P14" s="95" t="s">
        <v>207</v>
      </c>
      <c r="Q14" s="87" t="s">
        <v>184</v>
      </c>
      <c r="R14" s="30"/>
      <c r="S14" s="30"/>
      <c r="T14" s="30"/>
      <c r="U14" s="30"/>
      <c r="V14" s="30"/>
      <c r="W14" s="39"/>
    </row>
    <row r="15" spans="1:23" s="38" customFormat="1" ht="15.75" customHeight="1" x14ac:dyDescent="0.2">
      <c r="A15" s="36" t="s">
        <v>88</v>
      </c>
      <c r="B15" s="36">
        <f ca="1">COUNTA(INDIRECT(B14))</f>
        <v>13</v>
      </c>
      <c r="C15" s="37"/>
      <c r="D15" s="95" t="s">
        <v>185</v>
      </c>
      <c r="E15" s="54">
        <v>0.5</v>
      </c>
      <c r="F15" s="54">
        <v>2.1638328720394045E-2</v>
      </c>
      <c r="G15" s="94" t="s">
        <v>2</v>
      </c>
      <c r="H15" s="52">
        <v>20000000</v>
      </c>
      <c r="I15" s="52">
        <v>5000000000000</v>
      </c>
      <c r="J15" s="126">
        <v>-10</v>
      </c>
      <c r="K15" s="126">
        <v>100000</v>
      </c>
      <c r="L15" s="94">
        <v>5</v>
      </c>
      <c r="M15" s="91">
        <v>0</v>
      </c>
      <c r="N15" s="94">
        <v>0</v>
      </c>
      <c r="O15" s="37"/>
      <c r="P15" s="95" t="s">
        <v>208</v>
      </c>
      <c r="Q15" s="87" t="s">
        <v>185</v>
      </c>
      <c r="R15" s="37"/>
      <c r="S15" s="76"/>
      <c r="T15" s="76"/>
      <c r="U15" s="76"/>
      <c r="V15" s="37"/>
      <c r="W15" s="39"/>
    </row>
    <row r="16" spans="1:23" ht="14.25" customHeight="1" x14ac:dyDescent="0.25">
      <c r="A16" s="2" t="s">
        <v>89</v>
      </c>
      <c r="B16" s="19">
        <v>11</v>
      </c>
      <c r="D16" s="95" t="s">
        <v>209</v>
      </c>
      <c r="E16" s="54">
        <v>0.5</v>
      </c>
      <c r="F16" s="54">
        <v>2.1638328720394045E-2</v>
      </c>
      <c r="G16" s="94" t="s">
        <v>2</v>
      </c>
      <c r="H16" s="52">
        <v>5000000000000</v>
      </c>
      <c r="I16" s="52">
        <v>5000000000000</v>
      </c>
      <c r="J16" s="126">
        <v>-10</v>
      </c>
      <c r="K16" s="126">
        <v>100000</v>
      </c>
      <c r="L16" s="94">
        <v>5</v>
      </c>
      <c r="M16" s="91">
        <v>0</v>
      </c>
      <c r="N16" s="94">
        <v>0</v>
      </c>
      <c r="P16" s="95" t="s">
        <v>210</v>
      </c>
      <c r="Q16" s="95" t="s">
        <v>209</v>
      </c>
      <c r="T16" s="76"/>
      <c r="U16" s="77"/>
      <c r="W16" s="39"/>
    </row>
    <row r="17" spans="1:23" x14ac:dyDescent="0.2">
      <c r="A17" s="2" t="s">
        <v>90</v>
      </c>
      <c r="B17" s="18" t="str">
        <f ca="1">B13&amp;B11&amp;":"&amp;numbertoletter(B12+B16-1)&amp;(B11+B15-1)</f>
        <v>D12:N24</v>
      </c>
      <c r="D17" s="95" t="s">
        <v>212</v>
      </c>
      <c r="E17" s="54">
        <v>0.5</v>
      </c>
      <c r="F17" s="54">
        <v>1.7295793270035699E-2</v>
      </c>
      <c r="G17" s="94" t="s">
        <v>2</v>
      </c>
      <c r="H17" s="52">
        <v>5000000000000</v>
      </c>
      <c r="I17" s="52">
        <v>5000000000000</v>
      </c>
      <c r="J17" s="126">
        <v>-10</v>
      </c>
      <c r="K17" s="126">
        <v>100000</v>
      </c>
      <c r="L17" s="94">
        <v>5</v>
      </c>
      <c r="M17" s="91">
        <v>0</v>
      </c>
      <c r="N17" s="94">
        <v>0</v>
      </c>
      <c r="P17" s="87" t="s">
        <v>212</v>
      </c>
      <c r="Q17" s="95" t="s">
        <v>212</v>
      </c>
      <c r="T17" s="76"/>
      <c r="U17" s="77"/>
      <c r="W17" s="39"/>
    </row>
    <row r="18" spans="1:23" x14ac:dyDescent="0.2">
      <c r="B18" s="4"/>
      <c r="D18" s="95" t="s">
        <v>220</v>
      </c>
      <c r="E18" s="54">
        <v>0.5</v>
      </c>
      <c r="F18" s="54">
        <v>2.7890939167404399E-2</v>
      </c>
      <c r="G18" s="94" t="s">
        <v>2</v>
      </c>
      <c r="H18" s="52">
        <v>5000000000000</v>
      </c>
      <c r="I18" s="52">
        <v>5000000000000</v>
      </c>
      <c r="J18" s="126">
        <v>-10</v>
      </c>
      <c r="K18" s="126">
        <v>100000</v>
      </c>
      <c r="L18" s="94">
        <v>5</v>
      </c>
      <c r="M18" s="91">
        <v>0</v>
      </c>
      <c r="N18" s="94">
        <v>0</v>
      </c>
      <c r="P18" s="87" t="s">
        <v>213</v>
      </c>
      <c r="Q18" s="95" t="s">
        <v>220</v>
      </c>
      <c r="T18" s="76"/>
      <c r="U18" s="77"/>
      <c r="W18" s="39"/>
    </row>
    <row r="19" spans="1:23" x14ac:dyDescent="0.2">
      <c r="A19" s="2" t="s">
        <v>100</v>
      </c>
      <c r="D19" s="95" t="s">
        <v>221</v>
      </c>
      <c r="E19" s="54">
        <v>0.5</v>
      </c>
      <c r="F19" s="54">
        <v>2.7228624554439224E-2</v>
      </c>
      <c r="G19" s="94" t="s">
        <v>2</v>
      </c>
      <c r="H19" s="52">
        <v>5000000000000</v>
      </c>
      <c r="I19" s="52">
        <v>5000000000000</v>
      </c>
      <c r="J19" s="126">
        <v>-10</v>
      </c>
      <c r="K19" s="126">
        <v>100000</v>
      </c>
      <c r="L19" s="94">
        <v>5</v>
      </c>
      <c r="M19" s="91">
        <v>0</v>
      </c>
      <c r="N19" s="94">
        <v>0</v>
      </c>
      <c r="P19" s="87" t="s">
        <v>214</v>
      </c>
      <c r="Q19" s="87" t="s">
        <v>221</v>
      </c>
      <c r="T19" s="76"/>
      <c r="U19" s="77"/>
      <c r="W19" s="40"/>
    </row>
    <row r="20" spans="1:23" x14ac:dyDescent="0.2">
      <c r="A20" s="2" t="s">
        <v>84</v>
      </c>
      <c r="B20" s="2">
        <f ca="1">ROW(INDIRECT("originDealNumberNettingSet"))</f>
        <v>12</v>
      </c>
      <c r="D20" s="95" t="s">
        <v>222</v>
      </c>
      <c r="E20" s="54">
        <v>0.5</v>
      </c>
      <c r="F20" s="54">
        <v>2.1638328720394045E-2</v>
      </c>
      <c r="G20" s="94" t="s">
        <v>2</v>
      </c>
      <c r="H20" s="52">
        <v>5000000000000</v>
      </c>
      <c r="I20" s="52">
        <v>5000000000000</v>
      </c>
      <c r="J20" s="126">
        <v>-10</v>
      </c>
      <c r="K20" s="126">
        <v>100000</v>
      </c>
      <c r="L20" s="94">
        <v>5</v>
      </c>
      <c r="M20" s="91">
        <v>0</v>
      </c>
      <c r="N20" s="94">
        <v>0</v>
      </c>
      <c r="P20" s="87" t="s">
        <v>215</v>
      </c>
      <c r="Q20" s="87" t="s">
        <v>222</v>
      </c>
      <c r="T20" s="76"/>
      <c r="U20" s="77"/>
      <c r="W20" s="40"/>
    </row>
    <row r="21" spans="1:23" x14ac:dyDescent="0.2">
      <c r="A21" s="2" t="s">
        <v>85</v>
      </c>
      <c r="B21" s="2">
        <f ca="1">COLUMN(INDIRECT("originDealNumberNettingSet"))</f>
        <v>16</v>
      </c>
      <c r="D21" s="95" t="s">
        <v>219</v>
      </c>
      <c r="E21" s="54">
        <v>0.5</v>
      </c>
      <c r="F21" s="54">
        <v>1.7295793270035699E-2</v>
      </c>
      <c r="G21" s="94" t="s">
        <v>2</v>
      </c>
      <c r="H21" s="52">
        <v>5000000000000</v>
      </c>
      <c r="I21" s="52">
        <v>5000000000000</v>
      </c>
      <c r="J21" s="126">
        <v>-10</v>
      </c>
      <c r="K21" s="126">
        <v>100000</v>
      </c>
      <c r="L21" s="94">
        <v>5</v>
      </c>
      <c r="M21" s="91">
        <v>0</v>
      </c>
      <c r="N21" s="94">
        <v>0</v>
      </c>
      <c r="P21" s="87" t="s">
        <v>219</v>
      </c>
      <c r="Q21" s="87" t="s">
        <v>219</v>
      </c>
      <c r="T21" s="76"/>
      <c r="W21" s="40"/>
    </row>
    <row r="22" spans="1:23" x14ac:dyDescent="0.2">
      <c r="A22" s="2" t="s">
        <v>86</v>
      </c>
      <c r="B22" s="18" t="str">
        <f ca="1">numbertoletter(B21)</f>
        <v>P</v>
      </c>
      <c r="D22" s="95" t="s">
        <v>223</v>
      </c>
      <c r="E22" s="54">
        <v>0.5</v>
      </c>
      <c r="F22" s="54">
        <v>2.7890939167404399E-2</v>
      </c>
      <c r="G22" s="94" t="s">
        <v>2</v>
      </c>
      <c r="H22" s="52">
        <v>5000000000000</v>
      </c>
      <c r="I22" s="52">
        <v>5000000000000</v>
      </c>
      <c r="J22" s="126">
        <v>-10</v>
      </c>
      <c r="K22" s="126">
        <v>100000</v>
      </c>
      <c r="L22" s="94">
        <v>5</v>
      </c>
      <c r="M22" s="91">
        <v>0</v>
      </c>
      <c r="N22" s="94">
        <v>0</v>
      </c>
      <c r="P22" s="87" t="s">
        <v>216</v>
      </c>
      <c r="Q22" s="87" t="s">
        <v>223</v>
      </c>
      <c r="T22" s="76"/>
      <c r="W22" s="40"/>
    </row>
    <row r="23" spans="1:23" x14ac:dyDescent="0.2">
      <c r="A23" s="2" t="s">
        <v>87</v>
      </c>
      <c r="B23" s="18" t="str">
        <f ca="1">B22&amp;B20&amp;":"&amp;B22&amp;maxRowsValue</f>
        <v>P12:P1048576</v>
      </c>
      <c r="D23" s="95" t="s">
        <v>224</v>
      </c>
      <c r="E23" s="54">
        <v>0.5</v>
      </c>
      <c r="F23" s="54">
        <v>2.7228624554439224E-2</v>
      </c>
      <c r="G23" s="94" t="s">
        <v>2</v>
      </c>
      <c r="H23" s="52">
        <v>5000000000000</v>
      </c>
      <c r="I23" s="52">
        <v>5000000000000</v>
      </c>
      <c r="J23" s="126">
        <v>-10</v>
      </c>
      <c r="K23" s="126">
        <v>100000</v>
      </c>
      <c r="L23" s="94">
        <v>5</v>
      </c>
      <c r="M23" s="91">
        <v>0</v>
      </c>
      <c r="N23" s="94">
        <v>0</v>
      </c>
      <c r="P23" s="53" t="s">
        <v>217</v>
      </c>
      <c r="Q23" s="53" t="s">
        <v>224</v>
      </c>
      <c r="T23" s="76"/>
      <c r="W23" s="40"/>
    </row>
    <row r="24" spans="1:23" x14ac:dyDescent="0.2">
      <c r="A24" s="2" t="s">
        <v>88</v>
      </c>
      <c r="B24" s="2">
        <f ca="1">COUNTA(INDIRECT(B23))</f>
        <v>13</v>
      </c>
      <c r="D24" s="95" t="s">
        <v>225</v>
      </c>
      <c r="E24" s="54">
        <v>0.5</v>
      </c>
      <c r="F24" s="54">
        <v>2.1638328720394045E-2</v>
      </c>
      <c r="G24" s="94" t="s">
        <v>2</v>
      </c>
      <c r="H24" s="52">
        <v>5000000000000</v>
      </c>
      <c r="I24" s="52">
        <v>5000000000000</v>
      </c>
      <c r="J24" s="126">
        <v>-10</v>
      </c>
      <c r="K24" s="126">
        <v>100000</v>
      </c>
      <c r="L24" s="94">
        <v>5</v>
      </c>
      <c r="M24" s="91">
        <v>0</v>
      </c>
      <c r="N24" s="94">
        <v>0</v>
      </c>
      <c r="P24" s="53" t="s">
        <v>218</v>
      </c>
      <c r="Q24" s="53" t="s">
        <v>225</v>
      </c>
      <c r="T24" s="76"/>
      <c r="W24" s="40"/>
    </row>
    <row r="25" spans="1:23" ht="14.25" customHeight="1" x14ac:dyDescent="0.25">
      <c r="A25" s="2" t="s">
        <v>89</v>
      </c>
      <c r="B25" s="19">
        <v>2</v>
      </c>
      <c r="D25" s="95"/>
      <c r="G25" s="94"/>
      <c r="L25" s="94"/>
      <c r="M25" s="91"/>
      <c r="N25" s="94"/>
      <c r="P25" s="95"/>
      <c r="Q25" s="95"/>
      <c r="T25" s="76"/>
      <c r="W25" s="40"/>
    </row>
    <row r="26" spans="1:23" x14ac:dyDescent="0.2">
      <c r="A26" s="2" t="s">
        <v>90</v>
      </c>
      <c r="B26" s="18" t="str">
        <f ca="1">B22&amp;B20&amp;":"&amp;numbertoletter(B21+B25-1)&amp;(B20+B24-1)</f>
        <v>P12:Q24</v>
      </c>
      <c r="D26" s="95"/>
      <c r="G26" s="94"/>
      <c r="L26" s="94"/>
      <c r="M26" s="91"/>
      <c r="N26" s="94"/>
      <c r="P26" s="53"/>
      <c r="Q26" s="53"/>
      <c r="T26" s="76"/>
      <c r="W26" s="40"/>
    </row>
    <row r="27" spans="1:23" x14ac:dyDescent="0.2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P27" s="53"/>
      <c r="Q27" s="53"/>
      <c r="T27" s="76"/>
      <c r="W27" s="40"/>
    </row>
    <row r="28" spans="1:23" x14ac:dyDescent="0.2">
      <c r="D28" s="95"/>
      <c r="E28" s="94"/>
      <c r="F28" s="94"/>
      <c r="G28" s="94"/>
      <c r="H28" s="94"/>
      <c r="I28" s="94"/>
      <c r="J28" s="94"/>
      <c r="K28" s="94"/>
      <c r="L28" s="94"/>
      <c r="M28" s="94"/>
      <c r="N28" s="94"/>
      <c r="P28" s="53"/>
      <c r="Q28" s="53"/>
      <c r="W28" s="40"/>
    </row>
    <row r="29" spans="1:23" x14ac:dyDescent="0.2">
      <c r="D29" s="95"/>
      <c r="E29" s="94"/>
      <c r="F29" s="94"/>
      <c r="G29" s="94"/>
      <c r="H29" s="94"/>
      <c r="I29" s="94"/>
      <c r="J29" s="94"/>
      <c r="K29" s="94"/>
      <c r="L29" s="94"/>
      <c r="M29" s="94"/>
      <c r="N29" s="94"/>
      <c r="P29" s="53"/>
      <c r="Q29" s="53"/>
      <c r="W29" s="40"/>
    </row>
    <row r="30" spans="1:23" x14ac:dyDescent="0.2">
      <c r="D30" s="95"/>
      <c r="E30" s="94"/>
      <c r="F30" s="94"/>
      <c r="G30" s="94"/>
      <c r="H30" s="94"/>
      <c r="I30" s="94"/>
      <c r="J30" s="94"/>
      <c r="K30" s="94"/>
      <c r="L30" s="94"/>
      <c r="M30" s="94"/>
      <c r="N30" s="94"/>
      <c r="P30" s="53"/>
      <c r="Q30" s="53"/>
      <c r="W30" s="40"/>
    </row>
    <row r="31" spans="1:23" x14ac:dyDescent="0.2">
      <c r="D31" s="95"/>
      <c r="E31" s="94"/>
      <c r="F31" s="94"/>
      <c r="G31" s="94"/>
      <c r="H31" s="94"/>
      <c r="I31" s="94"/>
      <c r="J31" s="94"/>
      <c r="K31" s="94"/>
      <c r="L31" s="94"/>
      <c r="M31" s="94"/>
      <c r="N31" s="94"/>
      <c r="P31" s="53"/>
      <c r="Q31" s="53"/>
      <c r="W31" s="40"/>
    </row>
    <row r="32" spans="1:23" x14ac:dyDescent="0.2">
      <c r="D32" s="95"/>
      <c r="E32" s="94"/>
      <c r="F32" s="94"/>
      <c r="G32" s="94"/>
      <c r="H32" s="94"/>
      <c r="I32" s="94"/>
      <c r="J32" s="94"/>
      <c r="K32" s="94"/>
      <c r="L32" s="94"/>
      <c r="M32" s="94"/>
      <c r="N32" s="94"/>
      <c r="P32" s="53"/>
      <c r="Q32" s="53"/>
      <c r="W32" s="40"/>
    </row>
    <row r="33" spans="4:23" x14ac:dyDescent="0.2">
      <c r="D33" s="95"/>
      <c r="E33" s="94"/>
      <c r="F33" s="94"/>
      <c r="G33" s="94"/>
      <c r="H33" s="94"/>
      <c r="I33" s="94"/>
      <c r="J33" s="94"/>
      <c r="K33" s="94"/>
      <c r="L33" s="94"/>
      <c r="M33" s="94"/>
      <c r="N33" s="94"/>
      <c r="P33" s="53"/>
      <c r="Q33" s="53"/>
      <c r="W33" s="40"/>
    </row>
    <row r="34" spans="4:23" x14ac:dyDescent="0.2">
      <c r="D34" s="95"/>
      <c r="E34" s="94"/>
      <c r="F34" s="94"/>
      <c r="G34" s="94"/>
      <c r="H34" s="94"/>
      <c r="I34" s="94"/>
      <c r="J34" s="94"/>
      <c r="K34" s="94"/>
      <c r="L34" s="94"/>
      <c r="M34" s="94"/>
      <c r="N34" s="94"/>
      <c r="P34" s="53"/>
      <c r="Q34" s="53"/>
      <c r="W34" s="40"/>
    </row>
    <row r="35" spans="4:23" x14ac:dyDescent="0.2">
      <c r="D35" s="95"/>
      <c r="E35" s="94"/>
      <c r="F35" s="94"/>
      <c r="G35" s="94"/>
      <c r="H35" s="94"/>
      <c r="I35" s="94"/>
      <c r="J35" s="94"/>
      <c r="K35" s="94"/>
      <c r="L35" s="94"/>
      <c r="M35" s="94"/>
      <c r="N35" s="94"/>
      <c r="P35" s="53"/>
      <c r="Q35" s="53"/>
      <c r="W35" s="40"/>
    </row>
    <row r="36" spans="4:23" x14ac:dyDescent="0.2">
      <c r="D36" s="95"/>
      <c r="E36" s="94"/>
      <c r="F36" s="94"/>
      <c r="G36" s="94"/>
      <c r="H36" s="94"/>
      <c r="I36" s="94"/>
      <c r="J36" s="94"/>
      <c r="K36" s="94"/>
      <c r="L36" s="94"/>
      <c r="M36" s="94"/>
      <c r="N36" s="94"/>
      <c r="P36" s="53"/>
      <c r="Q36" s="53"/>
      <c r="W36" s="40"/>
    </row>
    <row r="37" spans="4:23" x14ac:dyDescent="0.2">
      <c r="D37" s="95"/>
      <c r="E37" s="94"/>
      <c r="F37" s="94"/>
      <c r="G37" s="94"/>
      <c r="H37" s="94"/>
      <c r="I37" s="94"/>
      <c r="J37" s="94"/>
      <c r="K37" s="94"/>
      <c r="L37" s="94"/>
      <c r="M37" s="94"/>
      <c r="N37" s="94"/>
      <c r="P37" s="53"/>
      <c r="Q37" s="53"/>
      <c r="W37" s="40"/>
    </row>
    <row r="38" spans="4:23" x14ac:dyDescent="0.2">
      <c r="D38" s="95"/>
      <c r="E38" s="94"/>
      <c r="F38" s="94"/>
      <c r="G38" s="94"/>
      <c r="H38" s="94"/>
      <c r="I38" s="94"/>
      <c r="J38" s="94"/>
      <c r="K38" s="94"/>
      <c r="L38" s="94"/>
      <c r="M38" s="94"/>
      <c r="N38" s="94"/>
      <c r="P38" s="53"/>
      <c r="Q38" s="53"/>
      <c r="W38" s="40"/>
    </row>
    <row r="39" spans="4:23" x14ac:dyDescent="0.2">
      <c r="D39" s="95"/>
      <c r="E39" s="94"/>
      <c r="F39" s="94"/>
      <c r="G39" s="94"/>
      <c r="H39" s="94"/>
      <c r="I39" s="94"/>
      <c r="J39" s="94"/>
      <c r="K39" s="94"/>
      <c r="L39" s="94"/>
      <c r="M39" s="94"/>
      <c r="N39" s="94"/>
      <c r="P39" s="53"/>
      <c r="Q39" s="53"/>
      <c r="W39" s="40"/>
    </row>
    <row r="40" spans="4:23" x14ac:dyDescent="0.2">
      <c r="D40" s="95"/>
      <c r="E40" s="94"/>
      <c r="F40" s="94"/>
      <c r="G40" s="94"/>
      <c r="H40" s="94"/>
      <c r="I40" s="94"/>
      <c r="J40" s="94"/>
      <c r="K40" s="94"/>
      <c r="L40" s="94"/>
      <c r="M40" s="94"/>
      <c r="N40" s="94"/>
      <c r="P40" s="53"/>
      <c r="Q40" s="53"/>
      <c r="W40" s="40"/>
    </row>
    <row r="41" spans="4:23" x14ac:dyDescent="0.2">
      <c r="D41" s="95"/>
      <c r="E41" s="94"/>
      <c r="F41" s="94"/>
      <c r="G41" s="94"/>
      <c r="H41" s="94"/>
      <c r="I41" s="94"/>
      <c r="J41" s="94"/>
      <c r="K41" s="94"/>
      <c r="L41" s="94"/>
      <c r="M41" s="94"/>
      <c r="N41" s="94"/>
      <c r="P41" s="53"/>
      <c r="Q41" s="53"/>
      <c r="W41" s="40"/>
    </row>
    <row r="42" spans="4:23" x14ac:dyDescent="0.2">
      <c r="D42" s="95"/>
      <c r="E42" s="94"/>
      <c r="F42" s="94"/>
      <c r="G42" s="94"/>
      <c r="H42" s="94"/>
      <c r="I42" s="94"/>
      <c r="J42" s="94"/>
      <c r="K42" s="94"/>
      <c r="L42" s="94"/>
      <c r="M42" s="94"/>
      <c r="N42" s="94"/>
      <c r="P42" s="53"/>
      <c r="Q42" s="53"/>
      <c r="W42" s="40"/>
    </row>
    <row r="43" spans="4:23" x14ac:dyDescent="0.2">
      <c r="D43" s="95"/>
      <c r="E43" s="94"/>
      <c r="F43" s="94"/>
      <c r="G43" s="94"/>
      <c r="H43" s="94"/>
      <c r="I43" s="94"/>
      <c r="J43" s="94"/>
      <c r="K43" s="94"/>
      <c r="L43" s="94"/>
      <c r="M43" s="94"/>
      <c r="N43" s="94"/>
      <c r="P43" s="53"/>
      <c r="Q43" s="53"/>
      <c r="W43" s="40"/>
    </row>
    <row r="44" spans="4:23" x14ac:dyDescent="0.2">
      <c r="D44" s="95"/>
      <c r="E44" s="94"/>
      <c r="F44" s="94"/>
      <c r="G44" s="94"/>
      <c r="H44" s="94"/>
      <c r="I44" s="94"/>
      <c r="J44" s="94"/>
      <c r="K44" s="94"/>
      <c r="L44" s="94"/>
      <c r="M44" s="94"/>
      <c r="N44" s="94"/>
      <c r="P44" s="53"/>
      <c r="Q44" s="53"/>
      <c r="W44" s="40"/>
    </row>
    <row r="45" spans="4:23" x14ac:dyDescent="0.2">
      <c r="D45" s="95"/>
      <c r="E45" s="94"/>
      <c r="F45" s="94"/>
      <c r="G45" s="94"/>
      <c r="H45" s="94"/>
      <c r="I45" s="94"/>
      <c r="J45" s="94"/>
      <c r="K45" s="94"/>
      <c r="L45" s="94"/>
      <c r="M45" s="94"/>
      <c r="N45" s="94"/>
      <c r="P45" s="53"/>
      <c r="Q45" s="53"/>
      <c r="W45" s="40"/>
    </row>
    <row r="46" spans="4:23" x14ac:dyDescent="0.2">
      <c r="D46" s="95"/>
      <c r="E46" s="94"/>
      <c r="F46" s="94"/>
      <c r="G46" s="94"/>
      <c r="H46" s="94"/>
      <c r="I46" s="94"/>
      <c r="J46" s="94"/>
      <c r="K46" s="94"/>
      <c r="L46" s="94"/>
      <c r="M46" s="94"/>
      <c r="N46" s="94"/>
      <c r="P46" s="53"/>
      <c r="Q46" s="53"/>
      <c r="W46" s="40"/>
    </row>
    <row r="47" spans="4:23" x14ac:dyDescent="0.2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P47" s="53"/>
      <c r="Q47" s="53"/>
      <c r="W47" s="40"/>
    </row>
    <row r="48" spans="4:23" x14ac:dyDescent="0.2">
      <c r="D48" s="95"/>
      <c r="E48" s="94"/>
      <c r="F48" s="94"/>
      <c r="G48" s="94"/>
      <c r="H48" s="94"/>
      <c r="I48" s="94"/>
      <c r="J48" s="94"/>
      <c r="K48" s="94"/>
      <c r="L48" s="94"/>
      <c r="M48" s="94"/>
      <c r="N48" s="94"/>
      <c r="P48" s="53"/>
      <c r="Q48" s="53"/>
      <c r="W48" s="40"/>
    </row>
    <row r="49" spans="4:23" x14ac:dyDescent="0.2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P49" s="53"/>
      <c r="Q49" s="53"/>
      <c r="W49" s="40"/>
    </row>
    <row r="50" spans="4:23" x14ac:dyDescent="0.2">
      <c r="D50" s="95"/>
      <c r="E50" s="94"/>
      <c r="F50" s="94"/>
      <c r="G50" s="94"/>
      <c r="H50" s="94"/>
      <c r="I50" s="94"/>
      <c r="J50" s="94"/>
      <c r="K50" s="94"/>
      <c r="L50" s="94"/>
      <c r="M50" s="94"/>
      <c r="N50" s="94"/>
      <c r="P50" s="53"/>
      <c r="Q50" s="53"/>
      <c r="W50" s="40"/>
    </row>
    <row r="51" spans="4:23" x14ac:dyDescent="0.2">
      <c r="D51" s="95"/>
      <c r="E51" s="94"/>
      <c r="F51" s="94"/>
      <c r="G51" s="94"/>
      <c r="H51" s="94"/>
      <c r="I51" s="94"/>
      <c r="J51" s="94"/>
      <c r="K51" s="94"/>
      <c r="L51" s="94"/>
      <c r="M51" s="94"/>
      <c r="N51" s="94"/>
      <c r="P51" s="53"/>
      <c r="Q51" s="53"/>
      <c r="W51" s="40"/>
    </row>
    <row r="52" spans="4:23" x14ac:dyDescent="0.2">
      <c r="D52" s="95"/>
      <c r="E52" s="94"/>
      <c r="F52" s="94"/>
      <c r="G52" s="94"/>
      <c r="H52" s="94"/>
      <c r="I52" s="94"/>
      <c r="J52" s="94"/>
      <c r="K52" s="94"/>
      <c r="L52" s="94"/>
      <c r="M52" s="94"/>
      <c r="N52" s="94"/>
      <c r="P52" s="53"/>
      <c r="Q52" s="53"/>
      <c r="W52" s="40"/>
    </row>
    <row r="53" spans="4:23" x14ac:dyDescent="0.2">
      <c r="D53" s="95"/>
      <c r="E53" s="94"/>
      <c r="F53" s="94"/>
      <c r="G53" s="94"/>
      <c r="H53" s="94"/>
      <c r="I53" s="94"/>
      <c r="J53" s="94"/>
      <c r="K53" s="94"/>
      <c r="L53" s="94"/>
      <c r="M53" s="94"/>
      <c r="N53" s="94"/>
      <c r="P53" s="53"/>
      <c r="Q53" s="53"/>
      <c r="W53" s="40"/>
    </row>
    <row r="54" spans="4:23" x14ac:dyDescent="0.2">
      <c r="D54" s="95"/>
      <c r="E54" s="94"/>
      <c r="F54" s="94"/>
      <c r="G54" s="94"/>
      <c r="H54" s="94"/>
      <c r="I54" s="94"/>
      <c r="J54" s="94"/>
      <c r="K54" s="94"/>
      <c r="L54" s="94"/>
      <c r="M54" s="94"/>
      <c r="N54" s="94"/>
      <c r="P54" s="53"/>
      <c r="Q54" s="53"/>
      <c r="W54" s="40"/>
    </row>
    <row r="55" spans="4:23" x14ac:dyDescent="0.2">
      <c r="D55" s="95"/>
      <c r="E55" s="94"/>
      <c r="F55" s="94"/>
      <c r="G55" s="94"/>
      <c r="H55" s="94"/>
      <c r="I55" s="94"/>
      <c r="J55" s="94"/>
      <c r="K55" s="94"/>
      <c r="L55" s="94"/>
      <c r="M55" s="94"/>
      <c r="N55" s="94"/>
      <c r="P55" s="53"/>
      <c r="Q55" s="53"/>
      <c r="W55" s="40"/>
    </row>
    <row r="56" spans="4:23" x14ac:dyDescent="0.2">
      <c r="D56" s="95"/>
      <c r="E56" s="94"/>
      <c r="F56" s="94"/>
      <c r="G56" s="94"/>
      <c r="H56" s="94"/>
      <c r="I56" s="94"/>
      <c r="J56" s="94"/>
      <c r="K56" s="94"/>
      <c r="L56" s="94"/>
      <c r="M56" s="94"/>
      <c r="N56" s="94"/>
      <c r="P56" s="53"/>
      <c r="Q56" s="53"/>
      <c r="W56" s="40"/>
    </row>
    <row r="57" spans="4:23" x14ac:dyDescent="0.2"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P57" s="53"/>
      <c r="Q57" s="53"/>
      <c r="W57" s="40"/>
    </row>
    <row r="58" spans="4:23" x14ac:dyDescent="0.2">
      <c r="D58" s="95"/>
      <c r="E58" s="94"/>
      <c r="F58" s="94"/>
      <c r="G58" s="94"/>
      <c r="H58" s="94"/>
      <c r="I58" s="94"/>
      <c r="J58" s="94"/>
      <c r="K58" s="94"/>
      <c r="L58" s="94"/>
      <c r="M58" s="94"/>
      <c r="N58" s="94"/>
      <c r="P58" s="53"/>
      <c r="Q58" s="53"/>
      <c r="W58" s="40"/>
    </row>
    <row r="59" spans="4:23" x14ac:dyDescent="0.2">
      <c r="D59" s="95"/>
      <c r="E59" s="94"/>
      <c r="F59" s="94"/>
      <c r="G59" s="94"/>
      <c r="H59" s="94"/>
      <c r="I59" s="94"/>
      <c r="J59" s="94"/>
      <c r="K59" s="94"/>
      <c r="L59" s="94"/>
      <c r="M59" s="94"/>
      <c r="N59" s="94"/>
      <c r="P59" s="53"/>
      <c r="Q59" s="53"/>
      <c r="W59" s="40"/>
    </row>
    <row r="60" spans="4:23" x14ac:dyDescent="0.2">
      <c r="D60" s="95"/>
      <c r="E60" s="94"/>
      <c r="F60" s="94"/>
      <c r="G60" s="94"/>
      <c r="H60" s="94"/>
      <c r="I60" s="94"/>
      <c r="J60" s="94"/>
      <c r="K60" s="94"/>
      <c r="L60" s="94"/>
      <c r="M60" s="94"/>
      <c r="N60" s="94"/>
      <c r="P60" s="53"/>
      <c r="Q60" s="53"/>
      <c r="W60" s="40"/>
    </row>
    <row r="61" spans="4:23" x14ac:dyDescent="0.2">
      <c r="D61" s="95"/>
      <c r="E61" s="94"/>
      <c r="F61" s="94"/>
      <c r="G61" s="94"/>
      <c r="H61" s="94"/>
      <c r="I61" s="94"/>
      <c r="J61" s="94"/>
      <c r="K61" s="94"/>
      <c r="L61" s="94"/>
      <c r="M61" s="94"/>
      <c r="N61" s="94"/>
      <c r="P61" s="53"/>
      <c r="Q61" s="53"/>
      <c r="W61" s="40"/>
    </row>
    <row r="62" spans="4:23" x14ac:dyDescent="0.2">
      <c r="D62" s="95"/>
      <c r="E62" s="94"/>
      <c r="F62" s="94"/>
      <c r="G62" s="94"/>
      <c r="H62" s="94"/>
      <c r="I62" s="94"/>
      <c r="J62" s="94"/>
      <c r="K62" s="94"/>
      <c r="L62" s="94"/>
      <c r="M62" s="94"/>
      <c r="N62" s="94"/>
      <c r="P62" s="53"/>
      <c r="Q62" s="53"/>
      <c r="W62" s="40"/>
    </row>
    <row r="63" spans="4:23" x14ac:dyDescent="0.2">
      <c r="D63" s="95"/>
      <c r="E63" s="94"/>
      <c r="F63" s="94"/>
      <c r="G63" s="94"/>
      <c r="H63" s="94"/>
      <c r="I63" s="94"/>
      <c r="J63" s="94"/>
      <c r="K63" s="94"/>
      <c r="L63" s="94"/>
      <c r="M63" s="94"/>
      <c r="N63" s="94"/>
      <c r="P63" s="53"/>
      <c r="Q63" s="53"/>
      <c r="W63" s="40"/>
    </row>
    <row r="64" spans="4:23" x14ac:dyDescent="0.2">
      <c r="D64" s="95"/>
      <c r="E64" s="94"/>
      <c r="F64" s="94"/>
      <c r="G64" s="94"/>
      <c r="H64" s="94"/>
      <c r="I64" s="94"/>
      <c r="J64" s="94"/>
      <c r="K64" s="94"/>
      <c r="L64" s="94"/>
      <c r="M64" s="94"/>
      <c r="N64" s="94"/>
      <c r="P64" s="53"/>
      <c r="Q64" s="53"/>
      <c r="W64" s="40"/>
    </row>
    <row r="65" spans="4:23" x14ac:dyDescent="0.2"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P65" s="53"/>
      <c r="Q65" s="53"/>
      <c r="W65" s="40"/>
    </row>
    <row r="66" spans="4:23" x14ac:dyDescent="0.2">
      <c r="D66" s="95"/>
      <c r="E66" s="94"/>
      <c r="F66" s="94"/>
      <c r="G66" s="94"/>
      <c r="H66" s="94"/>
      <c r="I66" s="94"/>
      <c r="J66" s="94"/>
      <c r="K66" s="94"/>
      <c r="L66" s="94"/>
      <c r="M66" s="94"/>
      <c r="N66" s="94"/>
      <c r="P66" s="53"/>
      <c r="Q66" s="53"/>
      <c r="W66" s="40"/>
    </row>
    <row r="67" spans="4:23" x14ac:dyDescent="0.2"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P67" s="53"/>
      <c r="Q67" s="53"/>
      <c r="W67" s="40"/>
    </row>
    <row r="68" spans="4:23" x14ac:dyDescent="0.2">
      <c r="D68" s="95"/>
      <c r="E68" s="94"/>
      <c r="F68" s="94"/>
      <c r="G68" s="94"/>
      <c r="H68" s="94"/>
      <c r="I68" s="94"/>
      <c r="J68" s="94"/>
      <c r="K68" s="94"/>
      <c r="L68" s="94"/>
      <c r="M68" s="94"/>
      <c r="N68" s="94"/>
      <c r="P68" s="53"/>
      <c r="Q68" s="53"/>
      <c r="W68" s="40"/>
    </row>
    <row r="69" spans="4:23" x14ac:dyDescent="0.2">
      <c r="D69" s="95"/>
      <c r="E69" s="94"/>
      <c r="F69" s="94"/>
      <c r="G69" s="94"/>
      <c r="H69" s="94"/>
      <c r="I69" s="94"/>
      <c r="J69" s="94"/>
      <c r="K69" s="94"/>
      <c r="L69" s="94"/>
      <c r="M69" s="94"/>
      <c r="N69" s="94"/>
      <c r="P69" s="53"/>
      <c r="Q69" s="53"/>
      <c r="W69" s="40"/>
    </row>
    <row r="70" spans="4:23" x14ac:dyDescent="0.2">
      <c r="D70" s="95"/>
      <c r="E70" s="94"/>
      <c r="F70" s="94"/>
      <c r="G70" s="94"/>
      <c r="H70" s="94"/>
      <c r="I70" s="94"/>
      <c r="J70" s="94"/>
      <c r="K70" s="94"/>
      <c r="L70" s="94"/>
      <c r="M70" s="94"/>
      <c r="N70" s="94"/>
      <c r="P70" s="53"/>
      <c r="Q70" s="53"/>
      <c r="W70" s="40"/>
    </row>
    <row r="71" spans="4:23" x14ac:dyDescent="0.2"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P71" s="53"/>
      <c r="Q71" s="53"/>
      <c r="W71" s="40"/>
    </row>
    <row r="72" spans="4:23" x14ac:dyDescent="0.2">
      <c r="D72" s="95"/>
      <c r="E72" s="94"/>
      <c r="F72" s="94"/>
      <c r="G72" s="94"/>
      <c r="H72" s="94"/>
      <c r="I72" s="94"/>
      <c r="J72" s="94"/>
      <c r="K72" s="94"/>
      <c r="L72" s="94"/>
      <c r="M72" s="94"/>
      <c r="N72" s="94"/>
      <c r="P72" s="53"/>
      <c r="Q72" s="53"/>
      <c r="W72" s="40"/>
    </row>
    <row r="73" spans="4:23" x14ac:dyDescent="0.2">
      <c r="D73" s="95"/>
      <c r="E73" s="94"/>
      <c r="F73" s="94"/>
      <c r="G73" s="94"/>
      <c r="H73" s="94"/>
      <c r="I73" s="94"/>
      <c r="J73" s="94"/>
      <c r="K73" s="94"/>
      <c r="L73" s="94"/>
      <c r="M73" s="94"/>
      <c r="N73" s="94"/>
      <c r="P73" s="53"/>
      <c r="Q73" s="53"/>
      <c r="W73" s="40"/>
    </row>
    <row r="74" spans="4:23" x14ac:dyDescent="0.2">
      <c r="D74" s="95"/>
      <c r="E74" s="94"/>
      <c r="F74" s="94"/>
      <c r="G74" s="94"/>
      <c r="H74" s="94"/>
      <c r="I74" s="94"/>
      <c r="J74" s="94"/>
      <c r="K74" s="94"/>
      <c r="L74" s="94"/>
      <c r="M74" s="94"/>
      <c r="N74" s="94"/>
      <c r="P74" s="53"/>
      <c r="Q74" s="53"/>
      <c r="W74" s="40"/>
    </row>
    <row r="75" spans="4:23" x14ac:dyDescent="0.2">
      <c r="D75" s="95"/>
      <c r="E75" s="94"/>
      <c r="F75" s="94"/>
      <c r="G75" s="94"/>
      <c r="H75" s="94"/>
      <c r="I75" s="94"/>
      <c r="J75" s="94"/>
      <c r="K75" s="94"/>
      <c r="L75" s="94"/>
      <c r="M75" s="94"/>
      <c r="N75" s="94"/>
      <c r="P75" s="53"/>
      <c r="Q75" s="53"/>
      <c r="W75" s="40"/>
    </row>
    <row r="76" spans="4:23" x14ac:dyDescent="0.2">
      <c r="D76" s="95"/>
      <c r="E76" s="94"/>
      <c r="F76" s="94"/>
      <c r="G76" s="94"/>
      <c r="H76" s="94"/>
      <c r="I76" s="94"/>
      <c r="J76" s="94"/>
      <c r="K76" s="94"/>
      <c r="L76" s="94"/>
      <c r="M76" s="94"/>
      <c r="N76" s="94"/>
      <c r="P76" s="53"/>
      <c r="Q76" s="53"/>
      <c r="W76" s="40"/>
    </row>
    <row r="77" spans="4:23" x14ac:dyDescent="0.2">
      <c r="D77" s="95"/>
      <c r="E77" s="94"/>
      <c r="F77" s="94"/>
      <c r="G77" s="94"/>
      <c r="H77" s="94"/>
      <c r="I77" s="94"/>
      <c r="J77" s="94"/>
      <c r="K77" s="94"/>
      <c r="L77" s="94"/>
      <c r="M77" s="94"/>
      <c r="N77" s="94"/>
      <c r="P77" s="53"/>
      <c r="Q77" s="53"/>
      <c r="W77" s="40"/>
    </row>
    <row r="78" spans="4:23" x14ac:dyDescent="0.2">
      <c r="D78" s="95"/>
      <c r="E78" s="94"/>
      <c r="F78" s="94"/>
      <c r="G78" s="94"/>
      <c r="H78" s="94"/>
      <c r="I78" s="94"/>
      <c r="J78" s="94"/>
      <c r="K78" s="94"/>
      <c r="L78" s="94"/>
      <c r="M78" s="94"/>
      <c r="N78" s="94"/>
      <c r="P78" s="53"/>
      <c r="Q78" s="53"/>
      <c r="W78" s="40"/>
    </row>
    <row r="79" spans="4:23" x14ac:dyDescent="0.2">
      <c r="D79" s="95"/>
      <c r="E79" s="94"/>
      <c r="F79" s="94"/>
      <c r="G79" s="94"/>
      <c r="H79" s="94"/>
      <c r="I79" s="94"/>
      <c r="J79" s="94"/>
      <c r="K79" s="94"/>
      <c r="L79" s="94"/>
      <c r="M79" s="94"/>
      <c r="N79" s="94"/>
      <c r="P79" s="53"/>
      <c r="Q79" s="53"/>
      <c r="W79" s="40"/>
    </row>
    <row r="80" spans="4:23" x14ac:dyDescent="0.2">
      <c r="D80" s="95"/>
      <c r="E80" s="94"/>
      <c r="F80" s="94"/>
      <c r="G80" s="94"/>
      <c r="H80" s="94"/>
      <c r="I80" s="94"/>
      <c r="J80" s="94"/>
      <c r="K80" s="94"/>
      <c r="L80" s="94"/>
      <c r="M80" s="94"/>
      <c r="N80" s="94"/>
      <c r="P80" s="53"/>
      <c r="Q80" s="53"/>
      <c r="W80" s="40"/>
    </row>
    <row r="81" spans="4:23" x14ac:dyDescent="0.2">
      <c r="D81" s="95"/>
      <c r="E81" s="94"/>
      <c r="F81" s="94"/>
      <c r="G81" s="94"/>
      <c r="H81" s="94"/>
      <c r="I81" s="94"/>
      <c r="J81" s="94"/>
      <c r="K81" s="94"/>
      <c r="L81" s="94"/>
      <c r="M81" s="94"/>
      <c r="N81" s="94"/>
      <c r="P81" s="53"/>
      <c r="Q81" s="53"/>
      <c r="W81" s="40"/>
    </row>
    <row r="82" spans="4:23" x14ac:dyDescent="0.2">
      <c r="D82" s="95"/>
      <c r="E82" s="94"/>
      <c r="F82" s="94"/>
      <c r="G82" s="94"/>
      <c r="H82" s="94"/>
      <c r="I82" s="94"/>
      <c r="J82" s="94"/>
      <c r="K82" s="94"/>
      <c r="L82" s="94"/>
      <c r="M82" s="94"/>
      <c r="N82" s="94"/>
      <c r="P82" s="53"/>
      <c r="Q82" s="53"/>
      <c r="W82" s="40"/>
    </row>
    <row r="83" spans="4:23" x14ac:dyDescent="0.2">
      <c r="D83" s="95"/>
      <c r="E83" s="94"/>
      <c r="F83" s="94"/>
      <c r="G83" s="94"/>
      <c r="H83" s="94"/>
      <c r="I83" s="94"/>
      <c r="J83" s="94"/>
      <c r="K83" s="94"/>
      <c r="L83" s="94"/>
      <c r="M83" s="94"/>
      <c r="N83" s="94"/>
      <c r="P83" s="53"/>
      <c r="Q83" s="53"/>
      <c r="W83" s="40"/>
    </row>
    <row r="84" spans="4:23" x14ac:dyDescent="0.2">
      <c r="D84" s="95"/>
      <c r="E84" s="94"/>
      <c r="F84" s="94"/>
      <c r="G84" s="94"/>
      <c r="H84" s="94"/>
      <c r="I84" s="94"/>
      <c r="J84" s="94"/>
      <c r="K84" s="94"/>
      <c r="L84" s="94"/>
      <c r="M84" s="94"/>
      <c r="N84" s="94"/>
      <c r="P84" s="53"/>
      <c r="Q84" s="53"/>
      <c r="W84" s="40"/>
    </row>
    <row r="85" spans="4:23" x14ac:dyDescent="0.2">
      <c r="D85" s="95"/>
      <c r="E85" s="94"/>
      <c r="F85" s="94"/>
      <c r="G85" s="94"/>
      <c r="H85" s="94"/>
      <c r="I85" s="94"/>
      <c r="J85" s="94"/>
      <c r="K85" s="94"/>
      <c r="L85" s="94"/>
      <c r="M85" s="94"/>
      <c r="N85" s="94"/>
      <c r="P85" s="53"/>
      <c r="Q85" s="53"/>
      <c r="W85" s="40"/>
    </row>
    <row r="86" spans="4:23" x14ac:dyDescent="0.2">
      <c r="D86" s="95"/>
      <c r="E86" s="94"/>
      <c r="F86" s="94"/>
      <c r="G86" s="94"/>
      <c r="H86" s="94"/>
      <c r="I86" s="94"/>
      <c r="J86" s="94"/>
      <c r="K86" s="94"/>
      <c r="L86" s="94"/>
      <c r="M86" s="94"/>
      <c r="N86" s="94"/>
      <c r="P86" s="53"/>
      <c r="Q86" s="53"/>
      <c r="W86" s="40"/>
    </row>
    <row r="87" spans="4:23" x14ac:dyDescent="0.2">
      <c r="D87" s="95"/>
      <c r="E87" s="94"/>
      <c r="F87" s="94"/>
      <c r="G87" s="94"/>
      <c r="H87" s="94"/>
      <c r="I87" s="94"/>
      <c r="J87" s="94"/>
      <c r="K87" s="94"/>
      <c r="L87" s="94"/>
      <c r="M87" s="94"/>
      <c r="N87" s="94"/>
      <c r="P87" s="53"/>
      <c r="Q87" s="53"/>
      <c r="W87" s="40"/>
    </row>
    <row r="88" spans="4:23" x14ac:dyDescent="0.2">
      <c r="D88" s="95"/>
      <c r="E88" s="94"/>
      <c r="F88" s="94"/>
      <c r="G88" s="94"/>
      <c r="H88" s="94"/>
      <c r="I88" s="94"/>
      <c r="J88" s="94"/>
      <c r="K88" s="94"/>
      <c r="L88" s="94"/>
      <c r="M88" s="94"/>
      <c r="N88" s="94"/>
      <c r="P88" s="53"/>
      <c r="Q88" s="53"/>
      <c r="W88" s="40"/>
    </row>
    <row r="89" spans="4:23" x14ac:dyDescent="0.2">
      <c r="D89" s="95"/>
      <c r="E89" s="94"/>
      <c r="F89" s="94"/>
      <c r="G89" s="94"/>
      <c r="H89" s="94"/>
      <c r="I89" s="94"/>
      <c r="J89" s="94"/>
      <c r="K89" s="94"/>
      <c r="L89" s="94"/>
      <c r="M89" s="94"/>
      <c r="N89" s="94"/>
      <c r="P89" s="53"/>
      <c r="Q89" s="53"/>
      <c r="W89" s="40"/>
    </row>
    <row r="90" spans="4:23" x14ac:dyDescent="0.2">
      <c r="D90" s="95"/>
      <c r="E90" s="94"/>
      <c r="F90" s="94"/>
      <c r="G90" s="94"/>
      <c r="H90" s="94"/>
      <c r="I90" s="94"/>
      <c r="J90" s="94"/>
      <c r="K90" s="94"/>
      <c r="L90" s="94"/>
      <c r="M90" s="94"/>
      <c r="N90" s="94"/>
      <c r="P90" s="53"/>
      <c r="Q90" s="53"/>
      <c r="W90" s="40"/>
    </row>
    <row r="91" spans="4:23" x14ac:dyDescent="0.2">
      <c r="D91" s="95"/>
      <c r="E91" s="94"/>
      <c r="F91" s="94"/>
      <c r="G91" s="94"/>
      <c r="H91" s="94"/>
      <c r="I91" s="94"/>
      <c r="J91" s="94"/>
      <c r="K91" s="94"/>
      <c r="L91" s="94"/>
      <c r="M91" s="94"/>
      <c r="N91" s="94"/>
      <c r="P91" s="53"/>
      <c r="Q91" s="53"/>
      <c r="W91" s="40"/>
    </row>
    <row r="92" spans="4:23" x14ac:dyDescent="0.2">
      <c r="D92" s="95"/>
      <c r="E92" s="94"/>
      <c r="F92" s="94"/>
      <c r="G92" s="94"/>
      <c r="H92" s="94"/>
      <c r="I92" s="94"/>
      <c r="J92" s="94"/>
      <c r="K92" s="94"/>
      <c r="L92" s="94"/>
      <c r="M92" s="94"/>
      <c r="N92" s="94"/>
      <c r="P92" s="53"/>
      <c r="Q92" s="53"/>
      <c r="W92" s="40"/>
    </row>
    <row r="93" spans="4:23" x14ac:dyDescent="0.2">
      <c r="D93" s="95"/>
      <c r="E93" s="94"/>
      <c r="F93" s="94"/>
      <c r="G93" s="94"/>
      <c r="H93" s="94"/>
      <c r="I93" s="94"/>
      <c r="J93" s="94"/>
      <c r="K93" s="94"/>
      <c r="L93" s="94"/>
      <c r="M93" s="94"/>
      <c r="N93" s="94"/>
      <c r="P93" s="53"/>
      <c r="Q93" s="53"/>
      <c r="W93" s="40"/>
    </row>
    <row r="94" spans="4:23" x14ac:dyDescent="0.2">
      <c r="D94" s="95"/>
      <c r="E94" s="94"/>
      <c r="F94" s="94"/>
      <c r="G94" s="94"/>
      <c r="H94" s="94"/>
      <c r="I94" s="94"/>
      <c r="J94" s="94"/>
      <c r="K94" s="94"/>
      <c r="L94" s="94"/>
      <c r="M94" s="94"/>
      <c r="N94" s="94"/>
      <c r="P94" s="53"/>
      <c r="Q94" s="53"/>
      <c r="W94" s="40"/>
    </row>
    <row r="95" spans="4:23" x14ac:dyDescent="0.2">
      <c r="D95" s="95"/>
      <c r="E95" s="94"/>
      <c r="F95" s="94"/>
      <c r="G95" s="94"/>
      <c r="H95" s="94"/>
      <c r="I95" s="94"/>
      <c r="J95" s="94"/>
      <c r="K95" s="94"/>
      <c r="L95" s="94"/>
      <c r="M95" s="94"/>
      <c r="N95" s="94"/>
      <c r="P95" s="53"/>
      <c r="Q95" s="53"/>
      <c r="W95" s="40"/>
    </row>
    <row r="96" spans="4:23" x14ac:dyDescent="0.2">
      <c r="D96" s="95"/>
      <c r="E96" s="94"/>
      <c r="F96" s="94"/>
      <c r="G96" s="94"/>
      <c r="H96" s="94"/>
      <c r="I96" s="94"/>
      <c r="J96" s="94"/>
      <c r="K96" s="94"/>
      <c r="L96" s="94"/>
      <c r="M96" s="94"/>
      <c r="N96" s="94"/>
      <c r="P96" s="53"/>
      <c r="Q96" s="53"/>
      <c r="W96" s="40"/>
    </row>
    <row r="97" spans="4:23" x14ac:dyDescent="0.2">
      <c r="D97" s="95"/>
      <c r="E97" s="94"/>
      <c r="F97" s="94"/>
      <c r="G97" s="94"/>
      <c r="H97" s="94"/>
      <c r="I97" s="94"/>
      <c r="J97" s="94"/>
      <c r="K97" s="94"/>
      <c r="L97" s="94"/>
      <c r="M97" s="94"/>
      <c r="N97" s="94"/>
      <c r="P97" s="53"/>
      <c r="Q97" s="53"/>
      <c r="W97" s="40"/>
    </row>
    <row r="98" spans="4:23" x14ac:dyDescent="0.2">
      <c r="D98" s="95"/>
      <c r="E98" s="94"/>
      <c r="F98" s="94"/>
      <c r="G98" s="94"/>
      <c r="H98" s="94"/>
      <c r="I98" s="94"/>
      <c r="J98" s="94"/>
      <c r="K98" s="94"/>
      <c r="L98" s="94"/>
      <c r="M98" s="94"/>
      <c r="N98" s="94"/>
      <c r="P98" s="53"/>
      <c r="Q98" s="53"/>
      <c r="W98" s="40"/>
    </row>
    <row r="99" spans="4:23" x14ac:dyDescent="0.2">
      <c r="D99" s="95"/>
      <c r="E99" s="94"/>
      <c r="F99" s="94"/>
      <c r="G99" s="94"/>
      <c r="H99" s="94"/>
      <c r="I99" s="94"/>
      <c r="J99" s="94"/>
      <c r="K99" s="94"/>
      <c r="L99" s="94"/>
      <c r="M99" s="94"/>
      <c r="N99" s="94"/>
      <c r="P99" s="53"/>
      <c r="Q99" s="53"/>
      <c r="W99" s="40"/>
    </row>
    <row r="100" spans="4:23" x14ac:dyDescent="0.2">
      <c r="D100" s="95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P100" s="53"/>
      <c r="Q100" s="53"/>
      <c r="W100" s="40"/>
    </row>
    <row r="101" spans="4:23" x14ac:dyDescent="0.2">
      <c r="D101" s="95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P101" s="53"/>
      <c r="Q101" s="53"/>
      <c r="W101" s="40"/>
    </row>
    <row r="102" spans="4:23" x14ac:dyDescent="0.2">
      <c r="D102" s="95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P102" s="53"/>
      <c r="Q102" s="53"/>
      <c r="W102" s="40"/>
    </row>
    <row r="103" spans="4:23" x14ac:dyDescent="0.2"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P103" s="53"/>
      <c r="Q103" s="53"/>
      <c r="W103" s="40"/>
    </row>
    <row r="104" spans="4:23" x14ac:dyDescent="0.2">
      <c r="D104" s="95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P104" s="53"/>
      <c r="Q104" s="53"/>
      <c r="W104" s="40"/>
    </row>
    <row r="105" spans="4:23" x14ac:dyDescent="0.2">
      <c r="D105" s="95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P105" s="53"/>
      <c r="Q105" s="53"/>
      <c r="W105" s="40"/>
    </row>
    <row r="106" spans="4:23" x14ac:dyDescent="0.2">
      <c r="D106" s="95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P106" s="53"/>
      <c r="Q106" s="53"/>
      <c r="W106" s="40"/>
    </row>
    <row r="107" spans="4:23" x14ac:dyDescent="0.2">
      <c r="D107" s="95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P107" s="53"/>
      <c r="Q107" s="53"/>
      <c r="W107" s="40"/>
    </row>
    <row r="108" spans="4:23" x14ac:dyDescent="0.2">
      <c r="D108" s="95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P108" s="53"/>
      <c r="Q108" s="53"/>
      <c r="W108" s="40"/>
    </row>
    <row r="109" spans="4:23" x14ac:dyDescent="0.2">
      <c r="D109" s="95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P109" s="53"/>
      <c r="Q109" s="53"/>
      <c r="W109" s="40"/>
    </row>
    <row r="110" spans="4:23" x14ac:dyDescent="0.2">
      <c r="D110" s="95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P110" s="53"/>
      <c r="Q110" s="53"/>
      <c r="W110" s="40"/>
    </row>
    <row r="111" spans="4:23" x14ac:dyDescent="0.2">
      <c r="D111" s="95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P111" s="53"/>
      <c r="Q111" s="53"/>
      <c r="W111" s="40"/>
    </row>
    <row r="112" spans="4:23" x14ac:dyDescent="0.2">
      <c r="D112" s="95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P112" s="53"/>
      <c r="Q112" s="53"/>
      <c r="W112" s="40"/>
    </row>
    <row r="113" spans="4:23" x14ac:dyDescent="0.2">
      <c r="D113" s="95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P113" s="53"/>
      <c r="Q113" s="53"/>
      <c r="W113" s="40"/>
    </row>
    <row r="114" spans="4:23" x14ac:dyDescent="0.2">
      <c r="D114" s="95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P114" s="53"/>
      <c r="Q114" s="53"/>
      <c r="W114" s="40"/>
    </row>
    <row r="115" spans="4:23" x14ac:dyDescent="0.2">
      <c r="D115" s="95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P115" s="53"/>
      <c r="Q115" s="53"/>
      <c r="W115" s="40"/>
    </row>
    <row r="116" spans="4:23" x14ac:dyDescent="0.2">
      <c r="D116" s="95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P116" s="53"/>
      <c r="Q116" s="53"/>
      <c r="W116" s="40"/>
    </row>
    <row r="117" spans="4:23" x14ac:dyDescent="0.2">
      <c r="D117" s="95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P117" s="53"/>
      <c r="Q117" s="53"/>
      <c r="W117" s="40"/>
    </row>
    <row r="118" spans="4:23" x14ac:dyDescent="0.2">
      <c r="D118" s="95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P118" s="53"/>
      <c r="Q118" s="53"/>
      <c r="W118" s="40"/>
    </row>
    <row r="119" spans="4:23" x14ac:dyDescent="0.2">
      <c r="D119" s="95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P119" s="53"/>
      <c r="Q119" s="53"/>
      <c r="W119" s="40"/>
    </row>
    <row r="120" spans="4:23" x14ac:dyDescent="0.2">
      <c r="D120" s="95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P120" s="53"/>
      <c r="Q120" s="53"/>
      <c r="W120" s="40"/>
    </row>
    <row r="121" spans="4:23" x14ac:dyDescent="0.2">
      <c r="D121" s="95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P121" s="53"/>
      <c r="Q121" s="53"/>
      <c r="W121" s="40"/>
    </row>
    <row r="122" spans="4:23" x14ac:dyDescent="0.2">
      <c r="D122" s="95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P122" s="53"/>
      <c r="Q122" s="53"/>
      <c r="W122" s="40"/>
    </row>
    <row r="123" spans="4:23" x14ac:dyDescent="0.2">
      <c r="D123" s="95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P123" s="53"/>
      <c r="Q123" s="53"/>
      <c r="W123" s="40"/>
    </row>
    <row r="124" spans="4:23" x14ac:dyDescent="0.2">
      <c r="D124" s="95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P124" s="53"/>
      <c r="Q124" s="53"/>
      <c r="W124" s="40"/>
    </row>
    <row r="125" spans="4:23" x14ac:dyDescent="0.2">
      <c r="D125" s="95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P125" s="53"/>
      <c r="Q125" s="53"/>
      <c r="W125" s="40"/>
    </row>
    <row r="126" spans="4:23" x14ac:dyDescent="0.2">
      <c r="D126" s="95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P126" s="53"/>
      <c r="Q126" s="53"/>
      <c r="W126" s="40"/>
    </row>
    <row r="127" spans="4:23" x14ac:dyDescent="0.2">
      <c r="D127" s="95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P127" s="53"/>
      <c r="Q127" s="53"/>
      <c r="W127" s="40"/>
    </row>
    <row r="128" spans="4:23" x14ac:dyDescent="0.2">
      <c r="D128" s="95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P128" s="53"/>
      <c r="Q128" s="53"/>
      <c r="W128" s="40"/>
    </row>
    <row r="129" spans="4:23" x14ac:dyDescent="0.2">
      <c r="D129" s="95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P129" s="53"/>
      <c r="Q129" s="53"/>
      <c r="W129" s="40"/>
    </row>
    <row r="130" spans="4:23" x14ac:dyDescent="0.2">
      <c r="D130" s="95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P130" s="53"/>
      <c r="Q130" s="53"/>
      <c r="W130" s="40"/>
    </row>
    <row r="131" spans="4:23" x14ac:dyDescent="0.2">
      <c r="D131" s="95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P131" s="53"/>
      <c r="Q131" s="53"/>
      <c r="W131" s="40"/>
    </row>
    <row r="132" spans="4:23" x14ac:dyDescent="0.2">
      <c r="D132" s="95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P132" s="53"/>
      <c r="Q132" s="53"/>
      <c r="W132" s="40"/>
    </row>
    <row r="133" spans="4:23" x14ac:dyDescent="0.2">
      <c r="D133" s="95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P133" s="53"/>
      <c r="Q133" s="53"/>
      <c r="W133" s="40"/>
    </row>
    <row r="134" spans="4:23" x14ac:dyDescent="0.2">
      <c r="D134" s="95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P134" s="53"/>
      <c r="Q134" s="53"/>
      <c r="W134" s="40"/>
    </row>
    <row r="135" spans="4:23" x14ac:dyDescent="0.2">
      <c r="D135" s="95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P135" s="53"/>
      <c r="Q135" s="53"/>
      <c r="W135" s="40"/>
    </row>
    <row r="136" spans="4:23" x14ac:dyDescent="0.2">
      <c r="D136" s="95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P136" s="53"/>
      <c r="Q136" s="53"/>
      <c r="W136" s="40"/>
    </row>
    <row r="137" spans="4:23" x14ac:dyDescent="0.2">
      <c r="D137" s="95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P137" s="53"/>
      <c r="Q137" s="53"/>
      <c r="W137" s="40"/>
    </row>
    <row r="138" spans="4:23" x14ac:dyDescent="0.2">
      <c r="D138" s="95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P138" s="53"/>
      <c r="Q138" s="53"/>
      <c r="W138" s="40"/>
    </row>
    <row r="139" spans="4:23" x14ac:dyDescent="0.2">
      <c r="D139" s="95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P139" s="53"/>
      <c r="Q139" s="53"/>
      <c r="W139" s="40"/>
    </row>
    <row r="140" spans="4:23" x14ac:dyDescent="0.2">
      <c r="D140" s="95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P140" s="53"/>
      <c r="Q140" s="53"/>
      <c r="W140" s="40"/>
    </row>
    <row r="141" spans="4:23" x14ac:dyDescent="0.2">
      <c r="D141" s="95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P141" s="53"/>
      <c r="Q141" s="53"/>
      <c r="W141" s="40"/>
    </row>
    <row r="142" spans="4:23" x14ac:dyDescent="0.2">
      <c r="D142" s="95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P142" s="53"/>
      <c r="Q142" s="53"/>
      <c r="W142" s="40"/>
    </row>
    <row r="143" spans="4:23" x14ac:dyDescent="0.2">
      <c r="D143" s="95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P143" s="53"/>
      <c r="Q143" s="53"/>
      <c r="W143" s="40"/>
    </row>
    <row r="144" spans="4:23" x14ac:dyDescent="0.2">
      <c r="D144" s="95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P144" s="53"/>
      <c r="Q144" s="53"/>
      <c r="W144" s="40"/>
    </row>
    <row r="145" spans="4:23" x14ac:dyDescent="0.2">
      <c r="D145" s="95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P145" s="53"/>
      <c r="Q145" s="53"/>
      <c r="W145" s="40"/>
    </row>
    <row r="146" spans="4:23" x14ac:dyDescent="0.2">
      <c r="D146" s="95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P146" s="53"/>
      <c r="Q146" s="53"/>
      <c r="W146" s="40"/>
    </row>
    <row r="147" spans="4:23" x14ac:dyDescent="0.2">
      <c r="D147" s="95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P147" s="53"/>
      <c r="Q147" s="53"/>
      <c r="W147" s="40"/>
    </row>
    <row r="148" spans="4:23" x14ac:dyDescent="0.2">
      <c r="D148" s="95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P148" s="53"/>
      <c r="Q148" s="53"/>
      <c r="W148" s="40"/>
    </row>
    <row r="149" spans="4:23" x14ac:dyDescent="0.2">
      <c r="D149" s="95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P149" s="53"/>
      <c r="Q149" s="53"/>
      <c r="W149" s="40"/>
    </row>
    <row r="150" spans="4:23" x14ac:dyDescent="0.2">
      <c r="D150" s="95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P150" s="53"/>
      <c r="Q150" s="53"/>
      <c r="W150" s="40"/>
    </row>
    <row r="151" spans="4:23" x14ac:dyDescent="0.2">
      <c r="D151" s="95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P151" s="53"/>
      <c r="Q151" s="53"/>
      <c r="W151" s="40"/>
    </row>
    <row r="152" spans="4:23" x14ac:dyDescent="0.2">
      <c r="D152" s="95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P152" s="53"/>
      <c r="Q152" s="53"/>
      <c r="W152" s="40"/>
    </row>
    <row r="153" spans="4:23" x14ac:dyDescent="0.2">
      <c r="D153" s="95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P153" s="53"/>
      <c r="Q153" s="53"/>
      <c r="W153" s="40"/>
    </row>
    <row r="154" spans="4:23" x14ac:dyDescent="0.2">
      <c r="D154" s="95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P154" s="53"/>
      <c r="Q154" s="53"/>
      <c r="W154" s="40"/>
    </row>
    <row r="155" spans="4:23" x14ac:dyDescent="0.2">
      <c r="D155" s="95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P155" s="53"/>
      <c r="Q155" s="53"/>
      <c r="W155" s="40"/>
    </row>
    <row r="156" spans="4:23" x14ac:dyDescent="0.2">
      <c r="D156" s="95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P156" s="53"/>
      <c r="Q156" s="53"/>
      <c r="W156" s="40"/>
    </row>
    <row r="157" spans="4:23" x14ac:dyDescent="0.2">
      <c r="D157" s="95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P157" s="53"/>
      <c r="Q157" s="53"/>
      <c r="W157" s="40"/>
    </row>
    <row r="158" spans="4:23" x14ac:dyDescent="0.2">
      <c r="D158" s="95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P158" s="53"/>
      <c r="Q158" s="53"/>
      <c r="W158" s="40"/>
    </row>
    <row r="159" spans="4:23" x14ac:dyDescent="0.2">
      <c r="D159" s="95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P159" s="53"/>
      <c r="Q159" s="53"/>
      <c r="W159" s="40"/>
    </row>
    <row r="160" spans="4:23" x14ac:dyDescent="0.2">
      <c r="D160" s="95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P160" s="53"/>
      <c r="Q160" s="53"/>
      <c r="W160" s="40"/>
    </row>
    <row r="161" spans="4:23" x14ac:dyDescent="0.2">
      <c r="D161" s="95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P161" s="53"/>
      <c r="Q161" s="53"/>
      <c r="W161" s="40"/>
    </row>
    <row r="162" spans="4:23" x14ac:dyDescent="0.2">
      <c r="D162" s="95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P162" s="53"/>
      <c r="Q162" s="53"/>
      <c r="W162" s="40"/>
    </row>
    <row r="163" spans="4:23" x14ac:dyDescent="0.2">
      <c r="D163" s="95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P163" s="53"/>
      <c r="Q163" s="53"/>
      <c r="W163" s="40"/>
    </row>
    <row r="164" spans="4:23" x14ac:dyDescent="0.2">
      <c r="D164" s="95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P164" s="53"/>
      <c r="Q164" s="53"/>
      <c r="W164" s="40"/>
    </row>
    <row r="165" spans="4:23" x14ac:dyDescent="0.2">
      <c r="D165" s="95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P165" s="53"/>
      <c r="Q165" s="53"/>
      <c r="W165" s="40"/>
    </row>
    <row r="166" spans="4:23" x14ac:dyDescent="0.2">
      <c r="D166" s="95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P166" s="53"/>
      <c r="Q166" s="53"/>
      <c r="W166" s="40"/>
    </row>
    <row r="167" spans="4:23" x14ac:dyDescent="0.2">
      <c r="D167" s="95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P167" s="53"/>
      <c r="Q167" s="53"/>
      <c r="W167" s="40"/>
    </row>
    <row r="168" spans="4:23" x14ac:dyDescent="0.2">
      <c r="D168" s="95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P168" s="53"/>
      <c r="Q168" s="53"/>
      <c r="W168" s="40"/>
    </row>
    <row r="169" spans="4:23" x14ac:dyDescent="0.2">
      <c r="D169" s="95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P169" s="53"/>
      <c r="Q169" s="53"/>
      <c r="W169" s="40"/>
    </row>
    <row r="170" spans="4:23" x14ac:dyDescent="0.2">
      <c r="D170" s="95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P170" s="53"/>
      <c r="Q170" s="53"/>
      <c r="W170" s="40"/>
    </row>
    <row r="171" spans="4:23" x14ac:dyDescent="0.2">
      <c r="D171" s="95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P171" s="53"/>
      <c r="Q171" s="53"/>
      <c r="W171" s="40"/>
    </row>
    <row r="172" spans="4:23" x14ac:dyDescent="0.2">
      <c r="D172" s="95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P172" s="53"/>
      <c r="Q172" s="53"/>
      <c r="W172" s="40"/>
    </row>
    <row r="173" spans="4:23" x14ac:dyDescent="0.2">
      <c r="D173" s="95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P173" s="53"/>
      <c r="Q173" s="53"/>
      <c r="W173" s="40"/>
    </row>
    <row r="174" spans="4:23" x14ac:dyDescent="0.2">
      <c r="D174" s="95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P174" s="53"/>
      <c r="Q174" s="53"/>
      <c r="W174" s="40"/>
    </row>
    <row r="175" spans="4:23" x14ac:dyDescent="0.2">
      <c r="D175" s="95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P175" s="53"/>
      <c r="Q175" s="53"/>
      <c r="W175" s="40"/>
    </row>
    <row r="176" spans="4:23" x14ac:dyDescent="0.2">
      <c r="D176" s="95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P176" s="53"/>
      <c r="Q176" s="53"/>
      <c r="W176" s="40"/>
    </row>
    <row r="177" spans="4:23" x14ac:dyDescent="0.2">
      <c r="D177" s="95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P177" s="53"/>
      <c r="Q177" s="53"/>
      <c r="W177" s="40"/>
    </row>
    <row r="178" spans="4:23" x14ac:dyDescent="0.2">
      <c r="D178" s="95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P178" s="53"/>
      <c r="Q178" s="53"/>
      <c r="W178" s="40"/>
    </row>
    <row r="179" spans="4:23" x14ac:dyDescent="0.2">
      <c r="D179" s="95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P179" s="53"/>
      <c r="Q179" s="53"/>
      <c r="W179" s="40"/>
    </row>
    <row r="180" spans="4:23" x14ac:dyDescent="0.2">
      <c r="D180" s="95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P180" s="53"/>
      <c r="Q180" s="53"/>
      <c r="W180" s="40"/>
    </row>
    <row r="181" spans="4:23" x14ac:dyDescent="0.2">
      <c r="D181" s="95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P181" s="53"/>
      <c r="Q181" s="53"/>
      <c r="W181" s="40"/>
    </row>
    <row r="182" spans="4:23" x14ac:dyDescent="0.2">
      <c r="D182" s="95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P182" s="53"/>
      <c r="Q182" s="53"/>
      <c r="W182" s="40"/>
    </row>
    <row r="183" spans="4:23" x14ac:dyDescent="0.2">
      <c r="D183" s="95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P183" s="53"/>
      <c r="Q183" s="53"/>
      <c r="W183" s="40"/>
    </row>
    <row r="184" spans="4:23" x14ac:dyDescent="0.2">
      <c r="D184" s="95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P184" s="53"/>
      <c r="Q184" s="53"/>
      <c r="W184" s="40"/>
    </row>
    <row r="185" spans="4:23" x14ac:dyDescent="0.2">
      <c r="D185" s="95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P185" s="53"/>
      <c r="Q185" s="53"/>
      <c r="W185" s="40"/>
    </row>
    <row r="186" spans="4:23" x14ac:dyDescent="0.2">
      <c r="D186" s="95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P186" s="53"/>
      <c r="Q186" s="53"/>
      <c r="W186" s="40"/>
    </row>
    <row r="187" spans="4:23" x14ac:dyDescent="0.2">
      <c r="D187" s="95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P187" s="53"/>
      <c r="Q187" s="53"/>
      <c r="W187" s="40"/>
    </row>
    <row r="188" spans="4:23" x14ac:dyDescent="0.2">
      <c r="D188" s="95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P188" s="53"/>
      <c r="Q188" s="53"/>
      <c r="W188" s="40"/>
    </row>
    <row r="189" spans="4:23" x14ac:dyDescent="0.2">
      <c r="D189" s="95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P189" s="53"/>
      <c r="Q189" s="53"/>
      <c r="W189" s="40"/>
    </row>
    <row r="190" spans="4:23" x14ac:dyDescent="0.2">
      <c r="D190" s="95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P190" s="53"/>
      <c r="Q190" s="53"/>
      <c r="W190" s="40"/>
    </row>
    <row r="191" spans="4:23" x14ac:dyDescent="0.2">
      <c r="D191" s="95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P191" s="53"/>
      <c r="Q191" s="53"/>
      <c r="W191" s="40"/>
    </row>
    <row r="192" spans="4:23" x14ac:dyDescent="0.2">
      <c r="D192" s="95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P192" s="53"/>
      <c r="Q192" s="53"/>
      <c r="W192" s="40"/>
    </row>
    <row r="193" spans="4:23" x14ac:dyDescent="0.2">
      <c r="D193" s="95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P193" s="53"/>
      <c r="Q193" s="53"/>
      <c r="W193" s="40"/>
    </row>
    <row r="194" spans="4:23" x14ac:dyDescent="0.2">
      <c r="D194" s="95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P194" s="53"/>
      <c r="Q194" s="53"/>
      <c r="W194" s="40"/>
    </row>
    <row r="195" spans="4:23" x14ac:dyDescent="0.2">
      <c r="D195" s="95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P195" s="53"/>
      <c r="Q195" s="53"/>
      <c r="W195" s="40"/>
    </row>
    <row r="196" spans="4:23" x14ac:dyDescent="0.2">
      <c r="D196" s="95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P196" s="53"/>
      <c r="Q196" s="53"/>
      <c r="W196" s="40"/>
    </row>
    <row r="197" spans="4:23" x14ac:dyDescent="0.2">
      <c r="D197" s="95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P197" s="53"/>
      <c r="Q197" s="53"/>
      <c r="W197" s="40"/>
    </row>
    <row r="198" spans="4:23" x14ac:dyDescent="0.2">
      <c r="D198" s="95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P198" s="53"/>
      <c r="Q198" s="53"/>
      <c r="W198" s="40"/>
    </row>
    <row r="199" spans="4:23" x14ac:dyDescent="0.2"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P199" s="53"/>
      <c r="Q199" s="53"/>
      <c r="W199" s="40"/>
    </row>
    <row r="200" spans="4:23" x14ac:dyDescent="0.2"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P200" s="53"/>
      <c r="Q200" s="53"/>
      <c r="W200" s="40"/>
    </row>
    <row r="201" spans="4:23" x14ac:dyDescent="0.2"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P201" s="53"/>
      <c r="Q201" s="53"/>
      <c r="W201" s="40"/>
    </row>
    <row r="202" spans="4:23" x14ac:dyDescent="0.2"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P202" s="53"/>
      <c r="Q202" s="53"/>
      <c r="W202" s="40"/>
    </row>
    <row r="203" spans="4:23" x14ac:dyDescent="0.2"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P203" s="53"/>
      <c r="Q203" s="53"/>
      <c r="W203" s="40"/>
    </row>
    <row r="204" spans="4:23" x14ac:dyDescent="0.2"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P204" s="53"/>
      <c r="Q204" s="53"/>
      <c r="W204" s="40"/>
    </row>
    <row r="205" spans="4:23" x14ac:dyDescent="0.2"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P205" s="53"/>
      <c r="Q205" s="53"/>
      <c r="W205" s="40"/>
    </row>
    <row r="206" spans="4:23" x14ac:dyDescent="0.2"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P206" s="53"/>
      <c r="Q206" s="53"/>
      <c r="W206" s="40"/>
    </row>
    <row r="207" spans="4:23" x14ac:dyDescent="0.2"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P207" s="53"/>
      <c r="Q207" s="53"/>
      <c r="W207" s="40"/>
    </row>
    <row r="208" spans="4:23" x14ac:dyDescent="0.2"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P208" s="53"/>
      <c r="Q208" s="53"/>
      <c r="W208" s="40"/>
    </row>
    <row r="209" spans="4:23" x14ac:dyDescent="0.2"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P209" s="53"/>
      <c r="Q209" s="53"/>
      <c r="W209" s="40"/>
    </row>
    <row r="210" spans="4:23" x14ac:dyDescent="0.2"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P210" s="53"/>
      <c r="Q210" s="53"/>
      <c r="W210" s="40"/>
    </row>
    <row r="211" spans="4:23" x14ac:dyDescent="0.2"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P211" s="53"/>
      <c r="Q211" s="53"/>
      <c r="W211" s="40"/>
    </row>
    <row r="212" spans="4:23" x14ac:dyDescent="0.2"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P212" s="53"/>
      <c r="Q212" s="53"/>
      <c r="W212" s="40"/>
    </row>
    <row r="213" spans="4:23" x14ac:dyDescent="0.2"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P213" s="53"/>
      <c r="Q213" s="53"/>
      <c r="W213" s="40"/>
    </row>
    <row r="214" spans="4:23" x14ac:dyDescent="0.2"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P214" s="53"/>
      <c r="Q214" s="53"/>
      <c r="W214" s="40"/>
    </row>
    <row r="215" spans="4:23" x14ac:dyDescent="0.2"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P215" s="53"/>
      <c r="Q215" s="53"/>
      <c r="W215" s="40"/>
    </row>
    <row r="216" spans="4:23" x14ac:dyDescent="0.2"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P216" s="53"/>
      <c r="Q216" s="53"/>
      <c r="W216" s="40"/>
    </row>
    <row r="217" spans="4:23" x14ac:dyDescent="0.2"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P217" s="53"/>
      <c r="Q217" s="53"/>
      <c r="W217" s="40"/>
    </row>
    <row r="218" spans="4:23" x14ac:dyDescent="0.2"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P218" s="53"/>
      <c r="Q218" s="53"/>
      <c r="W218" s="40"/>
    </row>
    <row r="219" spans="4:23" x14ac:dyDescent="0.2"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P219" s="53"/>
      <c r="Q219" s="53"/>
      <c r="W219" s="40"/>
    </row>
    <row r="220" spans="4:23" x14ac:dyDescent="0.2"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P220" s="53"/>
      <c r="Q220" s="53"/>
      <c r="W220" s="40"/>
    </row>
    <row r="221" spans="4:23" x14ac:dyDescent="0.2"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P221" s="53"/>
      <c r="Q221" s="53"/>
      <c r="W221" s="40"/>
    </row>
    <row r="222" spans="4:23" x14ac:dyDescent="0.2"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P222" s="53"/>
      <c r="Q222" s="53"/>
      <c r="W222" s="40"/>
    </row>
    <row r="223" spans="4:23" x14ac:dyDescent="0.2"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P223" s="53"/>
      <c r="Q223" s="53"/>
      <c r="W223" s="40"/>
    </row>
    <row r="224" spans="4:23" x14ac:dyDescent="0.2"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P224" s="53"/>
      <c r="Q224" s="53"/>
      <c r="W224" s="40"/>
    </row>
    <row r="225" spans="4:23" x14ac:dyDescent="0.2"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P225" s="53"/>
      <c r="Q225" s="53"/>
      <c r="W225" s="40"/>
    </row>
    <row r="226" spans="4:23" x14ac:dyDescent="0.2"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P226" s="53"/>
      <c r="Q226" s="53"/>
      <c r="W226" s="40"/>
    </row>
    <row r="227" spans="4:23" x14ac:dyDescent="0.2"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P227" s="53"/>
      <c r="Q227" s="53"/>
      <c r="W227" s="40"/>
    </row>
    <row r="228" spans="4:23" x14ac:dyDescent="0.2"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P228" s="53"/>
      <c r="Q228" s="53"/>
      <c r="W228" s="40"/>
    </row>
    <row r="229" spans="4:23" x14ac:dyDescent="0.2"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P229" s="53"/>
      <c r="Q229" s="53"/>
      <c r="W229" s="40"/>
    </row>
    <row r="230" spans="4:23" x14ac:dyDescent="0.2"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P230" s="53"/>
      <c r="Q230" s="53"/>
      <c r="W230" s="40"/>
    </row>
    <row r="231" spans="4:23" x14ac:dyDescent="0.2"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P231" s="53"/>
      <c r="Q231" s="53"/>
      <c r="W231" s="40"/>
    </row>
    <row r="232" spans="4:23" x14ac:dyDescent="0.2"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P232" s="53"/>
      <c r="Q232" s="53"/>
      <c r="W232" s="40"/>
    </row>
    <row r="233" spans="4:23" x14ac:dyDescent="0.2"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P233" s="53"/>
      <c r="Q233" s="53"/>
      <c r="W233" s="40"/>
    </row>
    <row r="234" spans="4:23" x14ac:dyDescent="0.2"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P234" s="53"/>
      <c r="Q234" s="53"/>
      <c r="W234" s="40"/>
    </row>
    <row r="235" spans="4:23" x14ac:dyDescent="0.2"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P235" s="53"/>
      <c r="Q235" s="53"/>
      <c r="W235" s="40"/>
    </row>
    <row r="236" spans="4:23" x14ac:dyDescent="0.2"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P236" s="53"/>
      <c r="Q236" s="53"/>
      <c r="W236" s="40"/>
    </row>
    <row r="237" spans="4:23" x14ac:dyDescent="0.2"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P237" s="53"/>
      <c r="Q237" s="53"/>
      <c r="W237" s="40"/>
    </row>
    <row r="238" spans="4:23" x14ac:dyDescent="0.2"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P238" s="53"/>
      <c r="Q238" s="53"/>
      <c r="W238" s="40"/>
    </row>
    <row r="239" spans="4:23" x14ac:dyDescent="0.2"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P239" s="53"/>
      <c r="Q239" s="53"/>
      <c r="W239" s="40"/>
    </row>
    <row r="240" spans="4:23" x14ac:dyDescent="0.2"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P240" s="53"/>
      <c r="Q240" s="53"/>
      <c r="W240" s="40"/>
    </row>
    <row r="241" spans="4:23" x14ac:dyDescent="0.2"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P241" s="53"/>
      <c r="Q241" s="53"/>
      <c r="W241" s="40"/>
    </row>
    <row r="242" spans="4:23" x14ac:dyDescent="0.2"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P242" s="53"/>
      <c r="Q242" s="53"/>
      <c r="W242" s="40"/>
    </row>
    <row r="243" spans="4:23" x14ac:dyDescent="0.2"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P243" s="53"/>
      <c r="Q243" s="53"/>
      <c r="W243" s="40"/>
    </row>
    <row r="244" spans="4:23" x14ac:dyDescent="0.2"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P244" s="53"/>
      <c r="Q244" s="53"/>
      <c r="W244" s="40"/>
    </row>
    <row r="245" spans="4:23" x14ac:dyDescent="0.2"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P245" s="53"/>
      <c r="Q245" s="53"/>
      <c r="W245" s="40"/>
    </row>
    <row r="246" spans="4:23" x14ac:dyDescent="0.2"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P246" s="53"/>
      <c r="Q246" s="53"/>
      <c r="W246" s="40"/>
    </row>
    <row r="247" spans="4:23" x14ac:dyDescent="0.2"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P247" s="53"/>
      <c r="Q247" s="53"/>
      <c r="W247" s="40"/>
    </row>
    <row r="248" spans="4:23" x14ac:dyDescent="0.2"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P248" s="53"/>
      <c r="Q248" s="53"/>
      <c r="W248" s="40"/>
    </row>
    <row r="249" spans="4:23" x14ac:dyDescent="0.2"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P249" s="53"/>
      <c r="Q249" s="53"/>
      <c r="W249" s="40"/>
    </row>
    <row r="250" spans="4:23" x14ac:dyDescent="0.2"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P250" s="53"/>
      <c r="Q250" s="53"/>
      <c r="W250" s="40"/>
    </row>
    <row r="251" spans="4:23" x14ac:dyDescent="0.2"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P251" s="53"/>
      <c r="Q251" s="53"/>
      <c r="W251" s="40"/>
    </row>
    <row r="252" spans="4:23" x14ac:dyDescent="0.2"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P252" s="53"/>
      <c r="Q252" s="53"/>
      <c r="W252" s="40"/>
    </row>
    <row r="253" spans="4:23" x14ac:dyDescent="0.2"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P253" s="53"/>
      <c r="Q253" s="53"/>
      <c r="W253" s="40"/>
    </row>
    <row r="254" spans="4:23" x14ac:dyDescent="0.2"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P254" s="53"/>
      <c r="Q254" s="53"/>
      <c r="W254" s="40"/>
    </row>
    <row r="255" spans="4:23" x14ac:dyDescent="0.2"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P255" s="53"/>
      <c r="Q255" s="53"/>
      <c r="W255" s="40"/>
    </row>
    <row r="256" spans="4:23" x14ac:dyDescent="0.2"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P256" s="53"/>
      <c r="Q256" s="53"/>
      <c r="W256" s="40"/>
    </row>
    <row r="257" spans="4:23" x14ac:dyDescent="0.2"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P257" s="53"/>
      <c r="Q257" s="53"/>
      <c r="W257" s="40"/>
    </row>
    <row r="258" spans="4:23" x14ac:dyDescent="0.2"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P258" s="53"/>
      <c r="Q258" s="53"/>
      <c r="W258" s="40"/>
    </row>
    <row r="259" spans="4:23" x14ac:dyDescent="0.2"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P259" s="53"/>
      <c r="Q259" s="53"/>
      <c r="W259" s="40"/>
    </row>
    <row r="260" spans="4:23" x14ac:dyDescent="0.2"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P260" s="53"/>
      <c r="Q260" s="53"/>
      <c r="W260" s="40"/>
    </row>
    <row r="261" spans="4:23" x14ac:dyDescent="0.2"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P261" s="53"/>
      <c r="Q261" s="53"/>
      <c r="W261" s="40"/>
    </row>
    <row r="262" spans="4:23" x14ac:dyDescent="0.2"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P262" s="53"/>
      <c r="Q262" s="53"/>
      <c r="W262" s="40"/>
    </row>
    <row r="263" spans="4:23" x14ac:dyDescent="0.2"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P263" s="53"/>
      <c r="Q263" s="53"/>
      <c r="W263" s="40"/>
    </row>
    <row r="264" spans="4:23" x14ac:dyDescent="0.2"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P264" s="53"/>
      <c r="Q264" s="53"/>
      <c r="W264" s="40"/>
    </row>
    <row r="265" spans="4:23" x14ac:dyDescent="0.2"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P265" s="53"/>
      <c r="Q265" s="53"/>
      <c r="W265" s="40"/>
    </row>
    <row r="266" spans="4:23" x14ac:dyDescent="0.2"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P266" s="53"/>
      <c r="Q266" s="53"/>
      <c r="W266" s="40"/>
    </row>
    <row r="267" spans="4:23" x14ac:dyDescent="0.2"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P267" s="53"/>
      <c r="Q267" s="53"/>
      <c r="W267" s="40"/>
    </row>
    <row r="268" spans="4:23" x14ac:dyDescent="0.2"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P268" s="53"/>
      <c r="Q268" s="53"/>
      <c r="W268" s="40"/>
    </row>
    <row r="269" spans="4:23" x14ac:dyDescent="0.2"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P269" s="53"/>
      <c r="Q269" s="53"/>
      <c r="W269" s="40"/>
    </row>
    <row r="270" spans="4:23" x14ac:dyDescent="0.2"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P270" s="53"/>
      <c r="Q270" s="53"/>
      <c r="W270" s="40"/>
    </row>
    <row r="271" spans="4:23" x14ac:dyDescent="0.2"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P271" s="53"/>
      <c r="Q271" s="53"/>
      <c r="W271" s="40"/>
    </row>
    <row r="272" spans="4:23" x14ac:dyDescent="0.2"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P272" s="53"/>
      <c r="Q272" s="53"/>
      <c r="W272" s="40"/>
    </row>
    <row r="273" spans="4:23" x14ac:dyDescent="0.2"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P273" s="53"/>
      <c r="Q273" s="53"/>
      <c r="W273" s="40"/>
    </row>
    <row r="274" spans="4:23" x14ac:dyDescent="0.2"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P274" s="53"/>
      <c r="Q274" s="53"/>
      <c r="W274" s="40"/>
    </row>
    <row r="275" spans="4:23" x14ac:dyDescent="0.2"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P275" s="53"/>
      <c r="Q275" s="53"/>
      <c r="W275" s="40"/>
    </row>
    <row r="276" spans="4:23" x14ac:dyDescent="0.2"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P276" s="53"/>
      <c r="Q276" s="53"/>
      <c r="W276" s="40"/>
    </row>
    <row r="277" spans="4:23" x14ac:dyDescent="0.2"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P277" s="53"/>
      <c r="Q277" s="53"/>
      <c r="W277" s="40"/>
    </row>
    <row r="278" spans="4:23" x14ac:dyDescent="0.2"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P278" s="53"/>
      <c r="Q278" s="53"/>
      <c r="W278" s="40"/>
    </row>
    <row r="279" spans="4:23" x14ac:dyDescent="0.2"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P279" s="53"/>
      <c r="Q279" s="53"/>
      <c r="W279" s="40"/>
    </row>
    <row r="280" spans="4:23" x14ac:dyDescent="0.2"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P280" s="53"/>
      <c r="Q280" s="53"/>
      <c r="W280" s="40"/>
    </row>
    <row r="281" spans="4:23" x14ac:dyDescent="0.2"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P281" s="53"/>
      <c r="Q281" s="53"/>
      <c r="W281" s="40"/>
    </row>
    <row r="282" spans="4:23" x14ac:dyDescent="0.2"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P282" s="53"/>
      <c r="Q282" s="53"/>
      <c r="W282" s="40"/>
    </row>
    <row r="283" spans="4:23" x14ac:dyDescent="0.2"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P283" s="53"/>
      <c r="Q283" s="53"/>
      <c r="W283" s="40"/>
    </row>
    <row r="284" spans="4:23" x14ac:dyDescent="0.2"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P284" s="53"/>
      <c r="Q284" s="53"/>
      <c r="W284" s="40"/>
    </row>
    <row r="285" spans="4:23" x14ac:dyDescent="0.2"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P285" s="53"/>
      <c r="Q285" s="53"/>
      <c r="W285" s="40"/>
    </row>
    <row r="286" spans="4:23" x14ac:dyDescent="0.2"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P286" s="53"/>
      <c r="Q286" s="53"/>
      <c r="W286" s="40"/>
    </row>
    <row r="287" spans="4:23" x14ac:dyDescent="0.2"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P287" s="53"/>
      <c r="Q287" s="53"/>
      <c r="W287" s="40"/>
    </row>
    <row r="288" spans="4:23" x14ac:dyDescent="0.2"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P288" s="53"/>
      <c r="Q288" s="53"/>
      <c r="W288" s="40"/>
    </row>
    <row r="289" spans="4:23" x14ac:dyDescent="0.2"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P289" s="53"/>
      <c r="Q289" s="53"/>
      <c r="W289" s="40"/>
    </row>
    <row r="290" spans="4:23" x14ac:dyDescent="0.2"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P290" s="53"/>
      <c r="Q290" s="53"/>
      <c r="W290" s="40"/>
    </row>
    <row r="291" spans="4:23" x14ac:dyDescent="0.2"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P291" s="53"/>
      <c r="Q291" s="53"/>
      <c r="W291" s="40"/>
    </row>
    <row r="292" spans="4:23" x14ac:dyDescent="0.2"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P292" s="53"/>
      <c r="Q292" s="53"/>
      <c r="W292" s="40"/>
    </row>
    <row r="293" spans="4:23" x14ac:dyDescent="0.2"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P293" s="53"/>
      <c r="Q293" s="53"/>
      <c r="W293" s="40"/>
    </row>
    <row r="294" spans="4:23" x14ac:dyDescent="0.2"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P294" s="53"/>
      <c r="Q294" s="53"/>
      <c r="W294" s="40"/>
    </row>
    <row r="295" spans="4:23" x14ac:dyDescent="0.2"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P295" s="53"/>
      <c r="Q295" s="53"/>
      <c r="W295" s="40"/>
    </row>
    <row r="296" spans="4:23" x14ac:dyDescent="0.2"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P296" s="53"/>
      <c r="Q296" s="53"/>
      <c r="W296" s="40"/>
    </row>
    <row r="297" spans="4:23" x14ac:dyDescent="0.2"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P297" s="53"/>
      <c r="Q297" s="53"/>
      <c r="W297" s="40"/>
    </row>
    <row r="298" spans="4:23" x14ac:dyDescent="0.2"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P298" s="53"/>
      <c r="Q298" s="53"/>
      <c r="W298" s="40"/>
    </row>
    <row r="299" spans="4:23" x14ac:dyDescent="0.2"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P299" s="53"/>
      <c r="Q299" s="53"/>
      <c r="W299" s="40"/>
    </row>
    <row r="300" spans="4:23" x14ac:dyDescent="0.2"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P300" s="53"/>
      <c r="Q300" s="53"/>
      <c r="W300" s="40"/>
    </row>
    <row r="301" spans="4:23" x14ac:dyDescent="0.2"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P301" s="53"/>
      <c r="Q301" s="53"/>
      <c r="W301" s="40"/>
    </row>
    <row r="302" spans="4:23" x14ac:dyDescent="0.2"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P302" s="53"/>
      <c r="Q302" s="53"/>
      <c r="W302" s="40"/>
    </row>
    <row r="303" spans="4:23" x14ac:dyDescent="0.2"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P303" s="53"/>
      <c r="Q303" s="53"/>
      <c r="W303" s="40"/>
    </row>
    <row r="304" spans="4:23" x14ac:dyDescent="0.2"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P304" s="53"/>
      <c r="Q304" s="53"/>
      <c r="W304" s="40"/>
    </row>
    <row r="305" spans="4:23" x14ac:dyDescent="0.2"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P305" s="53"/>
      <c r="Q305" s="53"/>
      <c r="W305" s="40"/>
    </row>
    <row r="306" spans="4:23" x14ac:dyDescent="0.2"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P306" s="53"/>
      <c r="Q306" s="53"/>
      <c r="W306" s="40"/>
    </row>
    <row r="307" spans="4:23" x14ac:dyDescent="0.2"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P307" s="53"/>
      <c r="Q307" s="53"/>
      <c r="W307" s="40"/>
    </row>
    <row r="308" spans="4:23" x14ac:dyDescent="0.2"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P308" s="53"/>
      <c r="Q308" s="53"/>
      <c r="W308" s="40"/>
    </row>
    <row r="309" spans="4:23" x14ac:dyDescent="0.2"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P309" s="53"/>
      <c r="Q309" s="53"/>
      <c r="W309" s="40"/>
    </row>
    <row r="310" spans="4:23" x14ac:dyDescent="0.2"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P310" s="53"/>
      <c r="Q310" s="53"/>
      <c r="W310" s="40"/>
    </row>
    <row r="311" spans="4:23" x14ac:dyDescent="0.2"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P311" s="53"/>
      <c r="Q311" s="53"/>
      <c r="W311" s="40"/>
    </row>
    <row r="312" spans="4:23" x14ac:dyDescent="0.2"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P312" s="53"/>
      <c r="Q312" s="53"/>
      <c r="W312" s="40"/>
    </row>
    <row r="313" spans="4:23" x14ac:dyDescent="0.2"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P313" s="53"/>
      <c r="Q313" s="53"/>
      <c r="W313" s="40"/>
    </row>
    <row r="314" spans="4:23" x14ac:dyDescent="0.2"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P314" s="53"/>
      <c r="Q314" s="53"/>
      <c r="W314" s="40"/>
    </row>
    <row r="315" spans="4:23" x14ac:dyDescent="0.2"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P315" s="53"/>
      <c r="Q315" s="53"/>
      <c r="W315" s="40"/>
    </row>
    <row r="316" spans="4:23" x14ac:dyDescent="0.2"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P316" s="53"/>
      <c r="Q316" s="53"/>
      <c r="W316" s="40"/>
    </row>
    <row r="317" spans="4:23" x14ac:dyDescent="0.2"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P317" s="53"/>
      <c r="Q317" s="53"/>
      <c r="W317" s="40"/>
    </row>
    <row r="318" spans="4:23" x14ac:dyDescent="0.2"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P318" s="53"/>
      <c r="Q318" s="53"/>
      <c r="W318" s="40"/>
    </row>
    <row r="319" spans="4:23" x14ac:dyDescent="0.2"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P319" s="53"/>
      <c r="Q319" s="53"/>
      <c r="W319" s="40"/>
    </row>
    <row r="320" spans="4:23" x14ac:dyDescent="0.2"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P320" s="53"/>
      <c r="Q320" s="53"/>
      <c r="W320" s="40"/>
    </row>
    <row r="321" spans="4:23" x14ac:dyDescent="0.2"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P321" s="53"/>
      <c r="Q321" s="53"/>
      <c r="W321" s="40"/>
    </row>
    <row r="322" spans="4:23" x14ac:dyDescent="0.2"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P322" s="53"/>
      <c r="Q322" s="53"/>
      <c r="W322" s="40"/>
    </row>
    <row r="323" spans="4:23" x14ac:dyDescent="0.2"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P323" s="53"/>
      <c r="Q323" s="53"/>
      <c r="W323" s="40"/>
    </row>
    <row r="324" spans="4:23" x14ac:dyDescent="0.2"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P324" s="53"/>
      <c r="Q324" s="53"/>
      <c r="W324" s="40"/>
    </row>
    <row r="325" spans="4:23" x14ac:dyDescent="0.2"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P325" s="53"/>
      <c r="Q325" s="53"/>
      <c r="W325" s="40"/>
    </row>
    <row r="326" spans="4:23" x14ac:dyDescent="0.2"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P326" s="53"/>
      <c r="Q326" s="53"/>
      <c r="W326" s="40"/>
    </row>
    <row r="327" spans="4:23" x14ac:dyDescent="0.2"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P327" s="53"/>
      <c r="Q327" s="53"/>
      <c r="W327" s="40"/>
    </row>
    <row r="328" spans="4:23" x14ac:dyDescent="0.2"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P328" s="53"/>
      <c r="Q328" s="53"/>
      <c r="W328" s="40"/>
    </row>
    <row r="329" spans="4:23" x14ac:dyDescent="0.2"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P329" s="53"/>
      <c r="Q329" s="53"/>
      <c r="W329" s="40"/>
    </row>
    <row r="330" spans="4:23" x14ac:dyDescent="0.2"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P330" s="53"/>
      <c r="Q330" s="53"/>
      <c r="W330" s="40"/>
    </row>
    <row r="331" spans="4:23" x14ac:dyDescent="0.2"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P331" s="53"/>
      <c r="Q331" s="53"/>
      <c r="W331" s="40"/>
    </row>
    <row r="332" spans="4:23" x14ac:dyDescent="0.2"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P332" s="53"/>
      <c r="Q332" s="53"/>
      <c r="W332" s="40"/>
    </row>
    <row r="333" spans="4:23" x14ac:dyDescent="0.2"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P333" s="53"/>
      <c r="Q333" s="53"/>
      <c r="W333" s="40"/>
    </row>
    <row r="334" spans="4:23" x14ac:dyDescent="0.2"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P334" s="53"/>
      <c r="Q334" s="53"/>
      <c r="W334" s="40"/>
    </row>
    <row r="335" spans="4:23" x14ac:dyDescent="0.2"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P335" s="53"/>
      <c r="Q335" s="53"/>
      <c r="W335" s="40"/>
    </row>
    <row r="336" spans="4:23" x14ac:dyDescent="0.2"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P336" s="53"/>
      <c r="Q336" s="53"/>
      <c r="W336" s="40"/>
    </row>
    <row r="337" spans="4:23" x14ac:dyDescent="0.2"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P337" s="53"/>
      <c r="Q337" s="53"/>
      <c r="W337" s="40"/>
    </row>
    <row r="338" spans="4:23" x14ac:dyDescent="0.2"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P338" s="53"/>
      <c r="Q338" s="53"/>
      <c r="W338" s="40"/>
    </row>
    <row r="339" spans="4:23" x14ac:dyDescent="0.2"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P339" s="53"/>
      <c r="Q339" s="53"/>
      <c r="W339" s="40"/>
    </row>
    <row r="340" spans="4:23" x14ac:dyDescent="0.2"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P340" s="53"/>
      <c r="Q340" s="53"/>
      <c r="W340" s="40"/>
    </row>
    <row r="341" spans="4:23" x14ac:dyDescent="0.2"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P341" s="53"/>
      <c r="Q341" s="53"/>
      <c r="W341" s="40"/>
    </row>
    <row r="342" spans="4:23" x14ac:dyDescent="0.2"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P342" s="53"/>
      <c r="Q342" s="53"/>
      <c r="W342" s="40"/>
    </row>
    <row r="343" spans="4:23" x14ac:dyDescent="0.2"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P343" s="53"/>
      <c r="Q343" s="53"/>
      <c r="W343" s="40"/>
    </row>
    <row r="344" spans="4:23" x14ac:dyDescent="0.2"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P344" s="53"/>
      <c r="Q344" s="53"/>
      <c r="W344" s="40"/>
    </row>
    <row r="345" spans="4:23" x14ac:dyDescent="0.2"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P345" s="53"/>
      <c r="Q345" s="53"/>
      <c r="W345" s="40"/>
    </row>
    <row r="346" spans="4:23" x14ac:dyDescent="0.2"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P346" s="53"/>
      <c r="Q346" s="53"/>
      <c r="W346" s="40"/>
    </row>
    <row r="347" spans="4:23" x14ac:dyDescent="0.2"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P347" s="53"/>
      <c r="Q347" s="53"/>
      <c r="W347" s="40"/>
    </row>
    <row r="348" spans="4:23" x14ac:dyDescent="0.2"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P348" s="53"/>
      <c r="Q348" s="53"/>
      <c r="W348" s="40"/>
    </row>
    <row r="349" spans="4:23" x14ac:dyDescent="0.2"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P349" s="53"/>
      <c r="Q349" s="53"/>
      <c r="W349" s="40"/>
    </row>
    <row r="350" spans="4:23" x14ac:dyDescent="0.2"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P350" s="53"/>
      <c r="Q350" s="53"/>
      <c r="W350" s="40"/>
    </row>
    <row r="351" spans="4:23" x14ac:dyDescent="0.2"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P351" s="53"/>
      <c r="Q351" s="53"/>
      <c r="W351" s="40"/>
    </row>
    <row r="352" spans="4:23" x14ac:dyDescent="0.2"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P352" s="53"/>
      <c r="Q352" s="53"/>
      <c r="W352" s="40"/>
    </row>
    <row r="353" spans="4:23" x14ac:dyDescent="0.2"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P353" s="53"/>
      <c r="Q353" s="53"/>
      <c r="W353" s="40"/>
    </row>
    <row r="354" spans="4:23" x14ac:dyDescent="0.2">
      <c r="P354" s="53"/>
      <c r="Q354" s="53"/>
      <c r="W354" s="40"/>
    </row>
    <row r="355" spans="4:23" x14ac:dyDescent="0.2">
      <c r="P355" s="53"/>
      <c r="Q355" s="53"/>
      <c r="W355" s="40"/>
    </row>
    <row r="356" spans="4:23" x14ac:dyDescent="0.2">
      <c r="P356" s="53"/>
      <c r="Q356" s="53"/>
      <c r="W356" s="40"/>
    </row>
    <row r="357" spans="4:23" x14ac:dyDescent="0.2">
      <c r="P357" s="53"/>
      <c r="Q357" s="53"/>
      <c r="W357" s="40"/>
    </row>
    <row r="358" spans="4:23" x14ac:dyDescent="0.2">
      <c r="P358" s="53"/>
      <c r="Q358" s="53"/>
      <c r="W358" s="40"/>
    </row>
    <row r="359" spans="4:23" x14ac:dyDescent="0.2">
      <c r="P359" s="53"/>
      <c r="Q359" s="53"/>
      <c r="W359" s="40"/>
    </row>
    <row r="360" spans="4:23" x14ac:dyDescent="0.2">
      <c r="P360" s="53"/>
      <c r="Q360" s="53"/>
      <c r="W360" s="40"/>
    </row>
    <row r="361" spans="4:23" x14ac:dyDescent="0.2">
      <c r="P361" s="53"/>
      <c r="Q361" s="53"/>
      <c r="W361" s="40"/>
    </row>
    <row r="362" spans="4:23" x14ac:dyDescent="0.2">
      <c r="P362" s="53"/>
      <c r="Q362" s="53"/>
      <c r="W362" s="40"/>
    </row>
    <row r="363" spans="4:23" x14ac:dyDescent="0.2">
      <c r="P363" s="53"/>
      <c r="Q363" s="53"/>
      <c r="W363" s="40"/>
    </row>
    <row r="364" spans="4:23" x14ac:dyDescent="0.2">
      <c r="P364" s="53"/>
      <c r="Q364" s="53"/>
      <c r="W364" s="40"/>
    </row>
    <row r="365" spans="4:23" x14ac:dyDescent="0.2">
      <c r="P365" s="53"/>
      <c r="Q365" s="53"/>
      <c r="W365" s="40"/>
    </row>
    <row r="366" spans="4:23" x14ac:dyDescent="0.2">
      <c r="P366" s="53"/>
      <c r="Q366" s="53"/>
      <c r="W366" s="40"/>
    </row>
    <row r="367" spans="4:23" x14ac:dyDescent="0.2">
      <c r="P367" s="53"/>
      <c r="Q367" s="53"/>
      <c r="W367" s="40"/>
    </row>
    <row r="368" spans="4:23" x14ac:dyDescent="0.2">
      <c r="P368" s="53"/>
      <c r="Q368" s="53"/>
      <c r="W368" s="40"/>
    </row>
    <row r="369" spans="16:23" x14ac:dyDescent="0.2">
      <c r="P369" s="53"/>
      <c r="Q369" s="53"/>
      <c r="W369" s="40"/>
    </row>
    <row r="370" spans="16:23" x14ac:dyDescent="0.2">
      <c r="P370" s="53"/>
      <c r="Q370" s="53"/>
      <c r="W370" s="40"/>
    </row>
    <row r="371" spans="16:23" x14ac:dyDescent="0.2">
      <c r="P371" s="53"/>
      <c r="Q371" s="53"/>
      <c r="W371" s="40"/>
    </row>
    <row r="372" spans="16:23" x14ac:dyDescent="0.2">
      <c r="P372" s="53"/>
      <c r="Q372" s="53"/>
      <c r="W372" s="40"/>
    </row>
    <row r="373" spans="16:23" x14ac:dyDescent="0.2">
      <c r="P373" s="53"/>
      <c r="Q373" s="53"/>
      <c r="W373" s="40"/>
    </row>
    <row r="374" spans="16:23" x14ac:dyDescent="0.2">
      <c r="P374" s="53"/>
      <c r="Q374" s="53"/>
      <c r="W374" s="40"/>
    </row>
    <row r="375" spans="16:23" x14ac:dyDescent="0.2">
      <c r="P375" s="53"/>
      <c r="Q375" s="53"/>
      <c r="W375" s="40"/>
    </row>
    <row r="376" spans="16:23" x14ac:dyDescent="0.2">
      <c r="P376" s="53"/>
      <c r="Q376" s="53"/>
      <c r="W376" s="40"/>
    </row>
    <row r="377" spans="16:23" x14ac:dyDescent="0.2">
      <c r="P377" s="53"/>
      <c r="Q377" s="53"/>
      <c r="W377" s="40"/>
    </row>
    <row r="378" spans="16:23" x14ac:dyDescent="0.2">
      <c r="P378" s="53"/>
      <c r="Q378" s="53"/>
      <c r="W378" s="40"/>
    </row>
    <row r="379" spans="16:23" x14ac:dyDescent="0.2">
      <c r="P379" s="53"/>
      <c r="Q379" s="53"/>
      <c r="W379" s="40"/>
    </row>
    <row r="380" spans="16:23" x14ac:dyDescent="0.2">
      <c r="P380" s="53"/>
      <c r="Q380" s="53"/>
      <c r="W380" s="40"/>
    </row>
    <row r="381" spans="16:23" x14ac:dyDescent="0.2">
      <c r="P381" s="53"/>
      <c r="Q381" s="53"/>
      <c r="W381" s="40"/>
    </row>
    <row r="382" spans="16:23" x14ac:dyDescent="0.2">
      <c r="P382" s="53"/>
      <c r="Q382" s="53"/>
      <c r="W382" s="40"/>
    </row>
    <row r="383" spans="16:23" x14ac:dyDescent="0.2">
      <c r="P383" s="53"/>
      <c r="Q383" s="53"/>
      <c r="W383" s="40"/>
    </row>
    <row r="384" spans="16:23" x14ac:dyDescent="0.2">
      <c r="P384" s="53"/>
      <c r="Q384" s="53"/>
      <c r="W384" s="40"/>
    </row>
    <row r="385" spans="16:23" x14ac:dyDescent="0.2">
      <c r="P385" s="53"/>
      <c r="Q385" s="53"/>
      <c r="W385" s="40"/>
    </row>
    <row r="386" spans="16:23" x14ac:dyDescent="0.2">
      <c r="P386" s="53"/>
      <c r="Q386" s="53"/>
      <c r="W386" s="40"/>
    </row>
    <row r="387" spans="16:23" x14ac:dyDescent="0.2">
      <c r="P387" s="53"/>
      <c r="Q387" s="53"/>
      <c r="W387" s="40"/>
    </row>
    <row r="388" spans="16:23" x14ac:dyDescent="0.2">
      <c r="P388" s="53"/>
      <c r="Q388" s="53"/>
      <c r="W388" s="40"/>
    </row>
    <row r="389" spans="16:23" x14ac:dyDescent="0.2">
      <c r="P389" s="53"/>
      <c r="Q389" s="53"/>
      <c r="W389" s="40"/>
    </row>
    <row r="390" spans="16:23" x14ac:dyDescent="0.2">
      <c r="P390" s="53"/>
      <c r="Q390" s="53"/>
      <c r="W390" s="40"/>
    </row>
    <row r="391" spans="16:23" x14ac:dyDescent="0.2">
      <c r="P391" s="53"/>
      <c r="Q391" s="53"/>
      <c r="W391" s="40"/>
    </row>
    <row r="392" spans="16:23" x14ac:dyDescent="0.2">
      <c r="P392" s="53"/>
      <c r="Q392" s="53"/>
      <c r="W392" s="40"/>
    </row>
    <row r="393" spans="16:23" x14ac:dyDescent="0.2">
      <c r="P393" s="53"/>
      <c r="Q393" s="53"/>
      <c r="W393" s="40"/>
    </row>
    <row r="394" spans="16:23" x14ac:dyDescent="0.2">
      <c r="P394" s="53"/>
      <c r="Q394" s="53"/>
      <c r="W394" s="40"/>
    </row>
    <row r="395" spans="16:23" x14ac:dyDescent="0.2">
      <c r="P395" s="53"/>
      <c r="Q395" s="53"/>
      <c r="W395" s="40"/>
    </row>
    <row r="396" spans="16:23" x14ac:dyDescent="0.2">
      <c r="P396" s="53"/>
      <c r="Q396" s="53"/>
      <c r="W396" s="40"/>
    </row>
    <row r="397" spans="16:23" x14ac:dyDescent="0.2">
      <c r="P397" s="53"/>
      <c r="Q397" s="53"/>
      <c r="W397" s="40"/>
    </row>
    <row r="398" spans="16:23" x14ac:dyDescent="0.2">
      <c r="P398" s="53"/>
      <c r="Q398" s="53"/>
      <c r="W398" s="40"/>
    </row>
    <row r="399" spans="16:23" x14ac:dyDescent="0.2">
      <c r="P399" s="53"/>
      <c r="Q399" s="53"/>
      <c r="W399" s="40"/>
    </row>
    <row r="400" spans="16:23" x14ac:dyDescent="0.2">
      <c r="P400" s="53"/>
      <c r="Q400" s="53"/>
      <c r="W400" s="40"/>
    </row>
    <row r="401" spans="16:23" x14ac:dyDescent="0.2">
      <c r="P401" s="53"/>
      <c r="Q401" s="53"/>
      <c r="W401" s="40"/>
    </row>
    <row r="402" spans="16:23" x14ac:dyDescent="0.2">
      <c r="P402" s="53"/>
      <c r="Q402" s="53"/>
      <c r="W402" s="40"/>
    </row>
    <row r="403" spans="16:23" x14ac:dyDescent="0.2">
      <c r="P403" s="53"/>
      <c r="Q403" s="53"/>
      <c r="W403" s="40"/>
    </row>
    <row r="404" spans="16:23" x14ac:dyDescent="0.2">
      <c r="P404" s="53"/>
      <c r="Q404" s="53"/>
      <c r="W404" s="40"/>
    </row>
    <row r="405" spans="16:23" x14ac:dyDescent="0.2">
      <c r="P405" s="53"/>
      <c r="Q405" s="53"/>
      <c r="W405" s="40"/>
    </row>
    <row r="406" spans="16:23" x14ac:dyDescent="0.2">
      <c r="P406" s="53"/>
      <c r="Q406" s="53"/>
      <c r="W406" s="40"/>
    </row>
    <row r="407" spans="16:23" x14ac:dyDescent="0.2">
      <c r="P407" s="53"/>
      <c r="Q407" s="53"/>
      <c r="W407" s="40"/>
    </row>
    <row r="408" spans="16:23" x14ac:dyDescent="0.2">
      <c r="P408" s="53"/>
      <c r="Q408" s="53"/>
      <c r="W408" s="40"/>
    </row>
    <row r="409" spans="16:23" x14ac:dyDescent="0.2">
      <c r="P409" s="53"/>
      <c r="Q409" s="53"/>
      <c r="W409" s="40"/>
    </row>
    <row r="410" spans="16:23" x14ac:dyDescent="0.2">
      <c r="P410" s="53"/>
      <c r="Q410" s="53"/>
      <c r="W410" s="40"/>
    </row>
    <row r="411" spans="16:23" x14ac:dyDescent="0.2">
      <c r="P411" s="53"/>
      <c r="Q411" s="53"/>
      <c r="W411" s="40"/>
    </row>
    <row r="412" spans="16:23" x14ac:dyDescent="0.2">
      <c r="P412" s="53"/>
      <c r="Q412" s="53"/>
      <c r="W412" s="40"/>
    </row>
    <row r="413" spans="16:23" x14ac:dyDescent="0.2">
      <c r="P413" s="53"/>
      <c r="Q413" s="53"/>
      <c r="W413" s="40"/>
    </row>
    <row r="414" spans="16:23" x14ac:dyDescent="0.2">
      <c r="P414" s="53"/>
      <c r="Q414" s="53"/>
      <c r="W414" s="40"/>
    </row>
    <row r="415" spans="16:23" x14ac:dyDescent="0.2">
      <c r="P415" s="53"/>
      <c r="Q415" s="53"/>
      <c r="W415" s="40"/>
    </row>
    <row r="416" spans="16:23" x14ac:dyDescent="0.2">
      <c r="P416" s="53"/>
      <c r="Q416" s="53"/>
      <c r="W416" s="40"/>
    </row>
    <row r="417" spans="16:23" x14ac:dyDescent="0.2">
      <c r="P417" s="53"/>
      <c r="Q417" s="53"/>
      <c r="W417" s="40"/>
    </row>
    <row r="418" spans="16:23" x14ac:dyDescent="0.2">
      <c r="P418" s="53"/>
      <c r="Q418" s="53"/>
      <c r="W418" s="40"/>
    </row>
    <row r="419" spans="16:23" x14ac:dyDescent="0.2">
      <c r="P419" s="53"/>
      <c r="Q419" s="53"/>
      <c r="W419" s="40"/>
    </row>
    <row r="420" spans="16:23" x14ac:dyDescent="0.2">
      <c r="P420" s="53"/>
      <c r="Q420" s="53"/>
      <c r="W420" s="40"/>
    </row>
    <row r="421" spans="16:23" x14ac:dyDescent="0.2">
      <c r="P421" s="53"/>
      <c r="Q421" s="53"/>
      <c r="W421" s="40"/>
    </row>
    <row r="422" spans="16:23" x14ac:dyDescent="0.2">
      <c r="P422" s="53"/>
      <c r="Q422" s="53"/>
      <c r="W422" s="40"/>
    </row>
    <row r="423" spans="16:23" x14ac:dyDescent="0.2">
      <c r="P423" s="53"/>
      <c r="Q423" s="53"/>
      <c r="W423" s="40"/>
    </row>
    <row r="424" spans="16:23" x14ac:dyDescent="0.2">
      <c r="P424" s="53"/>
      <c r="Q424" s="53"/>
      <c r="W424" s="40"/>
    </row>
    <row r="425" spans="16:23" x14ac:dyDescent="0.2">
      <c r="P425" s="53"/>
      <c r="Q425" s="53"/>
      <c r="W425" s="40"/>
    </row>
    <row r="426" spans="16:23" x14ac:dyDescent="0.2">
      <c r="P426" s="53"/>
      <c r="Q426" s="53"/>
      <c r="W426" s="40"/>
    </row>
    <row r="427" spans="16:23" x14ac:dyDescent="0.2">
      <c r="P427" s="53"/>
      <c r="Q427" s="53"/>
      <c r="W427" s="40"/>
    </row>
    <row r="428" spans="16:23" x14ac:dyDescent="0.2">
      <c r="P428" s="53"/>
      <c r="Q428" s="53"/>
      <c r="W428" s="40"/>
    </row>
    <row r="429" spans="16:23" x14ac:dyDescent="0.2">
      <c r="P429" s="53"/>
      <c r="Q429" s="53"/>
      <c r="W429" s="40"/>
    </row>
    <row r="430" spans="16:23" x14ac:dyDescent="0.2">
      <c r="P430" s="53"/>
      <c r="Q430" s="53"/>
      <c r="W430" s="40"/>
    </row>
    <row r="431" spans="16:23" x14ac:dyDescent="0.2">
      <c r="P431" s="53"/>
      <c r="Q431" s="53"/>
      <c r="W431" s="40"/>
    </row>
    <row r="432" spans="16:23" x14ac:dyDescent="0.2">
      <c r="P432" s="53"/>
      <c r="Q432" s="53"/>
      <c r="W432" s="40"/>
    </row>
    <row r="433" spans="16:23" x14ac:dyDescent="0.2">
      <c r="P433" s="53"/>
      <c r="Q433" s="53"/>
      <c r="W433" s="40"/>
    </row>
    <row r="434" spans="16:23" x14ac:dyDescent="0.2">
      <c r="P434" s="53"/>
      <c r="Q434" s="53"/>
      <c r="W434" s="40"/>
    </row>
    <row r="435" spans="16:23" x14ac:dyDescent="0.2">
      <c r="P435" s="53"/>
      <c r="Q435" s="53"/>
      <c r="W435" s="40"/>
    </row>
    <row r="436" spans="16:23" x14ac:dyDescent="0.2">
      <c r="P436" s="53"/>
      <c r="Q436" s="53"/>
      <c r="W436" s="40"/>
    </row>
    <row r="437" spans="16:23" x14ac:dyDescent="0.2">
      <c r="P437" s="53"/>
      <c r="Q437" s="53"/>
      <c r="W437" s="40"/>
    </row>
    <row r="438" spans="16:23" x14ac:dyDescent="0.2">
      <c r="P438" s="53"/>
      <c r="Q438" s="53"/>
      <c r="W438" s="40"/>
    </row>
    <row r="439" spans="16:23" x14ac:dyDescent="0.2">
      <c r="P439" s="53"/>
      <c r="Q439" s="53"/>
      <c r="W439" s="40"/>
    </row>
    <row r="440" spans="16:23" x14ac:dyDescent="0.2">
      <c r="P440" s="53"/>
      <c r="Q440" s="53"/>
      <c r="W440" s="40"/>
    </row>
    <row r="441" spans="16:23" x14ac:dyDescent="0.2">
      <c r="P441" s="53"/>
      <c r="Q441" s="53"/>
      <c r="W441" s="40"/>
    </row>
    <row r="442" spans="16:23" x14ac:dyDescent="0.2">
      <c r="P442" s="53"/>
      <c r="Q442" s="53"/>
      <c r="W442" s="40"/>
    </row>
    <row r="443" spans="16:23" x14ac:dyDescent="0.2">
      <c r="P443" s="53"/>
      <c r="Q443" s="53"/>
      <c r="W443" s="40"/>
    </row>
    <row r="444" spans="16:23" x14ac:dyDescent="0.2">
      <c r="P444" s="53"/>
      <c r="Q444" s="53"/>
      <c r="W444" s="40"/>
    </row>
    <row r="445" spans="16:23" x14ac:dyDescent="0.2">
      <c r="P445" s="53"/>
      <c r="Q445" s="53"/>
      <c r="W445" s="40"/>
    </row>
    <row r="446" spans="16:23" x14ac:dyDescent="0.2">
      <c r="P446" s="53"/>
      <c r="Q446" s="53"/>
      <c r="W446" s="40"/>
    </row>
    <row r="447" spans="16:23" x14ac:dyDescent="0.2">
      <c r="P447" s="53"/>
      <c r="Q447" s="53"/>
      <c r="W447" s="40"/>
    </row>
    <row r="448" spans="16:23" x14ac:dyDescent="0.2">
      <c r="P448" s="53"/>
      <c r="Q448" s="53"/>
      <c r="W448" s="40"/>
    </row>
    <row r="449" spans="16:23" x14ac:dyDescent="0.2">
      <c r="P449" s="53"/>
      <c r="Q449" s="53"/>
      <c r="W449" s="40"/>
    </row>
    <row r="450" spans="16:23" x14ac:dyDescent="0.2">
      <c r="P450" s="53"/>
      <c r="Q450" s="53"/>
      <c r="W450" s="40"/>
    </row>
    <row r="451" spans="16:23" x14ac:dyDescent="0.2">
      <c r="P451" s="53"/>
      <c r="Q451" s="53"/>
      <c r="W451" s="40"/>
    </row>
    <row r="452" spans="16:23" x14ac:dyDescent="0.2">
      <c r="P452" s="53"/>
      <c r="Q452" s="53"/>
      <c r="W452" s="40"/>
    </row>
    <row r="453" spans="16:23" x14ac:dyDescent="0.2">
      <c r="P453" s="53"/>
      <c r="Q453" s="53"/>
      <c r="W453" s="40"/>
    </row>
    <row r="454" spans="16:23" x14ac:dyDescent="0.2">
      <c r="P454" s="53"/>
      <c r="Q454" s="53"/>
      <c r="W454" s="40"/>
    </row>
    <row r="455" spans="16:23" x14ac:dyDescent="0.2">
      <c r="P455" s="53"/>
      <c r="Q455" s="53"/>
      <c r="W455" s="40"/>
    </row>
    <row r="456" spans="16:23" x14ac:dyDescent="0.2">
      <c r="P456" s="53"/>
      <c r="Q456" s="53"/>
      <c r="W456" s="40"/>
    </row>
    <row r="457" spans="16:23" x14ac:dyDescent="0.2">
      <c r="P457" s="53"/>
      <c r="Q457" s="53"/>
      <c r="W457" s="40"/>
    </row>
    <row r="458" spans="16:23" x14ac:dyDescent="0.2">
      <c r="P458" s="53"/>
      <c r="Q458" s="53"/>
      <c r="W458" s="40"/>
    </row>
    <row r="459" spans="16:23" x14ac:dyDescent="0.2">
      <c r="P459" s="53"/>
      <c r="Q459" s="53"/>
      <c r="W459" s="40"/>
    </row>
    <row r="460" spans="16:23" x14ac:dyDescent="0.2">
      <c r="P460" s="53"/>
      <c r="Q460" s="53"/>
      <c r="W460" s="40"/>
    </row>
    <row r="461" spans="16:23" x14ac:dyDescent="0.2">
      <c r="P461" s="53"/>
      <c r="Q461" s="53"/>
      <c r="W461" s="40"/>
    </row>
    <row r="462" spans="16:23" x14ac:dyDescent="0.2">
      <c r="P462" s="53"/>
      <c r="Q462" s="53"/>
      <c r="W462" s="40"/>
    </row>
    <row r="463" spans="16:23" x14ac:dyDescent="0.2">
      <c r="P463" s="53"/>
      <c r="Q463" s="53"/>
      <c r="W463" s="40"/>
    </row>
    <row r="464" spans="16:23" x14ac:dyDescent="0.2">
      <c r="P464" s="53"/>
      <c r="Q464" s="53"/>
      <c r="W464" s="40"/>
    </row>
    <row r="465" spans="16:23" x14ac:dyDescent="0.2">
      <c r="P465" s="53"/>
      <c r="Q465" s="53"/>
      <c r="W465" s="40"/>
    </row>
    <row r="466" spans="16:23" x14ac:dyDescent="0.2">
      <c r="P466" s="53"/>
      <c r="Q466" s="53"/>
      <c r="W466" s="40"/>
    </row>
    <row r="467" spans="16:23" x14ac:dyDescent="0.2">
      <c r="P467" s="53"/>
      <c r="Q467" s="53"/>
      <c r="W467" s="40"/>
    </row>
    <row r="468" spans="16:23" x14ac:dyDescent="0.2">
      <c r="P468" s="53"/>
      <c r="Q468" s="53"/>
      <c r="W468" s="40"/>
    </row>
    <row r="469" spans="16:23" x14ac:dyDescent="0.2">
      <c r="P469" s="53"/>
      <c r="Q469" s="53"/>
      <c r="W469" s="40"/>
    </row>
    <row r="470" spans="16:23" x14ac:dyDescent="0.2">
      <c r="P470" s="53"/>
      <c r="Q470" s="53"/>
      <c r="W470" s="40"/>
    </row>
    <row r="471" spans="16:23" x14ac:dyDescent="0.2">
      <c r="P471" s="53"/>
      <c r="Q471" s="53"/>
      <c r="W471" s="40"/>
    </row>
    <row r="472" spans="16:23" x14ac:dyDescent="0.2">
      <c r="P472" s="53"/>
      <c r="Q472" s="53"/>
      <c r="W472" s="40"/>
    </row>
    <row r="473" spans="16:23" x14ac:dyDescent="0.2">
      <c r="P473" s="53"/>
      <c r="Q473" s="53"/>
      <c r="W473" s="40"/>
    </row>
    <row r="474" spans="16:23" x14ac:dyDescent="0.2">
      <c r="P474" s="53"/>
      <c r="Q474" s="53"/>
      <c r="W474" s="40"/>
    </row>
    <row r="475" spans="16:23" x14ac:dyDescent="0.2">
      <c r="P475" s="53"/>
      <c r="Q475" s="53"/>
      <c r="W475" s="40"/>
    </row>
    <row r="476" spans="16:23" x14ac:dyDescent="0.2">
      <c r="P476" s="53"/>
      <c r="Q476" s="53"/>
      <c r="W476" s="40"/>
    </row>
    <row r="477" spans="16:23" x14ac:dyDescent="0.2">
      <c r="P477" s="53"/>
      <c r="Q477" s="53"/>
      <c r="W477" s="40"/>
    </row>
    <row r="478" spans="16:23" x14ac:dyDescent="0.2">
      <c r="P478" s="53"/>
      <c r="Q478" s="53"/>
      <c r="W478" s="40"/>
    </row>
    <row r="479" spans="16:23" x14ac:dyDescent="0.2">
      <c r="P479" s="53"/>
      <c r="Q479" s="53"/>
      <c r="W479" s="40"/>
    </row>
    <row r="480" spans="16:23" x14ac:dyDescent="0.2">
      <c r="P480" s="53"/>
      <c r="Q480" s="53"/>
      <c r="W480" s="40"/>
    </row>
    <row r="481" spans="16:23" x14ac:dyDescent="0.2">
      <c r="P481" s="53"/>
      <c r="Q481" s="53"/>
      <c r="W481" s="40"/>
    </row>
    <row r="482" spans="16:23" x14ac:dyDescent="0.2">
      <c r="P482" s="53"/>
      <c r="Q482" s="53"/>
      <c r="W482" s="40"/>
    </row>
    <row r="483" spans="16:23" x14ac:dyDescent="0.2">
      <c r="P483" s="53"/>
      <c r="Q483" s="53"/>
      <c r="W483" s="40"/>
    </row>
    <row r="484" spans="16:23" x14ac:dyDescent="0.2">
      <c r="P484" s="53"/>
      <c r="Q484" s="53"/>
      <c r="W484" s="40"/>
    </row>
    <row r="485" spans="16:23" x14ac:dyDescent="0.2">
      <c r="P485" s="53"/>
      <c r="Q485" s="53"/>
      <c r="W485" s="40"/>
    </row>
    <row r="486" spans="16:23" x14ac:dyDescent="0.2">
      <c r="P486" s="53"/>
      <c r="Q486" s="53"/>
      <c r="W486" s="40"/>
    </row>
    <row r="487" spans="16:23" x14ac:dyDescent="0.2">
      <c r="P487" s="53"/>
      <c r="Q487" s="53"/>
      <c r="W487" s="40"/>
    </row>
    <row r="488" spans="16:23" x14ac:dyDescent="0.2">
      <c r="P488" s="53"/>
      <c r="Q488" s="53"/>
      <c r="W488" s="40"/>
    </row>
    <row r="489" spans="16:23" x14ac:dyDescent="0.2">
      <c r="P489" s="53"/>
      <c r="Q489" s="53"/>
      <c r="W489" s="40"/>
    </row>
    <row r="490" spans="16:23" x14ac:dyDescent="0.2">
      <c r="P490" s="53"/>
      <c r="Q490" s="53"/>
      <c r="W490" s="40"/>
    </row>
    <row r="491" spans="16:23" x14ac:dyDescent="0.2">
      <c r="P491" s="53"/>
      <c r="Q491" s="53"/>
      <c r="W491" s="40"/>
    </row>
    <row r="492" spans="16:23" x14ac:dyDescent="0.2">
      <c r="P492" s="53"/>
      <c r="Q492" s="53"/>
      <c r="W492" s="40"/>
    </row>
    <row r="493" spans="16:23" x14ac:dyDescent="0.2">
      <c r="P493" s="53"/>
      <c r="Q493" s="53"/>
      <c r="W493" s="40"/>
    </row>
    <row r="494" spans="16:23" x14ac:dyDescent="0.2">
      <c r="P494" s="53"/>
      <c r="Q494" s="53"/>
      <c r="W494" s="40"/>
    </row>
    <row r="495" spans="16:23" x14ac:dyDescent="0.2">
      <c r="P495" s="53"/>
      <c r="Q495" s="53"/>
      <c r="W495" s="40"/>
    </row>
    <row r="496" spans="16:23" x14ac:dyDescent="0.2">
      <c r="P496" s="53"/>
      <c r="Q496" s="53"/>
      <c r="W496" s="40"/>
    </row>
    <row r="497" spans="16:23" x14ac:dyDescent="0.2">
      <c r="P497" s="53"/>
      <c r="Q497" s="53"/>
      <c r="W497" s="40"/>
    </row>
    <row r="498" spans="16:23" x14ac:dyDescent="0.2">
      <c r="P498" s="53"/>
      <c r="Q498" s="53"/>
      <c r="W498" s="40"/>
    </row>
    <row r="499" spans="16:23" x14ac:dyDescent="0.2">
      <c r="P499" s="53"/>
      <c r="Q499" s="53"/>
      <c r="W499" s="40"/>
    </row>
    <row r="500" spans="16:23" x14ac:dyDescent="0.2">
      <c r="P500" s="53"/>
      <c r="Q500" s="53"/>
      <c r="W500" s="40"/>
    </row>
    <row r="501" spans="16:23" x14ac:dyDescent="0.2">
      <c r="P501" s="53"/>
      <c r="Q501" s="53"/>
      <c r="W501" s="40"/>
    </row>
    <row r="502" spans="16:23" x14ac:dyDescent="0.2">
      <c r="P502" s="53"/>
      <c r="Q502" s="53"/>
      <c r="W502" s="40"/>
    </row>
    <row r="503" spans="16:23" x14ac:dyDescent="0.2">
      <c r="P503" s="53"/>
      <c r="Q503" s="53"/>
      <c r="W503" s="40"/>
    </row>
    <row r="504" spans="16:23" x14ac:dyDescent="0.2">
      <c r="P504" s="53"/>
      <c r="Q504" s="53"/>
      <c r="W504" s="40"/>
    </row>
    <row r="505" spans="16:23" x14ac:dyDescent="0.2">
      <c r="P505" s="53"/>
      <c r="Q505" s="53"/>
      <c r="W505" s="40"/>
    </row>
    <row r="506" spans="16:23" x14ac:dyDescent="0.2">
      <c r="P506" s="53"/>
      <c r="Q506" s="53"/>
      <c r="W506" s="40"/>
    </row>
    <row r="507" spans="16:23" x14ac:dyDescent="0.2">
      <c r="P507" s="53"/>
      <c r="Q507" s="53"/>
      <c r="W507" s="40"/>
    </row>
    <row r="508" spans="16:23" x14ac:dyDescent="0.2">
      <c r="P508" s="53"/>
      <c r="Q508" s="53"/>
      <c r="W508" s="40"/>
    </row>
    <row r="509" spans="16:23" x14ac:dyDescent="0.2">
      <c r="P509" s="53"/>
      <c r="Q509" s="53"/>
      <c r="W509" s="40"/>
    </row>
    <row r="510" spans="16:23" x14ac:dyDescent="0.2">
      <c r="P510" s="53"/>
      <c r="Q510" s="53"/>
      <c r="W510" s="40"/>
    </row>
    <row r="511" spans="16:23" x14ac:dyDescent="0.2">
      <c r="P511" s="53"/>
      <c r="Q511" s="53"/>
      <c r="W511" s="40"/>
    </row>
    <row r="512" spans="16:23" x14ac:dyDescent="0.2">
      <c r="P512" s="53"/>
      <c r="Q512" s="53"/>
      <c r="W512" s="40"/>
    </row>
    <row r="513" spans="16:23" x14ac:dyDescent="0.2">
      <c r="P513" s="53"/>
      <c r="Q513" s="53"/>
      <c r="W513" s="40"/>
    </row>
    <row r="514" spans="16:23" x14ac:dyDescent="0.2">
      <c r="P514" s="53"/>
      <c r="Q514" s="53"/>
      <c r="W514" s="40"/>
    </row>
    <row r="515" spans="16:23" x14ac:dyDescent="0.2">
      <c r="P515" s="53"/>
      <c r="Q515" s="53"/>
      <c r="W515" s="40"/>
    </row>
    <row r="516" spans="16:23" x14ac:dyDescent="0.2">
      <c r="P516" s="53"/>
      <c r="Q516" s="53"/>
      <c r="W516" s="40"/>
    </row>
    <row r="517" spans="16:23" x14ac:dyDescent="0.2">
      <c r="P517" s="53"/>
      <c r="Q517" s="53"/>
      <c r="W517" s="40"/>
    </row>
    <row r="518" spans="16:23" x14ac:dyDescent="0.2">
      <c r="P518" s="53"/>
      <c r="Q518" s="53"/>
      <c r="W518" s="40"/>
    </row>
    <row r="519" spans="16:23" x14ac:dyDescent="0.2">
      <c r="P519" s="53"/>
      <c r="Q519" s="53"/>
      <c r="W519" s="40"/>
    </row>
    <row r="520" spans="16:23" x14ac:dyDescent="0.2">
      <c r="P520" s="53"/>
      <c r="Q520" s="53"/>
      <c r="W520" s="40"/>
    </row>
    <row r="521" spans="16:23" x14ac:dyDescent="0.2">
      <c r="P521" s="53"/>
      <c r="Q521" s="53"/>
      <c r="W521" s="40"/>
    </row>
    <row r="522" spans="16:23" x14ac:dyDescent="0.2">
      <c r="P522" s="53"/>
      <c r="Q522" s="53"/>
      <c r="W522" s="40"/>
    </row>
    <row r="523" spans="16:23" x14ac:dyDescent="0.2">
      <c r="P523" s="53"/>
      <c r="Q523" s="53"/>
      <c r="W523" s="40"/>
    </row>
    <row r="524" spans="16:23" x14ac:dyDescent="0.2">
      <c r="P524" s="53"/>
      <c r="Q524" s="53"/>
      <c r="W524" s="40"/>
    </row>
    <row r="525" spans="16:23" x14ac:dyDescent="0.2">
      <c r="P525" s="53"/>
      <c r="Q525" s="53"/>
      <c r="W525" s="40"/>
    </row>
    <row r="526" spans="16:23" x14ac:dyDescent="0.2">
      <c r="P526" s="53"/>
      <c r="Q526" s="53"/>
      <c r="W526" s="40"/>
    </row>
    <row r="527" spans="16:23" x14ac:dyDescent="0.2">
      <c r="P527" s="53"/>
      <c r="Q527" s="53"/>
      <c r="W527" s="40"/>
    </row>
    <row r="528" spans="16:23" x14ac:dyDescent="0.2">
      <c r="P528" s="53"/>
      <c r="Q528" s="53"/>
      <c r="W528" s="40"/>
    </row>
    <row r="529" spans="16:23" x14ac:dyDescent="0.2">
      <c r="P529" s="53"/>
      <c r="Q529" s="53"/>
      <c r="W529" s="40"/>
    </row>
    <row r="530" spans="16:23" x14ac:dyDescent="0.2">
      <c r="P530" s="53"/>
      <c r="Q530" s="53"/>
      <c r="W530" s="40"/>
    </row>
    <row r="531" spans="16:23" x14ac:dyDescent="0.2">
      <c r="P531" s="53"/>
      <c r="Q531" s="53"/>
      <c r="W531" s="40"/>
    </row>
    <row r="532" spans="16:23" x14ac:dyDescent="0.2">
      <c r="P532" s="53"/>
      <c r="Q532" s="53"/>
      <c r="W532" s="40"/>
    </row>
    <row r="533" spans="16:23" x14ac:dyDescent="0.2">
      <c r="P533" s="53"/>
      <c r="Q533" s="53"/>
      <c r="W533" s="40"/>
    </row>
    <row r="534" spans="16:23" x14ac:dyDescent="0.2">
      <c r="P534" s="53"/>
      <c r="Q534" s="53"/>
      <c r="W534" s="40"/>
    </row>
    <row r="535" spans="16:23" x14ac:dyDescent="0.2">
      <c r="P535" s="53"/>
      <c r="Q535" s="53"/>
      <c r="W535" s="40"/>
    </row>
    <row r="536" spans="16:23" x14ac:dyDescent="0.2">
      <c r="P536" s="53"/>
      <c r="Q536" s="53"/>
      <c r="W536" s="40"/>
    </row>
    <row r="537" spans="16:23" x14ac:dyDescent="0.2">
      <c r="P537" s="53"/>
      <c r="Q537" s="53"/>
      <c r="W537" s="40"/>
    </row>
    <row r="538" spans="16:23" x14ac:dyDescent="0.2">
      <c r="P538" s="53"/>
      <c r="Q538" s="53"/>
      <c r="W538" s="40"/>
    </row>
    <row r="539" spans="16:23" x14ac:dyDescent="0.2">
      <c r="P539" s="53"/>
      <c r="Q539" s="53"/>
      <c r="W539" s="40"/>
    </row>
    <row r="540" spans="16:23" x14ac:dyDescent="0.2">
      <c r="P540" s="53"/>
      <c r="Q540" s="53"/>
      <c r="W540" s="40"/>
    </row>
    <row r="541" spans="16:23" x14ac:dyDescent="0.2">
      <c r="P541" s="53"/>
      <c r="Q541" s="53"/>
      <c r="W541" s="40"/>
    </row>
    <row r="542" spans="16:23" x14ac:dyDescent="0.2">
      <c r="P542" s="53"/>
      <c r="Q542" s="53"/>
      <c r="W542" s="40"/>
    </row>
    <row r="543" spans="16:23" x14ac:dyDescent="0.2">
      <c r="P543" s="53"/>
      <c r="Q543" s="53"/>
      <c r="W543" s="40"/>
    </row>
    <row r="544" spans="16:23" x14ac:dyDescent="0.2">
      <c r="P544" s="53"/>
      <c r="Q544" s="53"/>
      <c r="W544" s="40"/>
    </row>
    <row r="545" spans="16:23" x14ac:dyDescent="0.2">
      <c r="P545" s="53"/>
      <c r="Q545" s="53"/>
      <c r="W545" s="40"/>
    </row>
    <row r="546" spans="16:23" x14ac:dyDescent="0.2">
      <c r="P546" s="53"/>
      <c r="Q546" s="53"/>
      <c r="W546" s="40"/>
    </row>
    <row r="547" spans="16:23" x14ac:dyDescent="0.2">
      <c r="P547" s="53"/>
      <c r="Q547" s="53"/>
      <c r="W547" s="40"/>
    </row>
    <row r="548" spans="16:23" x14ac:dyDescent="0.2">
      <c r="P548" s="53"/>
      <c r="Q548" s="53"/>
      <c r="W548" s="40"/>
    </row>
    <row r="549" spans="16:23" x14ac:dyDescent="0.2">
      <c r="P549" s="53"/>
      <c r="Q549" s="53"/>
      <c r="W549" s="40"/>
    </row>
    <row r="550" spans="16:23" x14ac:dyDescent="0.2">
      <c r="P550" s="53"/>
      <c r="Q550" s="53"/>
      <c r="W550" s="40"/>
    </row>
    <row r="551" spans="16:23" x14ac:dyDescent="0.2">
      <c r="P551" s="53"/>
      <c r="Q551" s="53"/>
      <c r="W551" s="40"/>
    </row>
    <row r="552" spans="16:23" x14ac:dyDescent="0.2">
      <c r="P552" s="53"/>
      <c r="Q552" s="53"/>
      <c r="W552" s="40"/>
    </row>
    <row r="553" spans="16:23" x14ac:dyDescent="0.2">
      <c r="P553" s="53"/>
      <c r="Q553" s="53"/>
      <c r="W553" s="40"/>
    </row>
    <row r="554" spans="16:23" x14ac:dyDescent="0.2">
      <c r="P554" s="53"/>
      <c r="Q554" s="53"/>
      <c r="W554" s="40"/>
    </row>
    <row r="555" spans="16:23" x14ac:dyDescent="0.2">
      <c r="P555" s="53"/>
      <c r="Q555" s="53"/>
      <c r="W555" s="40"/>
    </row>
    <row r="556" spans="16:23" x14ac:dyDescent="0.2">
      <c r="P556" s="53"/>
      <c r="Q556" s="53"/>
      <c r="W556" s="40"/>
    </row>
    <row r="557" spans="16:23" x14ac:dyDescent="0.2">
      <c r="P557" s="53"/>
      <c r="Q557" s="53"/>
      <c r="W557" s="40"/>
    </row>
    <row r="558" spans="16:23" x14ac:dyDescent="0.2">
      <c r="P558" s="53"/>
      <c r="Q558" s="53"/>
      <c r="W558" s="40"/>
    </row>
    <row r="559" spans="16:23" x14ac:dyDescent="0.2">
      <c r="P559" s="53"/>
      <c r="Q559" s="53"/>
      <c r="W559" s="40"/>
    </row>
    <row r="560" spans="16:23" x14ac:dyDescent="0.2">
      <c r="P560" s="53"/>
      <c r="Q560" s="53"/>
      <c r="W560" s="40"/>
    </row>
    <row r="561" spans="16:23" x14ac:dyDescent="0.2">
      <c r="P561" s="53"/>
      <c r="Q561" s="53"/>
      <c r="W561" s="40"/>
    </row>
    <row r="562" spans="16:23" x14ac:dyDescent="0.2">
      <c r="P562" s="53"/>
      <c r="Q562" s="53"/>
      <c r="W562" s="40"/>
    </row>
    <row r="563" spans="16:23" x14ac:dyDescent="0.2">
      <c r="P563" s="53"/>
      <c r="Q563" s="53"/>
      <c r="W563" s="40"/>
    </row>
    <row r="564" spans="16:23" x14ac:dyDescent="0.2">
      <c r="P564" s="53"/>
      <c r="Q564" s="53"/>
      <c r="W564" s="40"/>
    </row>
    <row r="565" spans="16:23" x14ac:dyDescent="0.2">
      <c r="P565" s="53"/>
      <c r="Q565" s="53"/>
      <c r="W565" s="40"/>
    </row>
    <row r="566" spans="16:23" x14ac:dyDescent="0.2">
      <c r="P566" s="53"/>
      <c r="Q566" s="53"/>
      <c r="W566" s="40"/>
    </row>
    <row r="567" spans="16:23" x14ac:dyDescent="0.2">
      <c r="P567" s="53"/>
      <c r="Q567" s="53"/>
      <c r="W567" s="40"/>
    </row>
    <row r="568" spans="16:23" x14ac:dyDescent="0.2">
      <c r="P568" s="53"/>
      <c r="Q568" s="53"/>
      <c r="W568" s="40"/>
    </row>
    <row r="569" spans="16:23" x14ac:dyDescent="0.2">
      <c r="P569" s="53"/>
      <c r="Q569" s="53"/>
      <c r="W569" s="40"/>
    </row>
    <row r="570" spans="16:23" x14ac:dyDescent="0.2">
      <c r="P570" s="53"/>
      <c r="Q570" s="53"/>
      <c r="W570" s="40"/>
    </row>
    <row r="571" spans="16:23" x14ac:dyDescent="0.2">
      <c r="P571" s="53"/>
      <c r="Q571" s="53"/>
      <c r="W571" s="40"/>
    </row>
    <row r="572" spans="16:23" x14ac:dyDescent="0.2">
      <c r="P572" s="53"/>
      <c r="Q572" s="53"/>
      <c r="W572" s="40"/>
    </row>
    <row r="573" spans="16:23" x14ac:dyDescent="0.2">
      <c r="P573" s="53"/>
      <c r="Q573" s="53"/>
      <c r="W573" s="40"/>
    </row>
    <row r="574" spans="16:23" x14ac:dyDescent="0.2">
      <c r="P574" s="53"/>
      <c r="Q574" s="53"/>
      <c r="W574" s="40"/>
    </row>
    <row r="575" spans="16:23" x14ac:dyDescent="0.2">
      <c r="P575" s="53"/>
      <c r="Q575" s="53"/>
      <c r="W575" s="40"/>
    </row>
    <row r="576" spans="16:23" x14ac:dyDescent="0.2">
      <c r="P576" s="53"/>
      <c r="Q576" s="53"/>
      <c r="W576" s="40"/>
    </row>
    <row r="577" spans="16:23" x14ac:dyDescent="0.2">
      <c r="P577" s="53"/>
      <c r="Q577" s="53"/>
      <c r="W577" s="40"/>
    </row>
    <row r="578" spans="16:23" x14ac:dyDescent="0.2">
      <c r="P578" s="53"/>
      <c r="Q578" s="53"/>
      <c r="W578" s="40"/>
    </row>
    <row r="579" spans="16:23" x14ac:dyDescent="0.2">
      <c r="P579" s="53"/>
      <c r="Q579" s="53"/>
      <c r="W579" s="40"/>
    </row>
    <row r="580" spans="16:23" x14ac:dyDescent="0.2">
      <c r="P580" s="53"/>
      <c r="Q580" s="53"/>
      <c r="W580" s="40"/>
    </row>
    <row r="581" spans="16:23" x14ac:dyDescent="0.2">
      <c r="P581" s="53"/>
      <c r="Q581" s="53"/>
      <c r="W581" s="40"/>
    </row>
    <row r="582" spans="16:23" x14ac:dyDescent="0.2">
      <c r="P582" s="53"/>
      <c r="Q582" s="53"/>
      <c r="W582" s="40"/>
    </row>
    <row r="583" spans="16:23" x14ac:dyDescent="0.2">
      <c r="P583" s="53"/>
      <c r="Q583" s="53"/>
      <c r="W583" s="40"/>
    </row>
    <row r="584" spans="16:23" x14ac:dyDescent="0.2">
      <c r="P584" s="53"/>
      <c r="Q584" s="53"/>
      <c r="W584" s="40"/>
    </row>
    <row r="585" spans="16:23" x14ac:dyDescent="0.2">
      <c r="P585" s="53"/>
      <c r="Q585" s="53"/>
      <c r="W585" s="40"/>
    </row>
    <row r="586" spans="16:23" x14ac:dyDescent="0.2">
      <c r="P586" s="53"/>
      <c r="Q586" s="53"/>
      <c r="W586" s="40"/>
    </row>
    <row r="587" spans="16:23" x14ac:dyDescent="0.2">
      <c r="P587" s="53"/>
      <c r="Q587" s="53"/>
      <c r="W587" s="40"/>
    </row>
    <row r="588" spans="16:23" x14ac:dyDescent="0.2">
      <c r="P588" s="53"/>
      <c r="Q588" s="53"/>
      <c r="W588" s="40"/>
    </row>
    <row r="589" spans="16:23" x14ac:dyDescent="0.2">
      <c r="P589" s="53"/>
      <c r="Q589" s="53"/>
      <c r="W589" s="40"/>
    </row>
    <row r="590" spans="16:23" x14ac:dyDescent="0.2">
      <c r="P590" s="53"/>
      <c r="Q590" s="53"/>
      <c r="W590" s="40"/>
    </row>
    <row r="591" spans="16:23" x14ac:dyDescent="0.2">
      <c r="P591" s="53"/>
      <c r="Q591" s="53"/>
      <c r="W591" s="40"/>
    </row>
    <row r="592" spans="16:23" x14ac:dyDescent="0.2">
      <c r="P592" s="53"/>
      <c r="Q592" s="53"/>
      <c r="W592" s="40"/>
    </row>
    <row r="593" spans="16:23" x14ac:dyDescent="0.2">
      <c r="P593" s="53"/>
      <c r="Q593" s="53"/>
      <c r="W593" s="40"/>
    </row>
    <row r="594" spans="16:23" x14ac:dyDescent="0.2">
      <c r="P594" s="53"/>
      <c r="Q594" s="53"/>
      <c r="W594" s="40"/>
    </row>
    <row r="595" spans="16:23" x14ac:dyDescent="0.2">
      <c r="P595" s="53"/>
      <c r="Q595" s="53"/>
      <c r="W595" s="40"/>
    </row>
    <row r="596" spans="16:23" x14ac:dyDescent="0.2">
      <c r="P596" s="53"/>
      <c r="Q596" s="53"/>
      <c r="W596" s="40"/>
    </row>
    <row r="597" spans="16:23" x14ac:dyDescent="0.2">
      <c r="P597" s="53"/>
      <c r="Q597" s="53"/>
      <c r="W597" s="40"/>
    </row>
    <row r="598" spans="16:23" x14ac:dyDescent="0.2">
      <c r="P598" s="53"/>
      <c r="Q598" s="53"/>
      <c r="W598" s="40"/>
    </row>
    <row r="599" spans="16:23" x14ac:dyDescent="0.2">
      <c r="P599" s="53"/>
      <c r="Q599" s="53"/>
      <c r="W599" s="40"/>
    </row>
    <row r="600" spans="16:23" x14ac:dyDescent="0.2">
      <c r="P600" s="53"/>
      <c r="Q600" s="53"/>
      <c r="W600" s="40"/>
    </row>
    <row r="601" spans="16:23" x14ac:dyDescent="0.2">
      <c r="P601" s="53"/>
      <c r="Q601" s="53"/>
      <c r="W601" s="40"/>
    </row>
    <row r="602" spans="16:23" x14ac:dyDescent="0.2">
      <c r="P602" s="53"/>
      <c r="Q602" s="53"/>
      <c r="W602" s="40"/>
    </row>
    <row r="603" spans="16:23" x14ac:dyDescent="0.2">
      <c r="P603" s="53"/>
      <c r="Q603" s="53"/>
      <c r="W603" s="40"/>
    </row>
    <row r="604" spans="16:23" x14ac:dyDescent="0.2">
      <c r="P604" s="53"/>
      <c r="Q604" s="53"/>
      <c r="W604" s="40"/>
    </row>
    <row r="605" spans="16:23" x14ac:dyDescent="0.2">
      <c r="P605" s="53"/>
      <c r="Q605" s="53"/>
      <c r="W605" s="40"/>
    </row>
    <row r="606" spans="16:23" x14ac:dyDescent="0.2">
      <c r="P606" s="53"/>
      <c r="Q606" s="53"/>
      <c r="W606" s="40"/>
    </row>
    <row r="607" spans="16:23" x14ac:dyDescent="0.2">
      <c r="P607" s="53"/>
      <c r="Q607" s="53"/>
      <c r="W607" s="40"/>
    </row>
    <row r="608" spans="16:23" x14ac:dyDescent="0.2">
      <c r="P608" s="53"/>
      <c r="Q608" s="53"/>
      <c r="W608" s="40"/>
    </row>
    <row r="609" spans="16:23" x14ac:dyDescent="0.2">
      <c r="P609" s="53"/>
      <c r="Q609" s="53"/>
      <c r="W609" s="40"/>
    </row>
    <row r="610" spans="16:23" x14ac:dyDescent="0.2">
      <c r="P610" s="53"/>
      <c r="Q610" s="53"/>
      <c r="W610" s="40"/>
    </row>
    <row r="611" spans="16:23" x14ac:dyDescent="0.2">
      <c r="P611" s="53"/>
      <c r="Q611" s="53"/>
      <c r="W611" s="40"/>
    </row>
    <row r="612" spans="16:23" x14ac:dyDescent="0.2">
      <c r="P612" s="53"/>
      <c r="Q612" s="53"/>
      <c r="W612" s="40"/>
    </row>
    <row r="613" spans="16:23" x14ac:dyDescent="0.2">
      <c r="P613" s="53"/>
      <c r="Q613" s="53"/>
      <c r="W613" s="40"/>
    </row>
    <row r="614" spans="16:23" x14ac:dyDescent="0.2">
      <c r="P614" s="53"/>
      <c r="Q614" s="53"/>
      <c r="W614" s="40"/>
    </row>
    <row r="615" spans="16:23" x14ac:dyDescent="0.2">
      <c r="P615" s="53"/>
      <c r="Q615" s="53"/>
      <c r="W615" s="40"/>
    </row>
    <row r="616" spans="16:23" x14ac:dyDescent="0.2">
      <c r="P616" s="53"/>
      <c r="Q616" s="53"/>
      <c r="W616" s="40"/>
    </row>
    <row r="617" spans="16:23" x14ac:dyDescent="0.2">
      <c r="P617" s="53"/>
      <c r="Q617" s="53"/>
      <c r="W617" s="40"/>
    </row>
    <row r="618" spans="16:23" x14ac:dyDescent="0.2">
      <c r="P618" s="53"/>
      <c r="Q618" s="53"/>
      <c r="W618" s="40"/>
    </row>
    <row r="619" spans="16:23" x14ac:dyDescent="0.2">
      <c r="P619" s="53"/>
      <c r="Q619" s="53"/>
      <c r="W619" s="40"/>
    </row>
    <row r="620" spans="16:23" x14ac:dyDescent="0.2">
      <c r="P620" s="53"/>
      <c r="Q620" s="53"/>
      <c r="W620" s="40"/>
    </row>
    <row r="621" spans="16:23" x14ac:dyDescent="0.2">
      <c r="P621" s="53"/>
      <c r="Q621" s="53"/>
      <c r="W621" s="40"/>
    </row>
    <row r="622" spans="16:23" x14ac:dyDescent="0.2">
      <c r="P622" s="53"/>
      <c r="Q622" s="53"/>
      <c r="W622" s="40"/>
    </row>
    <row r="623" spans="16:23" x14ac:dyDescent="0.2">
      <c r="P623" s="53"/>
      <c r="Q623" s="53"/>
      <c r="W623" s="40"/>
    </row>
    <row r="624" spans="16:23" x14ac:dyDescent="0.2">
      <c r="P624" s="53"/>
      <c r="Q624" s="53"/>
      <c r="W624" s="40"/>
    </row>
    <row r="625" spans="16:23" x14ac:dyDescent="0.2">
      <c r="P625" s="53"/>
      <c r="Q625" s="53"/>
      <c r="W625" s="40"/>
    </row>
    <row r="626" spans="16:23" x14ac:dyDescent="0.2">
      <c r="P626" s="53"/>
      <c r="Q626" s="53"/>
      <c r="W626" s="40"/>
    </row>
    <row r="627" spans="16:23" x14ac:dyDescent="0.2">
      <c r="P627" s="53"/>
      <c r="Q627" s="53"/>
      <c r="W627" s="40"/>
    </row>
    <row r="628" spans="16:23" x14ac:dyDescent="0.2">
      <c r="P628" s="53"/>
      <c r="Q628" s="53"/>
      <c r="W628" s="40"/>
    </row>
    <row r="629" spans="16:23" x14ac:dyDescent="0.2">
      <c r="P629" s="53"/>
      <c r="Q629" s="53"/>
      <c r="W629" s="40"/>
    </row>
    <row r="630" spans="16:23" x14ac:dyDescent="0.2">
      <c r="P630" s="53"/>
      <c r="Q630" s="53"/>
      <c r="W630" s="40"/>
    </row>
    <row r="631" spans="16:23" x14ac:dyDescent="0.2">
      <c r="P631" s="53"/>
      <c r="Q631" s="53"/>
      <c r="W631" s="40"/>
    </row>
    <row r="632" spans="16:23" x14ac:dyDescent="0.2">
      <c r="P632" s="53"/>
      <c r="Q632" s="53"/>
      <c r="W632" s="40"/>
    </row>
    <row r="633" spans="16:23" x14ac:dyDescent="0.2">
      <c r="P633" s="53"/>
      <c r="Q633" s="53"/>
      <c r="W633" s="40"/>
    </row>
    <row r="634" spans="16:23" x14ac:dyDescent="0.2">
      <c r="P634" s="53"/>
      <c r="Q634" s="53"/>
      <c r="W634" s="40"/>
    </row>
    <row r="635" spans="16:23" x14ac:dyDescent="0.2">
      <c r="P635" s="53"/>
      <c r="Q635" s="53"/>
      <c r="W635" s="40"/>
    </row>
    <row r="636" spans="16:23" x14ac:dyDescent="0.2">
      <c r="P636" s="53"/>
      <c r="Q636" s="53"/>
      <c r="W636" s="40"/>
    </row>
    <row r="637" spans="16:23" x14ac:dyDescent="0.2">
      <c r="P637" s="53"/>
      <c r="Q637" s="53"/>
      <c r="W637" s="40"/>
    </row>
    <row r="638" spans="16:23" x14ac:dyDescent="0.2">
      <c r="P638" s="53"/>
      <c r="Q638" s="53"/>
      <c r="W638" s="40"/>
    </row>
    <row r="639" spans="16:23" x14ac:dyDescent="0.2">
      <c r="P639" s="53"/>
      <c r="Q639" s="53"/>
      <c r="W639" s="40"/>
    </row>
    <row r="640" spans="16:23" x14ac:dyDescent="0.2">
      <c r="P640" s="53"/>
      <c r="Q640" s="53"/>
      <c r="W640" s="40"/>
    </row>
    <row r="641" spans="16:23" x14ac:dyDescent="0.2">
      <c r="P641" s="53"/>
      <c r="Q641" s="53"/>
      <c r="W641" s="40"/>
    </row>
    <row r="642" spans="16:23" x14ac:dyDescent="0.2">
      <c r="P642" s="53"/>
      <c r="Q642" s="53"/>
      <c r="W642" s="40"/>
    </row>
    <row r="643" spans="16:23" x14ac:dyDescent="0.2">
      <c r="P643" s="53"/>
      <c r="Q643" s="53"/>
      <c r="W643" s="40"/>
    </row>
    <row r="644" spans="16:23" x14ac:dyDescent="0.2">
      <c r="P644" s="53"/>
      <c r="Q644" s="53"/>
      <c r="W644" s="40"/>
    </row>
    <row r="645" spans="16:23" x14ac:dyDescent="0.2">
      <c r="P645" s="53"/>
      <c r="Q645" s="53"/>
      <c r="W645" s="40"/>
    </row>
    <row r="646" spans="16:23" x14ac:dyDescent="0.2">
      <c r="P646" s="53"/>
      <c r="Q646" s="53"/>
      <c r="W646" s="40"/>
    </row>
    <row r="647" spans="16:23" x14ac:dyDescent="0.2">
      <c r="P647" s="53"/>
      <c r="Q647" s="53"/>
      <c r="W647" s="40"/>
    </row>
    <row r="648" spans="16:23" x14ac:dyDescent="0.2">
      <c r="P648" s="53"/>
      <c r="Q648" s="53"/>
      <c r="W648" s="40"/>
    </row>
    <row r="649" spans="16:23" x14ac:dyDescent="0.2">
      <c r="P649" s="53"/>
      <c r="Q649" s="53"/>
      <c r="W649" s="40"/>
    </row>
    <row r="650" spans="16:23" x14ac:dyDescent="0.2">
      <c r="P650" s="53"/>
      <c r="Q650" s="53"/>
      <c r="W650" s="40"/>
    </row>
    <row r="651" spans="16:23" x14ac:dyDescent="0.2">
      <c r="P651" s="53"/>
      <c r="Q651" s="53"/>
      <c r="W651" s="40"/>
    </row>
    <row r="652" spans="16:23" x14ac:dyDescent="0.2">
      <c r="P652" s="53"/>
      <c r="Q652" s="53"/>
      <c r="W652" s="40"/>
    </row>
    <row r="653" spans="16:23" x14ac:dyDescent="0.2">
      <c r="P653" s="53"/>
      <c r="Q653" s="53"/>
      <c r="W653" s="40"/>
    </row>
    <row r="654" spans="16:23" x14ac:dyDescent="0.2">
      <c r="P654" s="53"/>
      <c r="Q654" s="53"/>
      <c r="W654" s="40"/>
    </row>
    <row r="655" spans="16:23" x14ac:dyDescent="0.2">
      <c r="P655" s="53"/>
      <c r="Q655" s="53"/>
      <c r="W655" s="40"/>
    </row>
    <row r="656" spans="16:23" x14ac:dyDescent="0.2">
      <c r="P656" s="53"/>
      <c r="Q656" s="53"/>
      <c r="W656" s="40"/>
    </row>
    <row r="657" spans="16:23" x14ac:dyDescent="0.2">
      <c r="P657" s="53"/>
      <c r="Q657" s="53"/>
      <c r="W657" s="40"/>
    </row>
    <row r="658" spans="16:23" x14ac:dyDescent="0.2">
      <c r="P658" s="53"/>
      <c r="Q658" s="53"/>
      <c r="W658" s="40"/>
    </row>
    <row r="659" spans="16:23" x14ac:dyDescent="0.2">
      <c r="P659" s="53"/>
      <c r="Q659" s="53"/>
      <c r="W659" s="40"/>
    </row>
    <row r="660" spans="16:23" x14ac:dyDescent="0.2">
      <c r="P660" s="53"/>
      <c r="Q660" s="53"/>
      <c r="W660" s="40"/>
    </row>
    <row r="661" spans="16:23" x14ac:dyDescent="0.2">
      <c r="P661" s="53"/>
      <c r="Q661" s="53"/>
      <c r="W661" s="40"/>
    </row>
    <row r="662" spans="16:23" x14ac:dyDescent="0.2">
      <c r="P662" s="53"/>
      <c r="Q662" s="53"/>
      <c r="W662" s="40"/>
    </row>
    <row r="663" spans="16:23" x14ac:dyDescent="0.2">
      <c r="P663" s="53"/>
      <c r="Q663" s="53"/>
      <c r="W663" s="40"/>
    </row>
    <row r="664" spans="16:23" x14ac:dyDescent="0.2">
      <c r="P664" s="53"/>
      <c r="Q664" s="53"/>
      <c r="W664" s="40"/>
    </row>
    <row r="665" spans="16:23" x14ac:dyDescent="0.2">
      <c r="P665" s="53"/>
      <c r="Q665" s="53"/>
      <c r="W665" s="40"/>
    </row>
    <row r="666" spans="16:23" x14ac:dyDescent="0.2">
      <c r="P666" s="53"/>
      <c r="Q666" s="53"/>
      <c r="W666" s="40"/>
    </row>
    <row r="667" spans="16:23" x14ac:dyDescent="0.2">
      <c r="P667" s="53"/>
      <c r="Q667" s="53"/>
      <c r="W667" s="40"/>
    </row>
    <row r="668" spans="16:23" x14ac:dyDescent="0.2">
      <c r="P668" s="53"/>
      <c r="Q668" s="53"/>
      <c r="W668" s="40"/>
    </row>
    <row r="669" spans="16:23" x14ac:dyDescent="0.2">
      <c r="P669" s="53"/>
      <c r="Q669" s="53"/>
      <c r="W669" s="40"/>
    </row>
    <row r="670" spans="16:23" x14ac:dyDescent="0.2">
      <c r="P670" s="53"/>
      <c r="Q670" s="53"/>
      <c r="W670" s="40"/>
    </row>
    <row r="671" spans="16:23" x14ac:dyDescent="0.2">
      <c r="P671" s="53"/>
      <c r="Q671" s="53"/>
      <c r="W671" s="40"/>
    </row>
    <row r="672" spans="16:23" x14ac:dyDescent="0.2">
      <c r="P672" s="53"/>
      <c r="Q672" s="53"/>
      <c r="W672" s="40"/>
    </row>
    <row r="673" spans="16:23" x14ac:dyDescent="0.2">
      <c r="P673" s="53"/>
      <c r="Q673" s="53"/>
      <c r="W673" s="40"/>
    </row>
    <row r="674" spans="16:23" x14ac:dyDescent="0.2">
      <c r="P674" s="53"/>
      <c r="Q674" s="53"/>
      <c r="W674" s="40"/>
    </row>
    <row r="675" spans="16:23" x14ac:dyDescent="0.2">
      <c r="P675" s="53"/>
      <c r="Q675" s="53"/>
      <c r="W675" s="40"/>
    </row>
    <row r="676" spans="16:23" x14ac:dyDescent="0.2">
      <c r="P676" s="53"/>
      <c r="Q676" s="53"/>
      <c r="W676" s="40"/>
    </row>
    <row r="677" spans="16:23" x14ac:dyDescent="0.2">
      <c r="P677" s="53"/>
      <c r="Q677" s="53"/>
      <c r="W677" s="40"/>
    </row>
    <row r="678" spans="16:23" x14ac:dyDescent="0.2">
      <c r="P678" s="53"/>
      <c r="Q678" s="53"/>
      <c r="W678" s="40"/>
    </row>
    <row r="679" spans="16:23" x14ac:dyDescent="0.2">
      <c r="P679" s="53"/>
      <c r="Q679" s="53"/>
      <c r="W679" s="40"/>
    </row>
    <row r="680" spans="16:23" x14ac:dyDescent="0.2">
      <c r="P680" s="53"/>
      <c r="Q680" s="53"/>
      <c r="W680" s="40"/>
    </row>
    <row r="681" spans="16:23" x14ac:dyDescent="0.2">
      <c r="P681" s="53"/>
      <c r="Q681" s="53"/>
      <c r="W681" s="40"/>
    </row>
    <row r="682" spans="16:23" x14ac:dyDescent="0.2">
      <c r="P682" s="53"/>
      <c r="Q682" s="53"/>
      <c r="W682" s="40"/>
    </row>
    <row r="683" spans="16:23" x14ac:dyDescent="0.2">
      <c r="P683" s="53"/>
      <c r="Q683" s="53"/>
      <c r="W683" s="40"/>
    </row>
    <row r="684" spans="16:23" x14ac:dyDescent="0.2">
      <c r="P684" s="53"/>
      <c r="Q684" s="53"/>
      <c r="W684" s="40"/>
    </row>
    <row r="685" spans="16:23" x14ac:dyDescent="0.2">
      <c r="P685" s="53"/>
      <c r="Q685" s="53"/>
      <c r="W685" s="40"/>
    </row>
    <row r="686" spans="16:23" x14ac:dyDescent="0.2">
      <c r="P686" s="53"/>
      <c r="Q686" s="53"/>
      <c r="W686" s="40"/>
    </row>
    <row r="687" spans="16:23" x14ac:dyDescent="0.2">
      <c r="P687" s="53"/>
      <c r="Q687" s="53"/>
      <c r="W687" s="40"/>
    </row>
    <row r="688" spans="16:23" x14ac:dyDescent="0.2">
      <c r="P688" s="53"/>
      <c r="Q688" s="53"/>
      <c r="W688" s="40"/>
    </row>
    <row r="689" spans="16:23" x14ac:dyDescent="0.2">
      <c r="P689" s="53"/>
      <c r="Q689" s="53"/>
      <c r="W689" s="40"/>
    </row>
    <row r="690" spans="16:23" x14ac:dyDescent="0.2">
      <c r="P690" s="53"/>
      <c r="Q690" s="53"/>
      <c r="W690" s="40"/>
    </row>
    <row r="691" spans="16:23" x14ac:dyDescent="0.2">
      <c r="P691" s="53"/>
      <c r="Q691" s="53"/>
      <c r="W691" s="40"/>
    </row>
    <row r="692" spans="16:23" x14ac:dyDescent="0.2">
      <c r="P692" s="53"/>
      <c r="Q692" s="53"/>
      <c r="W692" s="40"/>
    </row>
    <row r="693" spans="16:23" x14ac:dyDescent="0.2">
      <c r="P693" s="53"/>
      <c r="Q693" s="53"/>
      <c r="W693" s="40"/>
    </row>
    <row r="694" spans="16:23" x14ac:dyDescent="0.2">
      <c r="P694" s="53"/>
      <c r="Q694" s="53"/>
      <c r="W694" s="40"/>
    </row>
    <row r="695" spans="16:23" x14ac:dyDescent="0.2">
      <c r="P695" s="53"/>
      <c r="Q695" s="53"/>
      <c r="W695" s="40"/>
    </row>
    <row r="696" spans="16:23" x14ac:dyDescent="0.2">
      <c r="P696" s="53"/>
      <c r="Q696" s="53"/>
      <c r="W696" s="40"/>
    </row>
    <row r="697" spans="16:23" x14ac:dyDescent="0.2">
      <c r="P697" s="53"/>
      <c r="Q697" s="53"/>
      <c r="W697" s="40"/>
    </row>
    <row r="698" spans="16:23" x14ac:dyDescent="0.2">
      <c r="P698" s="53"/>
      <c r="Q698" s="53"/>
      <c r="W698" s="40"/>
    </row>
    <row r="699" spans="16:23" x14ac:dyDescent="0.2">
      <c r="P699" s="53"/>
      <c r="Q699" s="53"/>
      <c r="W699" s="40"/>
    </row>
    <row r="700" spans="16:23" x14ac:dyDescent="0.2">
      <c r="P700" s="53"/>
      <c r="Q700" s="53"/>
      <c r="W700" s="40"/>
    </row>
    <row r="701" spans="16:23" x14ac:dyDescent="0.2">
      <c r="P701" s="53"/>
      <c r="Q701" s="53"/>
      <c r="W701" s="40"/>
    </row>
    <row r="702" spans="16:23" x14ac:dyDescent="0.2">
      <c r="P702" s="53"/>
      <c r="Q702" s="53"/>
      <c r="W702" s="40"/>
    </row>
    <row r="703" spans="16:23" x14ac:dyDescent="0.2">
      <c r="P703" s="53"/>
      <c r="Q703" s="53"/>
      <c r="W703" s="40"/>
    </row>
    <row r="704" spans="16:23" x14ac:dyDescent="0.2">
      <c r="P704" s="53"/>
      <c r="Q704" s="53"/>
      <c r="W704" s="40"/>
    </row>
    <row r="705" spans="16:23" x14ac:dyDescent="0.2">
      <c r="P705" s="53"/>
      <c r="Q705" s="53"/>
      <c r="W705" s="40"/>
    </row>
    <row r="706" spans="16:23" x14ac:dyDescent="0.2">
      <c r="P706" s="53"/>
      <c r="Q706" s="53"/>
      <c r="W706" s="40"/>
    </row>
    <row r="707" spans="16:23" x14ac:dyDescent="0.2">
      <c r="P707" s="53"/>
      <c r="Q707" s="53"/>
      <c r="W707" s="40"/>
    </row>
    <row r="708" spans="16:23" x14ac:dyDescent="0.2">
      <c r="P708" s="53"/>
      <c r="Q708" s="53"/>
      <c r="W708" s="40"/>
    </row>
    <row r="709" spans="16:23" x14ac:dyDescent="0.2">
      <c r="P709" s="53"/>
      <c r="Q709" s="53"/>
      <c r="W709" s="40"/>
    </row>
    <row r="710" spans="16:23" x14ac:dyDescent="0.2">
      <c r="P710" s="53"/>
      <c r="Q710" s="53"/>
      <c r="W710" s="40"/>
    </row>
    <row r="711" spans="16:23" x14ac:dyDescent="0.2">
      <c r="P711" s="53"/>
      <c r="Q711" s="53"/>
      <c r="W711" s="40"/>
    </row>
    <row r="712" spans="16:23" x14ac:dyDescent="0.2">
      <c r="P712" s="53"/>
      <c r="Q712" s="53"/>
      <c r="W712" s="40"/>
    </row>
    <row r="713" spans="16:23" x14ac:dyDescent="0.2">
      <c r="P713" s="53"/>
      <c r="Q713" s="53"/>
      <c r="W713" s="40"/>
    </row>
    <row r="714" spans="16:23" x14ac:dyDescent="0.2">
      <c r="P714" s="53"/>
      <c r="Q714" s="53"/>
      <c r="W714" s="40"/>
    </row>
    <row r="715" spans="16:23" x14ac:dyDescent="0.2">
      <c r="P715" s="53"/>
      <c r="Q715" s="53"/>
      <c r="W715" s="40"/>
    </row>
    <row r="716" spans="16:23" x14ac:dyDescent="0.2">
      <c r="P716" s="53"/>
      <c r="Q716" s="53"/>
      <c r="W716" s="40"/>
    </row>
    <row r="717" spans="16:23" x14ac:dyDescent="0.2">
      <c r="P717" s="53"/>
      <c r="Q717" s="53"/>
      <c r="W717" s="40"/>
    </row>
    <row r="718" spans="16:23" x14ac:dyDescent="0.2">
      <c r="P718" s="53"/>
      <c r="Q718" s="53"/>
      <c r="W718" s="40"/>
    </row>
    <row r="719" spans="16:23" x14ac:dyDescent="0.2">
      <c r="P719" s="53"/>
      <c r="Q719" s="53"/>
      <c r="W719" s="40"/>
    </row>
    <row r="720" spans="16:23" x14ac:dyDescent="0.2">
      <c r="P720" s="53"/>
      <c r="Q720" s="53"/>
      <c r="W720" s="40"/>
    </row>
    <row r="721" spans="16:23" x14ac:dyDescent="0.2">
      <c r="P721" s="53"/>
      <c r="Q721" s="53"/>
      <c r="W721" s="40"/>
    </row>
    <row r="722" spans="16:23" x14ac:dyDescent="0.2">
      <c r="P722" s="53"/>
      <c r="Q722" s="53"/>
      <c r="W722" s="40"/>
    </row>
    <row r="723" spans="16:23" x14ac:dyDescent="0.2">
      <c r="P723" s="53"/>
      <c r="Q723" s="53"/>
      <c r="W723" s="40"/>
    </row>
    <row r="724" spans="16:23" x14ac:dyDescent="0.2">
      <c r="P724" s="53"/>
      <c r="Q724" s="53"/>
      <c r="W724" s="40"/>
    </row>
    <row r="725" spans="16:23" x14ac:dyDescent="0.2">
      <c r="P725" s="53"/>
      <c r="Q725" s="53"/>
      <c r="W725" s="40"/>
    </row>
    <row r="726" spans="16:23" x14ac:dyDescent="0.2">
      <c r="P726" s="53"/>
      <c r="Q726" s="53"/>
      <c r="W726" s="40"/>
    </row>
    <row r="727" spans="16:23" x14ac:dyDescent="0.2">
      <c r="P727" s="53"/>
      <c r="Q727" s="53"/>
      <c r="W727" s="40"/>
    </row>
    <row r="728" spans="16:23" x14ac:dyDescent="0.2">
      <c r="P728" s="53"/>
      <c r="Q728" s="53"/>
      <c r="W728" s="40"/>
    </row>
    <row r="729" spans="16:23" x14ac:dyDescent="0.2">
      <c r="P729" s="53"/>
      <c r="Q729" s="53"/>
      <c r="W729" s="40"/>
    </row>
    <row r="730" spans="16:23" x14ac:dyDescent="0.2">
      <c r="P730" s="53"/>
      <c r="Q730" s="53"/>
      <c r="W730" s="40"/>
    </row>
    <row r="731" spans="16:23" x14ac:dyDescent="0.2">
      <c r="P731" s="53"/>
      <c r="Q731" s="53"/>
      <c r="W731" s="40"/>
    </row>
    <row r="732" spans="16:23" x14ac:dyDescent="0.2">
      <c r="P732" s="53"/>
      <c r="Q732" s="53"/>
      <c r="W732" s="40"/>
    </row>
    <row r="733" spans="16:23" x14ac:dyDescent="0.2">
      <c r="P733" s="53"/>
      <c r="Q733" s="53"/>
      <c r="W733" s="40"/>
    </row>
    <row r="734" spans="16:23" x14ac:dyDescent="0.2">
      <c r="P734" s="53"/>
      <c r="Q734" s="53"/>
      <c r="W734" s="40"/>
    </row>
    <row r="735" spans="16:23" x14ac:dyDescent="0.2">
      <c r="P735" s="53"/>
      <c r="Q735" s="53"/>
      <c r="W735" s="40"/>
    </row>
    <row r="736" spans="16:23" x14ac:dyDescent="0.2">
      <c r="P736" s="53"/>
      <c r="Q736" s="53"/>
      <c r="W736" s="40"/>
    </row>
    <row r="737" spans="16:23" x14ac:dyDescent="0.2">
      <c r="P737" s="53"/>
      <c r="Q737" s="53"/>
      <c r="W737" s="40"/>
    </row>
    <row r="738" spans="16:23" x14ac:dyDescent="0.2">
      <c r="P738" s="53"/>
      <c r="Q738" s="53"/>
      <c r="W738" s="40"/>
    </row>
    <row r="739" spans="16:23" x14ac:dyDescent="0.2">
      <c r="P739" s="53"/>
      <c r="Q739" s="53"/>
      <c r="W739" s="40"/>
    </row>
    <row r="740" spans="16:23" x14ac:dyDescent="0.2">
      <c r="P740" s="53"/>
      <c r="Q740" s="53"/>
      <c r="W740" s="40"/>
    </row>
    <row r="741" spans="16:23" x14ac:dyDescent="0.2">
      <c r="P741" s="53"/>
      <c r="Q741" s="53"/>
      <c r="W741" s="40"/>
    </row>
    <row r="742" spans="16:23" x14ac:dyDescent="0.2">
      <c r="P742" s="53"/>
      <c r="Q742" s="53"/>
      <c r="W742" s="40"/>
    </row>
    <row r="743" spans="16:23" x14ac:dyDescent="0.2">
      <c r="P743" s="53"/>
      <c r="Q743" s="53"/>
      <c r="W743" s="40"/>
    </row>
    <row r="744" spans="16:23" x14ac:dyDescent="0.2">
      <c r="P744" s="53"/>
      <c r="Q744" s="53"/>
      <c r="W744" s="40"/>
    </row>
    <row r="745" spans="16:23" x14ac:dyDescent="0.2">
      <c r="P745" s="53"/>
      <c r="Q745" s="53"/>
      <c r="W745" s="40"/>
    </row>
    <row r="746" spans="16:23" x14ac:dyDescent="0.2">
      <c r="P746" s="53"/>
      <c r="Q746" s="53"/>
      <c r="W746" s="40"/>
    </row>
    <row r="747" spans="16:23" x14ac:dyDescent="0.2">
      <c r="P747" s="53"/>
      <c r="Q747" s="53"/>
      <c r="W747" s="40"/>
    </row>
    <row r="748" spans="16:23" x14ac:dyDescent="0.2">
      <c r="P748" s="53"/>
      <c r="Q748" s="53"/>
      <c r="W748" s="40"/>
    </row>
    <row r="749" spans="16:23" x14ac:dyDescent="0.2">
      <c r="P749" s="53"/>
      <c r="Q749" s="53"/>
      <c r="W749" s="40"/>
    </row>
    <row r="750" spans="16:23" x14ac:dyDescent="0.2">
      <c r="P750" s="53"/>
      <c r="Q750" s="53"/>
      <c r="W750" s="40"/>
    </row>
    <row r="751" spans="16:23" x14ac:dyDescent="0.2">
      <c r="P751" s="53"/>
      <c r="Q751" s="53"/>
      <c r="W751" s="40"/>
    </row>
    <row r="752" spans="16:23" x14ac:dyDescent="0.2">
      <c r="P752" s="53"/>
      <c r="Q752" s="53"/>
      <c r="W752" s="40"/>
    </row>
    <row r="753" spans="16:23" x14ac:dyDescent="0.2">
      <c r="P753" s="53"/>
      <c r="Q753" s="53"/>
      <c r="W753" s="40"/>
    </row>
    <row r="754" spans="16:23" x14ac:dyDescent="0.2">
      <c r="P754" s="53"/>
      <c r="Q754" s="53"/>
      <c r="W754" s="40"/>
    </row>
    <row r="755" spans="16:23" x14ac:dyDescent="0.2">
      <c r="P755" s="53"/>
      <c r="Q755" s="53"/>
      <c r="W755" s="40"/>
    </row>
    <row r="756" spans="16:23" x14ac:dyDescent="0.2">
      <c r="P756" s="53"/>
      <c r="Q756" s="53"/>
      <c r="W756" s="40"/>
    </row>
    <row r="757" spans="16:23" x14ac:dyDescent="0.2">
      <c r="P757" s="53"/>
      <c r="Q757" s="53"/>
      <c r="W757" s="40"/>
    </row>
    <row r="758" spans="16:23" x14ac:dyDescent="0.2">
      <c r="P758" s="53"/>
      <c r="Q758" s="53"/>
      <c r="W758" s="40"/>
    </row>
    <row r="759" spans="16:23" x14ac:dyDescent="0.2">
      <c r="P759" s="53"/>
      <c r="Q759" s="53"/>
      <c r="W759" s="40"/>
    </row>
    <row r="760" spans="16:23" x14ac:dyDescent="0.2">
      <c r="P760" s="53"/>
      <c r="Q760" s="53"/>
      <c r="W760" s="40"/>
    </row>
    <row r="761" spans="16:23" x14ac:dyDescent="0.2">
      <c r="P761" s="53"/>
      <c r="Q761" s="53"/>
      <c r="W761" s="40"/>
    </row>
    <row r="762" spans="16:23" x14ac:dyDescent="0.2">
      <c r="P762" s="53"/>
      <c r="Q762" s="53"/>
      <c r="W762" s="40"/>
    </row>
    <row r="763" spans="16:23" x14ac:dyDescent="0.2">
      <c r="P763" s="53"/>
      <c r="Q763" s="53"/>
      <c r="W763" s="40"/>
    </row>
    <row r="764" spans="16:23" x14ac:dyDescent="0.2">
      <c r="P764" s="53"/>
      <c r="Q764" s="53"/>
      <c r="W764" s="40"/>
    </row>
    <row r="765" spans="16:23" x14ac:dyDescent="0.2">
      <c r="P765" s="53"/>
      <c r="Q765" s="53"/>
      <c r="W765" s="40"/>
    </row>
    <row r="766" spans="16:23" x14ac:dyDescent="0.2">
      <c r="P766" s="53"/>
      <c r="Q766" s="53"/>
      <c r="W766" s="40"/>
    </row>
    <row r="767" spans="16:23" x14ac:dyDescent="0.2">
      <c r="P767" s="53"/>
      <c r="Q767" s="53"/>
      <c r="W767" s="40"/>
    </row>
    <row r="768" spans="16:23" x14ac:dyDescent="0.2">
      <c r="P768" s="53"/>
      <c r="Q768" s="53"/>
      <c r="W768" s="40"/>
    </row>
    <row r="769" spans="16:23" x14ac:dyDescent="0.2">
      <c r="P769" s="53"/>
      <c r="Q769" s="53"/>
      <c r="W769" s="40"/>
    </row>
    <row r="770" spans="16:23" x14ac:dyDescent="0.2">
      <c r="P770" s="53"/>
      <c r="Q770" s="53"/>
      <c r="W770" s="40"/>
    </row>
    <row r="771" spans="16:23" x14ac:dyDescent="0.2">
      <c r="P771" s="53"/>
      <c r="Q771" s="53"/>
      <c r="W771" s="40"/>
    </row>
    <row r="772" spans="16:23" x14ac:dyDescent="0.2">
      <c r="P772" s="53"/>
      <c r="Q772" s="53"/>
      <c r="W772" s="40"/>
    </row>
    <row r="773" spans="16:23" x14ac:dyDescent="0.2">
      <c r="P773" s="53"/>
      <c r="Q773" s="53"/>
      <c r="W773" s="40"/>
    </row>
    <row r="774" spans="16:23" x14ac:dyDescent="0.2">
      <c r="P774" s="53"/>
      <c r="Q774" s="53"/>
      <c r="W774" s="40"/>
    </row>
    <row r="775" spans="16:23" x14ac:dyDescent="0.2">
      <c r="P775" s="53"/>
      <c r="Q775" s="53"/>
      <c r="W775" s="40"/>
    </row>
    <row r="776" spans="16:23" x14ac:dyDescent="0.2">
      <c r="P776" s="53"/>
      <c r="Q776" s="53"/>
      <c r="W776" s="40"/>
    </row>
    <row r="777" spans="16:23" x14ac:dyDescent="0.2">
      <c r="P777" s="53"/>
      <c r="Q777" s="53"/>
      <c r="W777" s="40"/>
    </row>
    <row r="778" spans="16:23" x14ac:dyDescent="0.2">
      <c r="P778" s="53"/>
      <c r="Q778" s="53"/>
      <c r="W778" s="40"/>
    </row>
    <row r="779" spans="16:23" x14ac:dyDescent="0.2">
      <c r="P779" s="53"/>
      <c r="Q779" s="53"/>
      <c r="W779" s="40"/>
    </row>
    <row r="780" spans="16:23" x14ac:dyDescent="0.2">
      <c r="P780" s="53"/>
      <c r="Q780" s="53"/>
      <c r="W780" s="40"/>
    </row>
    <row r="781" spans="16:23" x14ac:dyDescent="0.2">
      <c r="P781" s="53"/>
      <c r="Q781" s="53"/>
      <c r="W781" s="40"/>
    </row>
    <row r="782" spans="16:23" x14ac:dyDescent="0.2">
      <c r="P782" s="53"/>
      <c r="Q782" s="53"/>
      <c r="W782" s="40"/>
    </row>
    <row r="783" spans="16:23" x14ac:dyDescent="0.2">
      <c r="P783" s="53"/>
      <c r="Q783" s="53"/>
      <c r="W783" s="40"/>
    </row>
    <row r="784" spans="16:23" x14ac:dyDescent="0.2">
      <c r="P784" s="53"/>
      <c r="Q784" s="53"/>
      <c r="W784" s="40"/>
    </row>
    <row r="785" spans="16:23" x14ac:dyDescent="0.2">
      <c r="P785" s="53"/>
      <c r="Q785" s="53"/>
      <c r="W785" s="40"/>
    </row>
    <row r="786" spans="16:23" x14ac:dyDescent="0.2">
      <c r="P786" s="53"/>
      <c r="Q786" s="53"/>
      <c r="W786" s="40"/>
    </row>
    <row r="787" spans="16:23" x14ac:dyDescent="0.2">
      <c r="P787" s="53"/>
      <c r="Q787" s="53"/>
      <c r="W787" s="40"/>
    </row>
    <row r="788" spans="16:23" x14ac:dyDescent="0.2">
      <c r="P788" s="53"/>
      <c r="Q788" s="53"/>
      <c r="W788" s="40"/>
    </row>
    <row r="789" spans="16:23" x14ac:dyDescent="0.2">
      <c r="P789" s="53"/>
      <c r="Q789" s="53"/>
      <c r="W789" s="40"/>
    </row>
    <row r="790" spans="16:23" x14ac:dyDescent="0.2">
      <c r="P790" s="53"/>
      <c r="Q790" s="53"/>
      <c r="W790" s="40"/>
    </row>
    <row r="791" spans="16:23" x14ac:dyDescent="0.2">
      <c r="P791" s="53"/>
      <c r="Q791" s="53"/>
      <c r="W791" s="40"/>
    </row>
    <row r="792" spans="16:23" x14ac:dyDescent="0.2">
      <c r="P792" s="53"/>
      <c r="Q792" s="53"/>
      <c r="W792" s="40"/>
    </row>
    <row r="793" spans="16:23" x14ac:dyDescent="0.2">
      <c r="P793" s="53"/>
      <c r="Q793" s="53"/>
      <c r="W793" s="40"/>
    </row>
    <row r="794" spans="16:23" x14ac:dyDescent="0.2">
      <c r="P794" s="53"/>
      <c r="Q794" s="53"/>
      <c r="W794" s="40"/>
    </row>
    <row r="795" spans="16:23" x14ac:dyDescent="0.2">
      <c r="P795" s="53"/>
      <c r="Q795" s="53"/>
      <c r="W795" s="40"/>
    </row>
    <row r="796" spans="16:23" x14ac:dyDescent="0.2">
      <c r="P796" s="53"/>
      <c r="Q796" s="53"/>
      <c r="W796" s="40"/>
    </row>
    <row r="797" spans="16:23" x14ac:dyDescent="0.2">
      <c r="P797" s="53"/>
      <c r="Q797" s="53"/>
      <c r="W797" s="40"/>
    </row>
    <row r="798" spans="16:23" x14ac:dyDescent="0.2">
      <c r="P798" s="53"/>
      <c r="Q798" s="53"/>
      <c r="W798" s="40"/>
    </row>
    <row r="799" spans="16:23" x14ac:dyDescent="0.2">
      <c r="P799" s="53"/>
      <c r="Q799" s="53"/>
      <c r="W799" s="40"/>
    </row>
    <row r="800" spans="16:23" x14ac:dyDescent="0.2">
      <c r="P800" s="53"/>
      <c r="Q800" s="53"/>
      <c r="W800" s="40"/>
    </row>
    <row r="801" spans="16:23" x14ac:dyDescent="0.2">
      <c r="P801" s="53"/>
      <c r="Q801" s="53"/>
      <c r="W801" s="40"/>
    </row>
    <row r="802" spans="16:23" x14ac:dyDescent="0.2">
      <c r="P802" s="53"/>
      <c r="Q802" s="53"/>
      <c r="W802" s="40"/>
    </row>
    <row r="803" spans="16:23" x14ac:dyDescent="0.2">
      <c r="P803" s="53"/>
      <c r="Q803" s="53"/>
      <c r="W803" s="40"/>
    </row>
    <row r="804" spans="16:23" x14ac:dyDescent="0.2">
      <c r="P804" s="53"/>
      <c r="Q804" s="53"/>
      <c r="W804" s="40"/>
    </row>
    <row r="805" spans="16:23" x14ac:dyDescent="0.2">
      <c r="P805" s="53"/>
      <c r="Q805" s="53"/>
      <c r="W805" s="40"/>
    </row>
    <row r="806" spans="16:23" x14ac:dyDescent="0.2">
      <c r="P806" s="53"/>
      <c r="Q806" s="53"/>
      <c r="W806" s="40"/>
    </row>
    <row r="807" spans="16:23" x14ac:dyDescent="0.2">
      <c r="P807" s="53"/>
      <c r="Q807" s="53"/>
      <c r="W807" s="40"/>
    </row>
    <row r="808" spans="16:23" x14ac:dyDescent="0.2">
      <c r="P808" s="53"/>
      <c r="Q808" s="53"/>
      <c r="W808" s="40"/>
    </row>
    <row r="809" spans="16:23" x14ac:dyDescent="0.2">
      <c r="P809" s="53"/>
      <c r="Q809" s="53"/>
      <c r="W809" s="40"/>
    </row>
    <row r="810" spans="16:23" x14ac:dyDescent="0.2">
      <c r="P810" s="53"/>
      <c r="Q810" s="53"/>
      <c r="W810" s="40"/>
    </row>
    <row r="811" spans="16:23" x14ac:dyDescent="0.2">
      <c r="P811" s="53"/>
      <c r="Q811" s="53"/>
      <c r="W811" s="40"/>
    </row>
    <row r="812" spans="16:23" x14ac:dyDescent="0.2">
      <c r="P812" s="53"/>
      <c r="Q812" s="53"/>
      <c r="W812" s="40"/>
    </row>
    <row r="813" spans="16:23" x14ac:dyDescent="0.2">
      <c r="P813" s="53"/>
      <c r="Q813" s="53"/>
      <c r="W813" s="40"/>
    </row>
    <row r="814" spans="16:23" x14ac:dyDescent="0.2">
      <c r="P814" s="53"/>
      <c r="Q814" s="53"/>
      <c r="W814" s="40"/>
    </row>
    <row r="815" spans="16:23" x14ac:dyDescent="0.2">
      <c r="P815" s="53"/>
      <c r="Q815" s="53"/>
      <c r="W815" s="40"/>
    </row>
    <row r="816" spans="16:23" x14ac:dyDescent="0.2">
      <c r="P816" s="53"/>
      <c r="Q816" s="53"/>
      <c r="W816" s="40"/>
    </row>
    <row r="817" spans="16:23" x14ac:dyDescent="0.2">
      <c r="P817" s="53"/>
      <c r="Q817" s="53"/>
      <c r="W817" s="40"/>
    </row>
    <row r="818" spans="16:23" x14ac:dyDescent="0.2">
      <c r="P818" s="53"/>
      <c r="Q818" s="53"/>
      <c r="W818" s="40"/>
    </row>
    <row r="819" spans="16:23" x14ac:dyDescent="0.2">
      <c r="P819" s="53"/>
      <c r="Q819" s="53"/>
      <c r="W819" s="40"/>
    </row>
    <row r="820" spans="16:23" x14ac:dyDescent="0.2">
      <c r="P820" s="53"/>
      <c r="Q820" s="53"/>
      <c r="W820" s="40"/>
    </row>
    <row r="821" spans="16:23" x14ac:dyDescent="0.2">
      <c r="P821" s="53"/>
      <c r="Q821" s="53"/>
      <c r="W821" s="40"/>
    </row>
    <row r="822" spans="16:23" x14ac:dyDescent="0.2">
      <c r="P822" s="53"/>
      <c r="Q822" s="53"/>
      <c r="W822" s="40"/>
    </row>
    <row r="823" spans="16:23" x14ac:dyDescent="0.2">
      <c r="P823" s="53"/>
      <c r="Q823" s="53"/>
      <c r="W823" s="40"/>
    </row>
    <row r="824" spans="16:23" x14ac:dyDescent="0.2">
      <c r="P824" s="53"/>
      <c r="Q824" s="53"/>
      <c r="W824" s="40"/>
    </row>
    <row r="825" spans="16:23" x14ac:dyDescent="0.2">
      <c r="P825" s="53"/>
      <c r="Q825" s="53"/>
      <c r="W825" s="40"/>
    </row>
    <row r="826" spans="16:23" x14ac:dyDescent="0.2">
      <c r="P826" s="53"/>
      <c r="Q826" s="53"/>
      <c r="W826" s="40"/>
    </row>
    <row r="827" spans="16:23" x14ac:dyDescent="0.2">
      <c r="P827" s="53"/>
      <c r="Q827" s="53"/>
      <c r="W827" s="40"/>
    </row>
    <row r="828" spans="16:23" x14ac:dyDescent="0.2">
      <c r="P828" s="53"/>
      <c r="Q828" s="53"/>
      <c r="W828" s="40"/>
    </row>
    <row r="829" spans="16:23" x14ac:dyDescent="0.2">
      <c r="P829" s="53"/>
      <c r="Q829" s="53"/>
      <c r="W829" s="40"/>
    </row>
    <row r="830" spans="16:23" x14ac:dyDescent="0.2">
      <c r="P830" s="53"/>
      <c r="Q830" s="53"/>
      <c r="W830" s="40"/>
    </row>
    <row r="831" spans="16:23" x14ac:dyDescent="0.2">
      <c r="P831" s="53"/>
      <c r="Q831" s="53"/>
      <c r="W831" s="40"/>
    </row>
    <row r="832" spans="16:23" x14ac:dyDescent="0.2">
      <c r="P832" s="53"/>
      <c r="Q832" s="53"/>
      <c r="W832" s="40"/>
    </row>
    <row r="833" spans="16:23" x14ac:dyDescent="0.2">
      <c r="P833" s="53"/>
      <c r="Q833" s="53"/>
      <c r="W833" s="40"/>
    </row>
    <row r="834" spans="16:23" x14ac:dyDescent="0.2">
      <c r="P834" s="53"/>
      <c r="Q834" s="53"/>
      <c r="W834" s="40"/>
    </row>
    <row r="835" spans="16:23" x14ac:dyDescent="0.2">
      <c r="P835" s="53"/>
      <c r="Q835" s="53"/>
      <c r="W835" s="40"/>
    </row>
    <row r="836" spans="16:23" x14ac:dyDescent="0.2">
      <c r="P836" s="53"/>
      <c r="Q836" s="53"/>
      <c r="W836" s="40"/>
    </row>
    <row r="837" spans="16:23" x14ac:dyDescent="0.2">
      <c r="P837" s="53"/>
      <c r="Q837" s="53"/>
      <c r="W837" s="40"/>
    </row>
    <row r="838" spans="16:23" x14ac:dyDescent="0.2">
      <c r="P838" s="53"/>
      <c r="Q838" s="53"/>
      <c r="W838" s="40"/>
    </row>
    <row r="839" spans="16:23" x14ac:dyDescent="0.2">
      <c r="P839" s="53"/>
      <c r="Q839" s="53"/>
      <c r="W839" s="40"/>
    </row>
    <row r="840" spans="16:23" x14ac:dyDescent="0.2">
      <c r="P840" s="53"/>
      <c r="Q840" s="53"/>
      <c r="W840" s="40"/>
    </row>
    <row r="841" spans="16:23" x14ac:dyDescent="0.2">
      <c r="P841" s="53"/>
      <c r="Q841" s="53"/>
      <c r="W841" s="40"/>
    </row>
    <row r="842" spans="16:23" x14ac:dyDescent="0.2">
      <c r="P842" s="53"/>
      <c r="Q842" s="53"/>
      <c r="W842" s="40"/>
    </row>
    <row r="843" spans="16:23" x14ac:dyDescent="0.2">
      <c r="P843" s="53"/>
      <c r="Q843" s="53"/>
      <c r="W843" s="40"/>
    </row>
    <row r="844" spans="16:23" x14ac:dyDescent="0.2">
      <c r="P844" s="53"/>
      <c r="Q844" s="53"/>
      <c r="W844" s="40"/>
    </row>
    <row r="845" spans="16:23" x14ac:dyDescent="0.2">
      <c r="P845" s="53"/>
      <c r="Q845" s="53"/>
      <c r="W845" s="40"/>
    </row>
    <row r="846" spans="16:23" x14ac:dyDescent="0.2">
      <c r="P846" s="53"/>
      <c r="Q846" s="53"/>
      <c r="W846" s="40"/>
    </row>
    <row r="847" spans="16:23" x14ac:dyDescent="0.2">
      <c r="P847" s="53"/>
      <c r="Q847" s="53"/>
      <c r="W847" s="40"/>
    </row>
    <row r="848" spans="16:23" x14ac:dyDescent="0.2">
      <c r="P848" s="53"/>
      <c r="Q848" s="53"/>
      <c r="W848" s="40"/>
    </row>
    <row r="849" spans="16:23" x14ac:dyDescent="0.2">
      <c r="P849" s="53"/>
      <c r="Q849" s="53"/>
      <c r="W849" s="40"/>
    </row>
    <row r="850" spans="16:23" x14ac:dyDescent="0.2">
      <c r="P850" s="53"/>
      <c r="Q850" s="53"/>
      <c r="W850" s="40"/>
    </row>
    <row r="851" spans="16:23" x14ac:dyDescent="0.2">
      <c r="P851" s="53"/>
      <c r="Q851" s="53"/>
      <c r="W851" s="40"/>
    </row>
    <row r="852" spans="16:23" x14ac:dyDescent="0.2">
      <c r="P852" s="53"/>
      <c r="Q852" s="53"/>
      <c r="W852" s="40"/>
    </row>
    <row r="853" spans="16:23" x14ac:dyDescent="0.2">
      <c r="P853" s="53"/>
      <c r="Q853" s="53"/>
      <c r="W853" s="40"/>
    </row>
    <row r="854" spans="16:23" x14ac:dyDescent="0.2">
      <c r="P854" s="53"/>
      <c r="Q854" s="53"/>
      <c r="W854" s="40"/>
    </row>
    <row r="855" spans="16:23" x14ac:dyDescent="0.2">
      <c r="P855" s="53"/>
      <c r="Q855" s="53"/>
      <c r="W855" s="40"/>
    </row>
    <row r="856" spans="16:23" x14ac:dyDescent="0.2">
      <c r="P856" s="53"/>
      <c r="Q856" s="53"/>
      <c r="W856" s="40"/>
    </row>
    <row r="857" spans="16:23" x14ac:dyDescent="0.2">
      <c r="P857" s="53"/>
      <c r="Q857" s="53"/>
      <c r="W857" s="40"/>
    </row>
    <row r="858" spans="16:23" x14ac:dyDescent="0.2">
      <c r="P858" s="53"/>
      <c r="Q858" s="53"/>
      <c r="W858" s="40"/>
    </row>
    <row r="859" spans="16:23" x14ac:dyDescent="0.2">
      <c r="P859" s="53"/>
      <c r="Q859" s="53"/>
      <c r="W859" s="40"/>
    </row>
    <row r="860" spans="16:23" x14ac:dyDescent="0.2">
      <c r="P860" s="53"/>
      <c r="Q860" s="53"/>
      <c r="W860" s="40"/>
    </row>
    <row r="861" spans="16:23" x14ac:dyDescent="0.2">
      <c r="P861" s="53"/>
      <c r="Q861" s="53"/>
      <c r="W861" s="40"/>
    </row>
    <row r="862" spans="16:23" x14ac:dyDescent="0.2">
      <c r="P862" s="53"/>
      <c r="Q862" s="53"/>
      <c r="W862" s="40"/>
    </row>
    <row r="863" spans="16:23" x14ac:dyDescent="0.2">
      <c r="P863" s="53"/>
      <c r="Q863" s="53"/>
      <c r="W863" s="40"/>
    </row>
    <row r="864" spans="16:23" x14ac:dyDescent="0.2">
      <c r="P864" s="53"/>
      <c r="Q864" s="53"/>
      <c r="W864" s="40"/>
    </row>
    <row r="865" spans="16:23" x14ac:dyDescent="0.2">
      <c r="P865" s="53"/>
      <c r="Q865" s="53"/>
      <c r="W865" s="40"/>
    </row>
    <row r="866" spans="16:23" x14ac:dyDescent="0.2">
      <c r="P866" s="53"/>
      <c r="Q866" s="53"/>
      <c r="W866" s="40"/>
    </row>
    <row r="867" spans="16:23" x14ac:dyDescent="0.2">
      <c r="P867" s="53"/>
      <c r="Q867" s="53"/>
      <c r="W867" s="40"/>
    </row>
    <row r="868" spans="16:23" x14ac:dyDescent="0.2">
      <c r="P868" s="53"/>
      <c r="Q868" s="53"/>
      <c r="W868" s="40"/>
    </row>
    <row r="869" spans="16:23" x14ac:dyDescent="0.2">
      <c r="P869" s="53"/>
      <c r="Q869" s="53"/>
      <c r="W869" s="40"/>
    </row>
    <row r="870" spans="16:23" x14ac:dyDescent="0.2">
      <c r="P870" s="53"/>
      <c r="Q870" s="53"/>
      <c r="W870" s="40"/>
    </row>
    <row r="871" spans="16:23" x14ac:dyDescent="0.2">
      <c r="P871" s="53"/>
      <c r="Q871" s="53"/>
      <c r="W871" s="40"/>
    </row>
    <row r="872" spans="16:23" x14ac:dyDescent="0.2">
      <c r="P872" s="53"/>
      <c r="Q872" s="53"/>
      <c r="W872" s="40"/>
    </row>
    <row r="873" spans="16:23" x14ac:dyDescent="0.2">
      <c r="P873" s="53"/>
      <c r="Q873" s="53"/>
      <c r="W873" s="40"/>
    </row>
    <row r="874" spans="16:23" x14ac:dyDescent="0.2">
      <c r="P874" s="53"/>
      <c r="Q874" s="53"/>
      <c r="W874" s="40"/>
    </row>
    <row r="875" spans="16:23" x14ac:dyDescent="0.2">
      <c r="P875" s="53"/>
      <c r="Q875" s="53"/>
      <c r="W875" s="40"/>
    </row>
    <row r="876" spans="16:23" x14ac:dyDescent="0.2">
      <c r="P876" s="53"/>
      <c r="Q876" s="53"/>
      <c r="W876" s="40"/>
    </row>
    <row r="877" spans="16:23" x14ac:dyDescent="0.2">
      <c r="P877" s="53"/>
      <c r="Q877" s="53"/>
      <c r="W877" s="40"/>
    </row>
    <row r="878" spans="16:23" x14ac:dyDescent="0.2">
      <c r="P878" s="53"/>
      <c r="Q878" s="53"/>
      <c r="W878" s="40"/>
    </row>
    <row r="879" spans="16:23" x14ac:dyDescent="0.2">
      <c r="P879" s="53"/>
      <c r="Q879" s="53"/>
      <c r="W879" s="40"/>
    </row>
    <row r="880" spans="16:23" x14ac:dyDescent="0.2">
      <c r="P880" s="53"/>
      <c r="Q880" s="53"/>
      <c r="W880" s="40"/>
    </row>
    <row r="881" spans="16:23" x14ac:dyDescent="0.2">
      <c r="P881" s="53"/>
      <c r="Q881" s="53"/>
      <c r="W881" s="40"/>
    </row>
    <row r="882" spans="16:23" x14ac:dyDescent="0.2">
      <c r="P882" s="53"/>
      <c r="Q882" s="53"/>
      <c r="W882" s="40"/>
    </row>
    <row r="883" spans="16:23" x14ac:dyDescent="0.2">
      <c r="P883" s="53"/>
      <c r="Q883" s="53"/>
      <c r="W883" s="40"/>
    </row>
    <row r="884" spans="16:23" x14ac:dyDescent="0.2">
      <c r="P884" s="53"/>
      <c r="Q884" s="53"/>
      <c r="W884" s="40"/>
    </row>
    <row r="885" spans="16:23" x14ac:dyDescent="0.2">
      <c r="P885" s="53"/>
      <c r="Q885" s="53"/>
      <c r="W885" s="40"/>
    </row>
    <row r="886" spans="16:23" x14ac:dyDescent="0.2">
      <c r="P886" s="53"/>
      <c r="Q886" s="53"/>
      <c r="W886" s="40"/>
    </row>
    <row r="887" spans="16:23" x14ac:dyDescent="0.2">
      <c r="P887" s="53"/>
      <c r="Q887" s="53"/>
      <c r="W887" s="40"/>
    </row>
    <row r="888" spans="16:23" x14ac:dyDescent="0.2">
      <c r="P888" s="53"/>
      <c r="Q888" s="53"/>
      <c r="W888" s="40"/>
    </row>
    <row r="889" spans="16:23" x14ac:dyDescent="0.2">
      <c r="P889" s="53"/>
      <c r="Q889" s="53"/>
      <c r="W889" s="40"/>
    </row>
    <row r="890" spans="16:23" x14ac:dyDescent="0.2">
      <c r="P890" s="53"/>
      <c r="Q890" s="53"/>
      <c r="W890" s="40"/>
    </row>
    <row r="891" spans="16:23" x14ac:dyDescent="0.2">
      <c r="P891" s="53"/>
      <c r="Q891" s="53"/>
      <c r="W891" s="40"/>
    </row>
    <row r="892" spans="16:23" x14ac:dyDescent="0.2">
      <c r="P892" s="53"/>
      <c r="Q892" s="53"/>
      <c r="W892" s="40"/>
    </row>
    <row r="893" spans="16:23" x14ac:dyDescent="0.2">
      <c r="P893" s="53"/>
      <c r="Q893" s="53"/>
      <c r="W893" s="40"/>
    </row>
    <row r="894" spans="16:23" x14ac:dyDescent="0.2">
      <c r="P894" s="53"/>
      <c r="Q894" s="53"/>
      <c r="W894" s="40"/>
    </row>
    <row r="895" spans="16:23" x14ac:dyDescent="0.2">
      <c r="P895" s="53"/>
      <c r="Q895" s="53"/>
      <c r="W895" s="40"/>
    </row>
    <row r="896" spans="16:23" x14ac:dyDescent="0.2">
      <c r="P896" s="53"/>
      <c r="Q896" s="53"/>
      <c r="W896" s="40"/>
    </row>
    <row r="897" spans="16:23" x14ac:dyDescent="0.2">
      <c r="P897" s="53"/>
      <c r="Q897" s="53"/>
      <c r="W897" s="40"/>
    </row>
    <row r="898" spans="16:23" x14ac:dyDescent="0.2">
      <c r="P898" s="53"/>
      <c r="Q898" s="53"/>
      <c r="W898" s="40"/>
    </row>
    <row r="899" spans="16:23" x14ac:dyDescent="0.2">
      <c r="P899" s="53"/>
      <c r="Q899" s="53"/>
      <c r="W899" s="40"/>
    </row>
    <row r="900" spans="16:23" x14ac:dyDescent="0.2">
      <c r="P900" s="53"/>
      <c r="Q900" s="53"/>
      <c r="W900" s="40"/>
    </row>
    <row r="901" spans="16:23" x14ac:dyDescent="0.2">
      <c r="P901" s="53"/>
      <c r="Q901" s="53"/>
      <c r="W901" s="40"/>
    </row>
    <row r="902" spans="16:23" x14ac:dyDescent="0.2">
      <c r="P902" s="53"/>
      <c r="Q902" s="53"/>
      <c r="W902" s="40"/>
    </row>
    <row r="903" spans="16:23" x14ac:dyDescent="0.2">
      <c r="P903" s="53"/>
      <c r="Q903" s="53"/>
      <c r="W903" s="40"/>
    </row>
    <row r="904" spans="16:23" x14ac:dyDescent="0.2">
      <c r="P904" s="53"/>
      <c r="Q904" s="53"/>
      <c r="W904" s="40"/>
    </row>
    <row r="905" spans="16:23" x14ac:dyDescent="0.2">
      <c r="P905" s="53"/>
      <c r="Q905" s="53"/>
      <c r="W905" s="40"/>
    </row>
    <row r="906" spans="16:23" x14ac:dyDescent="0.2">
      <c r="P906" s="53"/>
      <c r="Q906" s="53"/>
      <c r="W906" s="40"/>
    </row>
    <row r="907" spans="16:23" x14ac:dyDescent="0.2">
      <c r="P907" s="53"/>
      <c r="Q907" s="53"/>
      <c r="W907" s="40"/>
    </row>
    <row r="908" spans="16:23" x14ac:dyDescent="0.2">
      <c r="P908" s="53"/>
      <c r="Q908" s="53"/>
      <c r="W908" s="40"/>
    </row>
    <row r="909" spans="16:23" x14ac:dyDescent="0.2">
      <c r="P909" s="53"/>
      <c r="Q909" s="53"/>
      <c r="W909" s="40"/>
    </row>
    <row r="910" spans="16:23" x14ac:dyDescent="0.2">
      <c r="P910" s="53"/>
      <c r="Q910" s="53"/>
      <c r="W910" s="40"/>
    </row>
    <row r="911" spans="16:23" x14ac:dyDescent="0.2">
      <c r="P911" s="53"/>
      <c r="Q911" s="53"/>
      <c r="W911" s="40"/>
    </row>
    <row r="912" spans="16:23" x14ac:dyDescent="0.2">
      <c r="P912" s="53"/>
      <c r="Q912" s="53"/>
      <c r="W912" s="40"/>
    </row>
    <row r="913" spans="16:23" x14ac:dyDescent="0.2">
      <c r="P913" s="53"/>
      <c r="Q913" s="53"/>
      <c r="W913" s="40"/>
    </row>
    <row r="914" spans="16:23" x14ac:dyDescent="0.2">
      <c r="P914" s="53"/>
      <c r="Q914" s="53"/>
      <c r="W914" s="40"/>
    </row>
    <row r="915" spans="16:23" x14ac:dyDescent="0.2">
      <c r="P915" s="53"/>
      <c r="Q915" s="53"/>
      <c r="W915" s="40"/>
    </row>
    <row r="916" spans="16:23" x14ac:dyDescent="0.2">
      <c r="P916" s="53"/>
      <c r="Q916" s="53"/>
      <c r="W916" s="40"/>
    </row>
    <row r="917" spans="16:23" x14ac:dyDescent="0.2">
      <c r="P917" s="53"/>
      <c r="Q917" s="53"/>
      <c r="W917" s="40"/>
    </row>
    <row r="918" spans="16:23" x14ac:dyDescent="0.2">
      <c r="P918" s="53"/>
      <c r="Q918" s="53"/>
      <c r="W918" s="40"/>
    </row>
    <row r="919" spans="16:23" x14ac:dyDescent="0.2">
      <c r="P919" s="53"/>
      <c r="Q919" s="53"/>
      <c r="W919" s="40"/>
    </row>
    <row r="920" spans="16:23" x14ac:dyDescent="0.2">
      <c r="P920" s="53"/>
      <c r="Q920" s="53"/>
      <c r="W920" s="40"/>
    </row>
    <row r="921" spans="16:23" x14ac:dyDescent="0.2">
      <c r="P921" s="53"/>
      <c r="Q921" s="53"/>
      <c r="W921" s="40"/>
    </row>
    <row r="922" spans="16:23" x14ac:dyDescent="0.2">
      <c r="P922" s="53"/>
      <c r="Q922" s="53"/>
      <c r="W922" s="40"/>
    </row>
    <row r="923" spans="16:23" x14ac:dyDescent="0.2">
      <c r="P923" s="53"/>
      <c r="Q923" s="53"/>
      <c r="W923" s="40"/>
    </row>
    <row r="924" spans="16:23" x14ac:dyDescent="0.2">
      <c r="P924" s="53"/>
      <c r="Q924" s="53"/>
      <c r="W924" s="40"/>
    </row>
    <row r="925" spans="16:23" x14ac:dyDescent="0.2">
      <c r="P925" s="53"/>
      <c r="Q925" s="53"/>
      <c r="W925" s="40"/>
    </row>
    <row r="926" spans="16:23" x14ac:dyDescent="0.2">
      <c r="P926" s="53"/>
      <c r="Q926" s="53"/>
      <c r="W926" s="40"/>
    </row>
    <row r="927" spans="16:23" x14ac:dyDescent="0.2">
      <c r="P927" s="53"/>
      <c r="Q927" s="53"/>
      <c r="W927" s="40"/>
    </row>
    <row r="928" spans="16:23" x14ac:dyDescent="0.2">
      <c r="P928" s="53"/>
      <c r="Q928" s="53"/>
      <c r="W928" s="40"/>
    </row>
    <row r="929" spans="16:23" x14ac:dyDescent="0.2">
      <c r="P929" s="53"/>
      <c r="Q929" s="53"/>
      <c r="W929" s="40"/>
    </row>
    <row r="930" spans="16:23" x14ac:dyDescent="0.2">
      <c r="P930" s="53"/>
      <c r="Q930" s="53"/>
      <c r="W930" s="40"/>
    </row>
    <row r="931" spans="16:23" x14ac:dyDescent="0.2">
      <c r="P931" s="53"/>
      <c r="Q931" s="53"/>
      <c r="W931" s="40"/>
    </row>
    <row r="932" spans="16:23" x14ac:dyDescent="0.2">
      <c r="P932" s="53"/>
      <c r="Q932" s="53"/>
      <c r="W932" s="40"/>
    </row>
    <row r="933" spans="16:23" x14ac:dyDescent="0.2">
      <c r="P933" s="53"/>
      <c r="Q933" s="53"/>
      <c r="W933" s="40"/>
    </row>
    <row r="934" spans="16:23" x14ac:dyDescent="0.2">
      <c r="P934" s="53"/>
      <c r="Q934" s="53"/>
      <c r="W934" s="40"/>
    </row>
    <row r="935" spans="16:23" x14ac:dyDescent="0.2">
      <c r="P935" s="53"/>
      <c r="Q935" s="53"/>
      <c r="W935" s="40"/>
    </row>
    <row r="936" spans="16:23" x14ac:dyDescent="0.2">
      <c r="P936" s="53"/>
      <c r="Q936" s="53"/>
      <c r="W936" s="40"/>
    </row>
    <row r="937" spans="16:23" x14ac:dyDescent="0.2">
      <c r="P937" s="53"/>
      <c r="Q937" s="53"/>
      <c r="W937" s="40"/>
    </row>
    <row r="938" spans="16:23" x14ac:dyDescent="0.2">
      <c r="P938" s="53"/>
      <c r="Q938" s="53"/>
      <c r="W938" s="40"/>
    </row>
    <row r="939" spans="16:23" x14ac:dyDescent="0.2">
      <c r="P939" s="53"/>
      <c r="Q939" s="53"/>
      <c r="W939" s="40"/>
    </row>
    <row r="940" spans="16:23" x14ac:dyDescent="0.2">
      <c r="P940" s="53"/>
      <c r="Q940" s="53"/>
      <c r="W940" s="40"/>
    </row>
    <row r="941" spans="16:23" x14ac:dyDescent="0.2">
      <c r="P941" s="53"/>
      <c r="Q941" s="53"/>
      <c r="W941" s="40"/>
    </row>
    <row r="942" spans="16:23" x14ac:dyDescent="0.2">
      <c r="P942" s="53"/>
      <c r="Q942" s="53"/>
      <c r="W942" s="40"/>
    </row>
    <row r="943" spans="16:23" x14ac:dyDescent="0.2">
      <c r="P943" s="53"/>
      <c r="Q943" s="53"/>
      <c r="W943" s="40"/>
    </row>
    <row r="944" spans="16:23" x14ac:dyDescent="0.2">
      <c r="P944" s="53"/>
      <c r="Q944" s="53"/>
      <c r="W944" s="40"/>
    </row>
    <row r="945" spans="16:23" x14ac:dyDescent="0.2">
      <c r="P945" s="53"/>
      <c r="Q945" s="53"/>
      <c r="W945" s="40"/>
    </row>
    <row r="946" spans="16:23" x14ac:dyDescent="0.2">
      <c r="P946" s="53"/>
      <c r="Q946" s="53"/>
      <c r="W946" s="40"/>
    </row>
    <row r="947" spans="16:23" x14ac:dyDescent="0.2">
      <c r="P947" s="53"/>
      <c r="Q947" s="53"/>
      <c r="W947" s="40"/>
    </row>
    <row r="948" spans="16:23" x14ac:dyDescent="0.2">
      <c r="P948" s="53"/>
      <c r="Q948" s="53"/>
      <c r="W948" s="40"/>
    </row>
    <row r="949" spans="16:23" x14ac:dyDescent="0.2">
      <c r="P949" s="53"/>
      <c r="Q949" s="53"/>
      <c r="W949" s="40"/>
    </row>
    <row r="950" spans="16:23" x14ac:dyDescent="0.2">
      <c r="P950" s="53"/>
      <c r="Q950" s="53"/>
      <c r="W950" s="40"/>
    </row>
    <row r="951" spans="16:23" x14ac:dyDescent="0.2">
      <c r="P951" s="53"/>
      <c r="Q951" s="53"/>
      <c r="W951" s="40"/>
    </row>
    <row r="952" spans="16:23" x14ac:dyDescent="0.2">
      <c r="P952" s="53"/>
      <c r="Q952" s="53"/>
      <c r="W952" s="40"/>
    </row>
    <row r="953" spans="16:23" x14ac:dyDescent="0.2">
      <c r="P953" s="53"/>
      <c r="Q953" s="53"/>
      <c r="W953" s="40"/>
    </row>
    <row r="954" spans="16:23" x14ac:dyDescent="0.2">
      <c r="P954" s="53"/>
      <c r="Q954" s="53"/>
      <c r="W954" s="40"/>
    </row>
    <row r="955" spans="16:23" x14ac:dyDescent="0.2">
      <c r="P955" s="53"/>
      <c r="Q955" s="53"/>
      <c r="W955" s="40"/>
    </row>
    <row r="956" spans="16:23" x14ac:dyDescent="0.2">
      <c r="P956" s="53"/>
      <c r="Q956" s="53"/>
      <c r="W956" s="40"/>
    </row>
    <row r="957" spans="16:23" x14ac:dyDescent="0.2">
      <c r="P957" s="53"/>
      <c r="Q957" s="53"/>
      <c r="W957" s="40"/>
    </row>
    <row r="958" spans="16:23" x14ac:dyDescent="0.2">
      <c r="P958" s="53"/>
      <c r="Q958" s="53"/>
      <c r="W958" s="40"/>
    </row>
    <row r="959" spans="16:23" x14ac:dyDescent="0.2">
      <c r="P959" s="53"/>
      <c r="Q959" s="53"/>
      <c r="W959" s="40"/>
    </row>
    <row r="960" spans="16:23" x14ac:dyDescent="0.2">
      <c r="P960" s="53"/>
      <c r="Q960" s="53"/>
      <c r="W960" s="40"/>
    </row>
    <row r="961" spans="16:23" x14ac:dyDescent="0.2">
      <c r="P961" s="53"/>
      <c r="Q961" s="53"/>
      <c r="W961" s="40"/>
    </row>
    <row r="962" spans="16:23" x14ac:dyDescent="0.2">
      <c r="P962" s="53"/>
      <c r="Q962" s="53"/>
      <c r="W962" s="40"/>
    </row>
    <row r="963" spans="16:23" x14ac:dyDescent="0.2">
      <c r="P963" s="53"/>
      <c r="Q963" s="53"/>
      <c r="W963" s="40"/>
    </row>
    <row r="964" spans="16:23" x14ac:dyDescent="0.2">
      <c r="P964" s="53"/>
      <c r="Q964" s="53"/>
      <c r="W964" s="40"/>
    </row>
    <row r="965" spans="16:23" x14ac:dyDescent="0.2">
      <c r="P965" s="53"/>
      <c r="Q965" s="53"/>
      <c r="W965" s="40"/>
    </row>
    <row r="966" spans="16:23" x14ac:dyDescent="0.2">
      <c r="P966" s="53"/>
      <c r="Q966" s="53"/>
      <c r="W966" s="40"/>
    </row>
    <row r="967" spans="16:23" x14ac:dyDescent="0.2">
      <c r="P967" s="53"/>
      <c r="Q967" s="53"/>
      <c r="W967" s="40"/>
    </row>
    <row r="968" spans="16:23" x14ac:dyDescent="0.2">
      <c r="P968" s="53"/>
      <c r="Q968" s="53"/>
      <c r="W968" s="40"/>
    </row>
    <row r="969" spans="16:23" x14ac:dyDescent="0.2">
      <c r="P969" s="53"/>
      <c r="Q969" s="53"/>
      <c r="W969" s="40"/>
    </row>
    <row r="970" spans="16:23" x14ac:dyDescent="0.2">
      <c r="P970" s="53"/>
      <c r="Q970" s="53"/>
      <c r="W970" s="40"/>
    </row>
    <row r="971" spans="16:23" x14ac:dyDescent="0.2">
      <c r="P971" s="53"/>
      <c r="Q971" s="53"/>
      <c r="W971" s="40"/>
    </row>
    <row r="972" spans="16:23" x14ac:dyDescent="0.2">
      <c r="P972" s="53"/>
      <c r="Q972" s="53"/>
      <c r="W972" s="40"/>
    </row>
    <row r="973" spans="16:23" x14ac:dyDescent="0.2">
      <c r="P973" s="53"/>
      <c r="Q973" s="53"/>
      <c r="W973" s="40"/>
    </row>
    <row r="974" spans="16:23" x14ac:dyDescent="0.2">
      <c r="P974" s="53"/>
      <c r="Q974" s="53"/>
      <c r="W974" s="40"/>
    </row>
    <row r="975" spans="16:23" x14ac:dyDescent="0.2">
      <c r="P975" s="53"/>
      <c r="Q975" s="53"/>
      <c r="W975" s="40"/>
    </row>
    <row r="976" spans="16:23" x14ac:dyDescent="0.2">
      <c r="P976" s="53"/>
      <c r="Q976" s="53"/>
      <c r="W976" s="40"/>
    </row>
    <row r="977" spans="16:23" x14ac:dyDescent="0.2">
      <c r="P977" s="53"/>
      <c r="Q977" s="53"/>
      <c r="W977" s="40"/>
    </row>
    <row r="978" spans="16:23" x14ac:dyDescent="0.2">
      <c r="P978" s="53"/>
      <c r="Q978" s="53"/>
      <c r="W978" s="40"/>
    </row>
    <row r="979" spans="16:23" x14ac:dyDescent="0.2">
      <c r="P979" s="53"/>
      <c r="Q979" s="53"/>
      <c r="W979" s="40"/>
    </row>
    <row r="980" spans="16:23" x14ac:dyDescent="0.2">
      <c r="P980" s="53"/>
      <c r="Q980" s="53"/>
      <c r="W980" s="40"/>
    </row>
    <row r="981" spans="16:23" x14ac:dyDescent="0.2">
      <c r="P981" s="53"/>
      <c r="Q981" s="53"/>
      <c r="W981" s="40"/>
    </row>
    <row r="982" spans="16:23" x14ac:dyDescent="0.2">
      <c r="P982" s="53"/>
      <c r="Q982" s="53"/>
      <c r="W982" s="40"/>
    </row>
    <row r="983" spans="16:23" x14ac:dyDescent="0.2">
      <c r="P983" s="53"/>
      <c r="Q983" s="53"/>
      <c r="W983" s="40"/>
    </row>
    <row r="984" spans="16:23" x14ac:dyDescent="0.2">
      <c r="P984" s="53"/>
      <c r="Q984" s="53"/>
      <c r="W984" s="40"/>
    </row>
    <row r="985" spans="16:23" x14ac:dyDescent="0.2">
      <c r="P985" s="53"/>
      <c r="Q985" s="53"/>
      <c r="W985" s="40"/>
    </row>
    <row r="986" spans="16:23" x14ac:dyDescent="0.2">
      <c r="P986" s="53"/>
      <c r="Q986" s="53"/>
      <c r="W986" s="40"/>
    </row>
    <row r="987" spans="16:23" x14ac:dyDescent="0.2">
      <c r="P987" s="53"/>
      <c r="Q987" s="53"/>
      <c r="W987" s="40"/>
    </row>
    <row r="988" spans="16:23" x14ac:dyDescent="0.2">
      <c r="P988" s="53"/>
      <c r="Q988" s="53"/>
      <c r="W988" s="40"/>
    </row>
    <row r="989" spans="16:23" x14ac:dyDescent="0.2">
      <c r="P989" s="53"/>
      <c r="Q989" s="53"/>
      <c r="W989" s="40"/>
    </row>
    <row r="990" spans="16:23" x14ac:dyDescent="0.2">
      <c r="P990" s="53"/>
      <c r="Q990" s="53"/>
      <c r="W990" s="40"/>
    </row>
    <row r="991" spans="16:23" x14ac:dyDescent="0.2">
      <c r="P991" s="53"/>
      <c r="Q991" s="53"/>
      <c r="W991" s="40"/>
    </row>
    <row r="992" spans="16:23" x14ac:dyDescent="0.2">
      <c r="P992" s="53"/>
      <c r="Q992" s="53"/>
      <c r="W992" s="40"/>
    </row>
    <row r="993" spans="16:23" x14ac:dyDescent="0.2">
      <c r="P993" s="53"/>
      <c r="Q993" s="53"/>
      <c r="W993" s="40"/>
    </row>
    <row r="994" spans="16:23" x14ac:dyDescent="0.2">
      <c r="P994" s="53"/>
      <c r="Q994" s="53"/>
      <c r="W994" s="40"/>
    </row>
    <row r="995" spans="16:23" x14ac:dyDescent="0.2">
      <c r="P995" s="53"/>
      <c r="Q995" s="53"/>
      <c r="W995" s="40"/>
    </row>
    <row r="996" spans="16:23" x14ac:dyDescent="0.2">
      <c r="P996" s="53"/>
      <c r="Q996" s="53"/>
      <c r="W996" s="40"/>
    </row>
    <row r="997" spans="16:23" x14ac:dyDescent="0.2">
      <c r="P997" s="53"/>
      <c r="Q997" s="53"/>
      <c r="W997" s="40"/>
    </row>
    <row r="998" spans="16:23" x14ac:dyDescent="0.2">
      <c r="P998" s="53"/>
      <c r="Q998" s="53"/>
      <c r="W998" s="40"/>
    </row>
    <row r="999" spans="16:23" x14ac:dyDescent="0.2">
      <c r="P999" s="53"/>
      <c r="Q999" s="53"/>
      <c r="W999" s="40"/>
    </row>
    <row r="1000" spans="16:23" x14ac:dyDescent="0.2">
      <c r="P1000" s="53"/>
      <c r="Q1000" s="53"/>
      <c r="W1000" s="40"/>
    </row>
    <row r="1001" spans="16:23" x14ac:dyDescent="0.2">
      <c r="P1001" s="53"/>
      <c r="Q1001" s="53"/>
      <c r="W1001" s="40"/>
    </row>
    <row r="1002" spans="16:23" x14ac:dyDescent="0.2">
      <c r="P1002" s="53"/>
      <c r="Q1002" s="53"/>
      <c r="W1002" s="40"/>
    </row>
    <row r="1003" spans="16:23" x14ac:dyDescent="0.2">
      <c r="P1003" s="53"/>
      <c r="Q1003" s="53"/>
      <c r="W1003" s="40"/>
    </row>
    <row r="1004" spans="16:23" x14ac:dyDescent="0.2">
      <c r="P1004" s="53"/>
      <c r="Q1004" s="53"/>
      <c r="W1004" s="40"/>
    </row>
    <row r="1005" spans="16:23" x14ac:dyDescent="0.2">
      <c r="P1005" s="53"/>
      <c r="Q1005" s="53"/>
      <c r="W1005" s="40"/>
    </row>
    <row r="1006" spans="16:23" x14ac:dyDescent="0.2">
      <c r="P1006" s="53"/>
      <c r="Q1006" s="53"/>
      <c r="W1006" s="40"/>
    </row>
    <row r="1007" spans="16:23" x14ac:dyDescent="0.2">
      <c r="P1007" s="53"/>
      <c r="Q1007" s="53"/>
      <c r="W1007" s="40"/>
    </row>
    <row r="1008" spans="16:23" x14ac:dyDescent="0.2">
      <c r="P1008" s="53"/>
      <c r="Q1008" s="53"/>
      <c r="W1008" s="40"/>
    </row>
    <row r="1009" spans="16:23" x14ac:dyDescent="0.2">
      <c r="P1009" s="53"/>
      <c r="Q1009" s="53"/>
      <c r="W1009" s="40"/>
    </row>
    <row r="1010" spans="16:23" x14ac:dyDescent="0.2">
      <c r="P1010" s="53"/>
      <c r="Q1010" s="53"/>
      <c r="W1010" s="40"/>
    </row>
    <row r="1011" spans="16:23" x14ac:dyDescent="0.2">
      <c r="P1011" s="53"/>
      <c r="Q1011" s="53"/>
      <c r="W1011" s="40"/>
    </row>
    <row r="1012" spans="16:23" x14ac:dyDescent="0.2">
      <c r="P1012" s="53"/>
      <c r="Q1012" s="53"/>
      <c r="W1012" s="40"/>
    </row>
    <row r="1013" spans="16:23" x14ac:dyDescent="0.2">
      <c r="P1013" s="53"/>
      <c r="Q1013" s="53"/>
      <c r="W1013" s="40"/>
    </row>
    <row r="1014" spans="16:23" x14ac:dyDescent="0.2">
      <c r="P1014" s="53"/>
      <c r="Q1014" s="53"/>
      <c r="W1014" s="40"/>
    </row>
    <row r="1015" spans="16:23" x14ac:dyDescent="0.2">
      <c r="P1015" s="53"/>
      <c r="Q1015" s="53"/>
      <c r="W1015" s="40"/>
    </row>
    <row r="1016" spans="16:23" x14ac:dyDescent="0.2">
      <c r="P1016" s="53"/>
      <c r="Q1016" s="53"/>
      <c r="W1016" s="40"/>
    </row>
    <row r="1017" spans="16:23" x14ac:dyDescent="0.2">
      <c r="P1017" s="53"/>
      <c r="Q1017" s="53"/>
      <c r="W1017" s="40"/>
    </row>
    <row r="1018" spans="16:23" x14ac:dyDescent="0.2">
      <c r="P1018" s="53"/>
      <c r="Q1018" s="53"/>
      <c r="W1018" s="40"/>
    </row>
    <row r="1019" spans="16:23" x14ac:dyDescent="0.2">
      <c r="P1019" s="53"/>
      <c r="Q1019" s="53"/>
      <c r="W1019" s="40"/>
    </row>
    <row r="1020" spans="16:23" x14ac:dyDescent="0.2">
      <c r="P1020" s="53"/>
      <c r="Q1020" s="53"/>
      <c r="W1020" s="40"/>
    </row>
    <row r="1021" spans="16:23" x14ac:dyDescent="0.2">
      <c r="P1021" s="53"/>
      <c r="Q1021" s="53"/>
      <c r="W1021" s="40"/>
    </row>
    <row r="1022" spans="16:23" x14ac:dyDescent="0.2">
      <c r="P1022" s="53"/>
      <c r="Q1022" s="53"/>
      <c r="W1022" s="40"/>
    </row>
    <row r="1023" spans="16:23" x14ac:dyDescent="0.2">
      <c r="P1023" s="53"/>
      <c r="Q1023" s="53"/>
      <c r="W1023" s="40"/>
    </row>
    <row r="1024" spans="16:23" x14ac:dyDescent="0.2">
      <c r="P1024" s="53"/>
      <c r="Q1024" s="53"/>
      <c r="W1024" s="40"/>
    </row>
    <row r="1025" spans="16:23" x14ac:dyDescent="0.2">
      <c r="P1025" s="53"/>
      <c r="Q1025" s="53"/>
      <c r="W1025" s="40"/>
    </row>
    <row r="1026" spans="16:23" x14ac:dyDescent="0.2">
      <c r="P1026" s="53"/>
      <c r="Q1026" s="53"/>
      <c r="W1026" s="40"/>
    </row>
    <row r="1027" spans="16:23" x14ac:dyDescent="0.2">
      <c r="P1027" s="53"/>
      <c r="Q1027" s="53"/>
      <c r="W1027" s="40"/>
    </row>
    <row r="1028" spans="16:23" x14ac:dyDescent="0.2">
      <c r="P1028" s="53"/>
      <c r="Q1028" s="53"/>
      <c r="W1028" s="40"/>
    </row>
    <row r="1029" spans="16:23" x14ac:dyDescent="0.2">
      <c r="P1029" s="53"/>
      <c r="Q1029" s="53"/>
      <c r="W1029" s="40"/>
    </row>
    <row r="1030" spans="16:23" x14ac:dyDescent="0.2">
      <c r="P1030" s="53"/>
      <c r="Q1030" s="53"/>
      <c r="W1030" s="40"/>
    </row>
    <row r="1031" spans="16:23" x14ac:dyDescent="0.2">
      <c r="P1031" s="53"/>
      <c r="Q1031" s="53"/>
      <c r="W1031" s="40"/>
    </row>
    <row r="1032" spans="16:23" x14ac:dyDescent="0.2">
      <c r="P1032" s="53"/>
      <c r="Q1032" s="53"/>
      <c r="W1032" s="40"/>
    </row>
    <row r="1033" spans="16:23" x14ac:dyDescent="0.2">
      <c r="P1033" s="53"/>
      <c r="Q1033" s="53"/>
      <c r="W1033" s="40"/>
    </row>
    <row r="1034" spans="16:23" x14ac:dyDescent="0.2">
      <c r="P1034" s="53"/>
      <c r="Q1034" s="53"/>
      <c r="W1034" s="40"/>
    </row>
    <row r="1035" spans="16:23" x14ac:dyDescent="0.2">
      <c r="P1035" s="53"/>
      <c r="Q1035" s="53"/>
      <c r="W1035" s="40"/>
    </row>
    <row r="1036" spans="16:23" x14ac:dyDescent="0.2">
      <c r="P1036" s="53"/>
      <c r="Q1036" s="53"/>
      <c r="W1036" s="40"/>
    </row>
    <row r="1037" spans="16:23" x14ac:dyDescent="0.2">
      <c r="P1037" s="53"/>
      <c r="Q1037" s="53"/>
      <c r="W1037" s="40"/>
    </row>
    <row r="1038" spans="16:23" x14ac:dyDescent="0.2">
      <c r="P1038" s="53"/>
      <c r="Q1038" s="53"/>
      <c r="W1038" s="40"/>
    </row>
    <row r="1039" spans="16:23" x14ac:dyDescent="0.2">
      <c r="P1039" s="53"/>
      <c r="Q1039" s="53"/>
      <c r="W1039" s="40"/>
    </row>
    <row r="1040" spans="16:23" x14ac:dyDescent="0.2">
      <c r="P1040" s="53"/>
      <c r="Q1040" s="53"/>
      <c r="W1040" s="40"/>
    </row>
    <row r="1041" spans="16:23" x14ac:dyDescent="0.2">
      <c r="P1041" s="53"/>
      <c r="Q1041" s="53"/>
      <c r="W1041" s="40"/>
    </row>
    <row r="1042" spans="16:23" x14ac:dyDescent="0.2">
      <c r="P1042" s="53"/>
      <c r="Q1042" s="53"/>
      <c r="W1042" s="40"/>
    </row>
    <row r="1043" spans="16:23" x14ac:dyDescent="0.2">
      <c r="P1043" s="53"/>
      <c r="Q1043" s="53"/>
      <c r="W1043" s="40"/>
    </row>
    <row r="1044" spans="16:23" x14ac:dyDescent="0.2">
      <c r="P1044" s="53"/>
      <c r="Q1044" s="53"/>
      <c r="W1044" s="40"/>
    </row>
    <row r="1045" spans="16:23" x14ac:dyDescent="0.2">
      <c r="P1045" s="53"/>
      <c r="Q1045" s="53"/>
      <c r="W1045" s="40"/>
    </row>
    <row r="1046" spans="16:23" x14ac:dyDescent="0.2">
      <c r="P1046" s="53"/>
      <c r="Q1046" s="53"/>
      <c r="W1046" s="40"/>
    </row>
    <row r="1047" spans="16:23" x14ac:dyDescent="0.2">
      <c r="P1047" s="53"/>
      <c r="Q1047" s="53"/>
      <c r="W1047" s="40"/>
    </row>
    <row r="1048" spans="16:23" x14ac:dyDescent="0.2">
      <c r="P1048" s="53"/>
      <c r="Q1048" s="53"/>
      <c r="W1048" s="40"/>
    </row>
    <row r="1049" spans="16:23" x14ac:dyDescent="0.2">
      <c r="P1049" s="53"/>
      <c r="Q1049" s="53"/>
      <c r="W1049" s="40"/>
    </row>
    <row r="1050" spans="16:23" x14ac:dyDescent="0.2">
      <c r="P1050" s="53"/>
      <c r="Q1050" s="53"/>
      <c r="W1050" s="40"/>
    </row>
    <row r="1051" spans="16:23" x14ac:dyDescent="0.2">
      <c r="P1051" s="53"/>
      <c r="Q1051" s="53"/>
      <c r="W1051" s="40"/>
    </row>
    <row r="1052" spans="16:23" x14ac:dyDescent="0.2">
      <c r="P1052" s="53"/>
      <c r="Q1052" s="53"/>
      <c r="W1052" s="40"/>
    </row>
    <row r="1053" spans="16:23" x14ac:dyDescent="0.2">
      <c r="P1053" s="53"/>
      <c r="Q1053" s="53"/>
      <c r="W1053" s="40"/>
    </row>
    <row r="1054" spans="16:23" x14ac:dyDescent="0.2">
      <c r="P1054" s="53"/>
      <c r="Q1054" s="53"/>
      <c r="W1054" s="40"/>
    </row>
    <row r="1055" spans="16:23" x14ac:dyDescent="0.2">
      <c r="P1055" s="53"/>
      <c r="Q1055" s="53"/>
      <c r="W1055" s="40"/>
    </row>
    <row r="1056" spans="16:23" x14ac:dyDescent="0.2">
      <c r="P1056" s="53"/>
      <c r="Q1056" s="53"/>
      <c r="W1056" s="40"/>
    </row>
    <row r="1057" spans="16:23" x14ac:dyDescent="0.2">
      <c r="P1057" s="53"/>
      <c r="Q1057" s="53"/>
      <c r="W1057" s="40"/>
    </row>
    <row r="1058" spans="16:23" x14ac:dyDescent="0.2">
      <c r="P1058" s="53"/>
      <c r="Q1058" s="53"/>
      <c r="W1058" s="40"/>
    </row>
    <row r="1059" spans="16:23" x14ac:dyDescent="0.2">
      <c r="P1059" s="53"/>
      <c r="Q1059" s="53"/>
      <c r="W1059" s="40"/>
    </row>
    <row r="1060" spans="16:23" x14ac:dyDescent="0.2">
      <c r="P1060" s="53"/>
      <c r="Q1060" s="53"/>
      <c r="W1060" s="40"/>
    </row>
    <row r="1061" spans="16:23" x14ac:dyDescent="0.2">
      <c r="P1061" s="53"/>
      <c r="Q1061" s="53"/>
      <c r="W1061" s="40"/>
    </row>
    <row r="1062" spans="16:23" x14ac:dyDescent="0.2">
      <c r="P1062" s="53"/>
      <c r="Q1062" s="53"/>
      <c r="W1062" s="40"/>
    </row>
    <row r="1063" spans="16:23" x14ac:dyDescent="0.2">
      <c r="P1063" s="53"/>
      <c r="Q1063" s="53"/>
      <c r="W1063" s="40"/>
    </row>
    <row r="1064" spans="16:23" x14ac:dyDescent="0.2">
      <c r="P1064" s="53"/>
      <c r="Q1064" s="53"/>
      <c r="W1064" s="40"/>
    </row>
    <row r="1065" spans="16:23" x14ac:dyDescent="0.2">
      <c r="P1065" s="53"/>
      <c r="Q1065" s="53"/>
      <c r="W1065" s="40"/>
    </row>
    <row r="1066" spans="16:23" x14ac:dyDescent="0.2">
      <c r="P1066" s="53"/>
      <c r="Q1066" s="53"/>
      <c r="W1066" s="40"/>
    </row>
    <row r="1067" spans="16:23" x14ac:dyDescent="0.2">
      <c r="P1067" s="53"/>
      <c r="Q1067" s="53"/>
      <c r="W1067" s="40"/>
    </row>
    <row r="1068" spans="16:23" x14ac:dyDescent="0.2">
      <c r="P1068" s="53"/>
      <c r="Q1068" s="53"/>
      <c r="W1068" s="40"/>
    </row>
    <row r="1069" spans="16:23" x14ac:dyDescent="0.2">
      <c r="P1069" s="53"/>
      <c r="Q1069" s="53"/>
      <c r="W1069" s="40"/>
    </row>
    <row r="1070" spans="16:23" x14ac:dyDescent="0.2">
      <c r="P1070" s="53"/>
      <c r="Q1070" s="53"/>
      <c r="W1070" s="40"/>
    </row>
    <row r="1071" spans="16:23" x14ac:dyDescent="0.2">
      <c r="P1071" s="53"/>
      <c r="Q1071" s="53"/>
      <c r="W1071" s="40"/>
    </row>
    <row r="1072" spans="16:23" x14ac:dyDescent="0.2">
      <c r="P1072" s="53"/>
      <c r="Q1072" s="53"/>
      <c r="W1072" s="40"/>
    </row>
    <row r="1073" spans="16:23" x14ac:dyDescent="0.2">
      <c r="P1073" s="53"/>
      <c r="Q1073" s="53"/>
      <c r="W1073" s="40"/>
    </row>
    <row r="1074" spans="16:23" x14ac:dyDescent="0.2">
      <c r="P1074" s="53"/>
      <c r="Q1074" s="53"/>
      <c r="W1074" s="40"/>
    </row>
    <row r="1075" spans="16:23" x14ac:dyDescent="0.2">
      <c r="P1075" s="53"/>
      <c r="Q1075" s="53"/>
      <c r="W1075" s="40"/>
    </row>
    <row r="1076" spans="16:23" x14ac:dyDescent="0.2">
      <c r="P1076" s="53"/>
      <c r="Q1076" s="53"/>
      <c r="W1076" s="40"/>
    </row>
    <row r="1077" spans="16:23" x14ac:dyDescent="0.2">
      <c r="P1077" s="53"/>
      <c r="Q1077" s="53"/>
      <c r="W1077" s="40"/>
    </row>
    <row r="1078" spans="16:23" x14ac:dyDescent="0.2">
      <c r="P1078" s="53"/>
      <c r="Q1078" s="53"/>
      <c r="W1078" s="40"/>
    </row>
    <row r="1079" spans="16:23" x14ac:dyDescent="0.2">
      <c r="P1079" s="53"/>
      <c r="Q1079" s="53"/>
      <c r="W1079" s="40"/>
    </row>
    <row r="1080" spans="16:23" x14ac:dyDescent="0.2">
      <c r="P1080" s="53"/>
      <c r="Q1080" s="53"/>
      <c r="W1080" s="40"/>
    </row>
    <row r="1081" spans="16:23" x14ac:dyDescent="0.2">
      <c r="P1081" s="53"/>
      <c r="Q1081" s="53"/>
      <c r="W1081" s="40"/>
    </row>
    <row r="1082" spans="16:23" x14ac:dyDescent="0.2">
      <c r="P1082" s="53"/>
      <c r="Q1082" s="53"/>
      <c r="W1082" s="40"/>
    </row>
    <row r="1083" spans="16:23" x14ac:dyDescent="0.2">
      <c r="P1083" s="53"/>
      <c r="Q1083" s="53"/>
      <c r="W1083" s="40"/>
    </row>
    <row r="1084" spans="16:23" x14ac:dyDescent="0.2">
      <c r="P1084" s="53"/>
      <c r="Q1084" s="53"/>
      <c r="W1084" s="40"/>
    </row>
    <row r="1085" spans="16:23" x14ac:dyDescent="0.2">
      <c r="P1085" s="53"/>
      <c r="Q1085" s="53"/>
      <c r="W1085" s="40"/>
    </row>
    <row r="1086" spans="16:23" x14ac:dyDescent="0.2">
      <c r="P1086" s="53"/>
      <c r="Q1086" s="53"/>
      <c r="W1086" s="40"/>
    </row>
    <row r="1087" spans="16:23" x14ac:dyDescent="0.2">
      <c r="P1087" s="53"/>
      <c r="Q1087" s="53"/>
      <c r="W1087" s="40"/>
    </row>
    <row r="1088" spans="16:23" x14ac:dyDescent="0.2">
      <c r="P1088" s="53"/>
      <c r="Q1088" s="53"/>
      <c r="W1088" s="40"/>
    </row>
    <row r="1089" spans="16:23" x14ac:dyDescent="0.2">
      <c r="P1089" s="53"/>
      <c r="Q1089" s="53"/>
      <c r="W1089" s="40"/>
    </row>
    <row r="1090" spans="16:23" x14ac:dyDescent="0.2">
      <c r="P1090" s="53"/>
      <c r="Q1090" s="53"/>
      <c r="W1090" s="40"/>
    </row>
    <row r="1091" spans="16:23" x14ac:dyDescent="0.2">
      <c r="P1091" s="53"/>
      <c r="Q1091" s="53"/>
      <c r="W1091" s="40"/>
    </row>
    <row r="1092" spans="16:23" x14ac:dyDescent="0.2">
      <c r="P1092" s="53"/>
      <c r="Q1092" s="53"/>
      <c r="W1092" s="40"/>
    </row>
    <row r="1093" spans="16:23" x14ac:dyDescent="0.2">
      <c r="P1093" s="53"/>
      <c r="Q1093" s="53"/>
      <c r="W1093" s="40"/>
    </row>
    <row r="1094" spans="16:23" x14ac:dyDescent="0.2">
      <c r="P1094" s="53"/>
      <c r="Q1094" s="53"/>
      <c r="W1094" s="40"/>
    </row>
    <row r="1095" spans="16:23" x14ac:dyDescent="0.2">
      <c r="P1095" s="53"/>
      <c r="Q1095" s="53"/>
      <c r="W1095" s="40"/>
    </row>
    <row r="1096" spans="16:23" x14ac:dyDescent="0.2">
      <c r="P1096" s="53"/>
      <c r="Q1096" s="53"/>
      <c r="W1096" s="40"/>
    </row>
    <row r="1097" spans="16:23" x14ac:dyDescent="0.2">
      <c r="P1097" s="53"/>
      <c r="Q1097" s="53"/>
      <c r="W1097" s="40"/>
    </row>
    <row r="1098" spans="16:23" x14ac:dyDescent="0.2">
      <c r="P1098" s="53"/>
      <c r="Q1098" s="53"/>
      <c r="W1098" s="40"/>
    </row>
    <row r="1099" spans="16:23" x14ac:dyDescent="0.2">
      <c r="P1099" s="53"/>
      <c r="Q1099" s="53"/>
      <c r="W1099" s="40"/>
    </row>
    <row r="1100" spans="16:23" x14ac:dyDescent="0.2">
      <c r="P1100" s="53"/>
      <c r="Q1100" s="53"/>
      <c r="W1100" s="40"/>
    </row>
    <row r="1101" spans="16:23" x14ac:dyDescent="0.2">
      <c r="P1101" s="53"/>
      <c r="Q1101" s="53"/>
      <c r="W1101" s="40"/>
    </row>
    <row r="1102" spans="16:23" x14ac:dyDescent="0.2">
      <c r="P1102" s="53"/>
      <c r="Q1102" s="53"/>
      <c r="W1102" s="40"/>
    </row>
    <row r="1103" spans="16:23" x14ac:dyDescent="0.2">
      <c r="P1103" s="53"/>
      <c r="Q1103" s="53"/>
      <c r="W1103" s="40"/>
    </row>
    <row r="1104" spans="16:23" x14ac:dyDescent="0.2">
      <c r="P1104" s="53"/>
      <c r="Q1104" s="53"/>
      <c r="W1104" s="40"/>
    </row>
    <row r="1105" spans="16:23" x14ac:dyDescent="0.2">
      <c r="P1105" s="53"/>
      <c r="Q1105" s="53"/>
      <c r="W1105" s="40"/>
    </row>
    <row r="1106" spans="16:23" x14ac:dyDescent="0.2">
      <c r="P1106" s="53"/>
      <c r="Q1106" s="53"/>
      <c r="W1106" s="40"/>
    </row>
    <row r="1107" spans="16:23" x14ac:dyDescent="0.2">
      <c r="P1107" s="53"/>
      <c r="Q1107" s="53"/>
      <c r="W1107" s="40"/>
    </row>
    <row r="1108" spans="16:23" x14ac:dyDescent="0.2">
      <c r="P1108" s="53"/>
      <c r="Q1108" s="53"/>
      <c r="W1108" s="40"/>
    </row>
    <row r="1109" spans="16:23" x14ac:dyDescent="0.2">
      <c r="P1109" s="53"/>
      <c r="Q1109" s="53"/>
      <c r="W1109" s="40"/>
    </row>
    <row r="1110" spans="16:23" x14ac:dyDescent="0.2">
      <c r="P1110" s="53"/>
      <c r="Q1110" s="53"/>
      <c r="W1110" s="40"/>
    </row>
    <row r="1111" spans="16:23" x14ac:dyDescent="0.2">
      <c r="P1111" s="53"/>
      <c r="Q1111" s="53"/>
      <c r="W1111" s="40"/>
    </row>
    <row r="1112" spans="16:23" x14ac:dyDescent="0.2">
      <c r="P1112" s="53"/>
      <c r="Q1112" s="53"/>
      <c r="W1112" s="40"/>
    </row>
    <row r="1113" spans="16:23" x14ac:dyDescent="0.2">
      <c r="P1113" s="53"/>
      <c r="Q1113" s="53"/>
      <c r="W1113" s="40"/>
    </row>
    <row r="1114" spans="16:23" x14ac:dyDescent="0.2">
      <c r="P1114" s="53"/>
      <c r="Q1114" s="53"/>
      <c r="W1114" s="40"/>
    </row>
    <row r="1115" spans="16:23" x14ac:dyDescent="0.2">
      <c r="P1115" s="53"/>
      <c r="Q1115" s="53"/>
      <c r="W1115" s="40"/>
    </row>
    <row r="1116" spans="16:23" x14ac:dyDescent="0.2">
      <c r="P1116" s="53"/>
      <c r="Q1116" s="53"/>
      <c r="W1116" s="40"/>
    </row>
    <row r="1117" spans="16:23" x14ac:dyDescent="0.2">
      <c r="P1117" s="53"/>
      <c r="Q1117" s="53"/>
      <c r="W1117" s="40"/>
    </row>
    <row r="1118" spans="16:23" x14ac:dyDescent="0.2">
      <c r="P1118" s="53"/>
      <c r="Q1118" s="53"/>
      <c r="W1118" s="40"/>
    </row>
    <row r="1119" spans="16:23" x14ac:dyDescent="0.2">
      <c r="P1119" s="53"/>
      <c r="Q1119" s="53"/>
      <c r="W1119" s="40"/>
    </row>
    <row r="1120" spans="16:23" x14ac:dyDescent="0.2">
      <c r="P1120" s="53"/>
      <c r="Q1120" s="53"/>
      <c r="W1120" s="40"/>
    </row>
    <row r="1121" spans="16:23" x14ac:dyDescent="0.2">
      <c r="P1121" s="53"/>
      <c r="Q1121" s="53"/>
      <c r="W1121" s="40"/>
    </row>
    <row r="1122" spans="16:23" x14ac:dyDescent="0.2">
      <c r="P1122" s="53"/>
      <c r="Q1122" s="53"/>
      <c r="W1122" s="40"/>
    </row>
    <row r="1123" spans="16:23" x14ac:dyDescent="0.2">
      <c r="P1123" s="53"/>
      <c r="Q1123" s="53"/>
      <c r="W1123" s="40"/>
    </row>
    <row r="1124" spans="16:23" x14ac:dyDescent="0.2">
      <c r="P1124" s="53"/>
      <c r="Q1124" s="53"/>
      <c r="W1124" s="40"/>
    </row>
    <row r="1125" spans="16:23" x14ac:dyDescent="0.2">
      <c r="P1125" s="53"/>
      <c r="Q1125" s="53"/>
      <c r="W1125" s="40"/>
    </row>
    <row r="1126" spans="16:23" x14ac:dyDescent="0.2">
      <c r="P1126" s="53"/>
      <c r="Q1126" s="53"/>
      <c r="W1126" s="40"/>
    </row>
    <row r="1127" spans="16:23" x14ac:dyDescent="0.2">
      <c r="P1127" s="53"/>
      <c r="Q1127" s="53"/>
      <c r="W1127" s="40"/>
    </row>
    <row r="1128" spans="16:23" x14ac:dyDescent="0.2">
      <c r="P1128" s="53"/>
      <c r="Q1128" s="53"/>
      <c r="W1128" s="40"/>
    </row>
    <row r="1129" spans="16:23" x14ac:dyDescent="0.2">
      <c r="P1129" s="53"/>
      <c r="Q1129" s="53"/>
      <c r="W1129" s="40"/>
    </row>
    <row r="1130" spans="16:23" x14ac:dyDescent="0.2">
      <c r="P1130" s="53"/>
      <c r="Q1130" s="53"/>
      <c r="W1130" s="40"/>
    </row>
    <row r="1131" spans="16:23" x14ac:dyDescent="0.2">
      <c r="P1131" s="53"/>
      <c r="Q1131" s="53"/>
      <c r="W1131" s="40"/>
    </row>
    <row r="1132" spans="16:23" x14ac:dyDescent="0.2">
      <c r="P1132" s="53"/>
      <c r="Q1132" s="53"/>
      <c r="W1132" s="40"/>
    </row>
    <row r="1133" spans="16:23" x14ac:dyDescent="0.2">
      <c r="P1133" s="53"/>
      <c r="Q1133" s="53"/>
      <c r="W1133" s="40"/>
    </row>
    <row r="1134" spans="16:23" x14ac:dyDescent="0.2">
      <c r="P1134" s="53"/>
      <c r="Q1134" s="53"/>
      <c r="W1134" s="40"/>
    </row>
    <row r="1135" spans="16:23" x14ac:dyDescent="0.2">
      <c r="P1135" s="53"/>
      <c r="Q1135" s="53"/>
      <c r="W1135" s="40"/>
    </row>
    <row r="1136" spans="16:23" x14ac:dyDescent="0.2">
      <c r="P1136" s="53"/>
      <c r="Q1136" s="53"/>
      <c r="W1136" s="40"/>
    </row>
    <row r="1137" spans="16:23" x14ac:dyDescent="0.2">
      <c r="P1137" s="53"/>
      <c r="Q1137" s="53"/>
      <c r="W1137" s="40"/>
    </row>
    <row r="1138" spans="16:23" x14ac:dyDescent="0.2">
      <c r="P1138" s="53"/>
      <c r="Q1138" s="53"/>
      <c r="W1138" s="40"/>
    </row>
    <row r="1139" spans="16:23" x14ac:dyDescent="0.2">
      <c r="P1139" s="53"/>
      <c r="Q1139" s="53"/>
      <c r="W1139" s="40"/>
    </row>
    <row r="1140" spans="16:23" x14ac:dyDescent="0.2">
      <c r="P1140" s="53"/>
      <c r="Q1140" s="53"/>
      <c r="W1140" s="40"/>
    </row>
    <row r="1141" spans="16:23" x14ac:dyDescent="0.2">
      <c r="P1141" s="53"/>
      <c r="Q1141" s="53"/>
      <c r="W1141" s="40"/>
    </row>
    <row r="1142" spans="16:23" x14ac:dyDescent="0.2">
      <c r="P1142" s="53"/>
      <c r="Q1142" s="53"/>
      <c r="W1142" s="40"/>
    </row>
    <row r="1143" spans="16:23" x14ac:dyDescent="0.2">
      <c r="P1143" s="53"/>
      <c r="Q1143" s="53"/>
      <c r="W1143" s="40"/>
    </row>
    <row r="1144" spans="16:23" x14ac:dyDescent="0.2">
      <c r="P1144" s="53"/>
      <c r="Q1144" s="53"/>
      <c r="W1144" s="40"/>
    </row>
    <row r="1145" spans="16:23" x14ac:dyDescent="0.2">
      <c r="P1145" s="53"/>
      <c r="Q1145" s="53"/>
      <c r="W1145" s="40"/>
    </row>
    <row r="1146" spans="16:23" x14ac:dyDescent="0.2">
      <c r="P1146" s="53"/>
      <c r="Q1146" s="53"/>
      <c r="W1146" s="40"/>
    </row>
    <row r="1147" spans="16:23" x14ac:dyDescent="0.2">
      <c r="P1147" s="53"/>
      <c r="Q1147" s="53"/>
      <c r="W1147" s="40"/>
    </row>
    <row r="1148" spans="16:23" x14ac:dyDescent="0.2">
      <c r="P1148" s="53"/>
      <c r="Q1148" s="53"/>
      <c r="W1148" s="40"/>
    </row>
    <row r="1149" spans="16:23" x14ac:dyDescent="0.2">
      <c r="P1149" s="53"/>
      <c r="Q1149" s="53"/>
      <c r="W1149" s="40"/>
    </row>
    <row r="1150" spans="16:23" x14ac:dyDescent="0.2">
      <c r="P1150" s="53"/>
      <c r="Q1150" s="53"/>
      <c r="W1150" s="40"/>
    </row>
    <row r="1151" spans="16:23" x14ac:dyDescent="0.2">
      <c r="P1151" s="53"/>
      <c r="Q1151" s="53"/>
      <c r="W1151" s="40"/>
    </row>
    <row r="1152" spans="16:23" x14ac:dyDescent="0.2">
      <c r="P1152" s="53"/>
      <c r="Q1152" s="53"/>
      <c r="W1152" s="40"/>
    </row>
    <row r="1153" spans="16:23" x14ac:dyDescent="0.2">
      <c r="P1153" s="53"/>
      <c r="Q1153" s="53"/>
      <c r="W1153" s="40"/>
    </row>
    <row r="1154" spans="16:23" x14ac:dyDescent="0.2">
      <c r="P1154" s="53"/>
      <c r="Q1154" s="53"/>
      <c r="W1154" s="40"/>
    </row>
    <row r="1155" spans="16:23" x14ac:dyDescent="0.2">
      <c r="P1155" s="53"/>
      <c r="Q1155" s="53"/>
      <c r="W1155" s="40"/>
    </row>
    <row r="1156" spans="16:23" x14ac:dyDescent="0.2">
      <c r="P1156" s="53"/>
      <c r="Q1156" s="53"/>
      <c r="W1156" s="40"/>
    </row>
    <row r="1157" spans="16:23" x14ac:dyDescent="0.2">
      <c r="P1157" s="53"/>
      <c r="Q1157" s="53"/>
      <c r="W1157" s="40"/>
    </row>
    <row r="1158" spans="16:23" x14ac:dyDescent="0.2">
      <c r="P1158" s="53"/>
      <c r="Q1158" s="53"/>
      <c r="W1158" s="40"/>
    </row>
    <row r="1159" spans="16:23" x14ac:dyDescent="0.2">
      <c r="P1159" s="53"/>
      <c r="Q1159" s="53"/>
      <c r="W1159" s="40"/>
    </row>
    <row r="1160" spans="16:23" x14ac:dyDescent="0.2">
      <c r="P1160" s="53"/>
      <c r="Q1160" s="53"/>
      <c r="W1160" s="40"/>
    </row>
    <row r="1161" spans="16:23" x14ac:dyDescent="0.2">
      <c r="P1161" s="53"/>
      <c r="Q1161" s="53"/>
      <c r="W1161" s="40"/>
    </row>
    <row r="1162" spans="16:23" x14ac:dyDescent="0.2">
      <c r="P1162" s="53"/>
      <c r="Q1162" s="53"/>
      <c r="W1162" s="40"/>
    </row>
    <row r="1163" spans="16:23" x14ac:dyDescent="0.2">
      <c r="P1163" s="53"/>
      <c r="Q1163" s="53"/>
      <c r="W1163" s="40"/>
    </row>
    <row r="1164" spans="16:23" x14ac:dyDescent="0.2">
      <c r="P1164" s="53"/>
      <c r="Q1164" s="53"/>
      <c r="W1164" s="40"/>
    </row>
    <row r="1165" spans="16:23" x14ac:dyDescent="0.2">
      <c r="P1165" s="53"/>
      <c r="Q1165" s="53"/>
      <c r="W1165" s="40"/>
    </row>
    <row r="1166" spans="16:23" x14ac:dyDescent="0.2">
      <c r="P1166" s="53"/>
      <c r="Q1166" s="53"/>
      <c r="W1166" s="40"/>
    </row>
    <row r="1167" spans="16:23" x14ac:dyDescent="0.2">
      <c r="P1167" s="53"/>
      <c r="Q1167" s="53"/>
      <c r="W1167" s="40"/>
    </row>
    <row r="1168" spans="16:23" x14ac:dyDescent="0.2">
      <c r="P1168" s="53"/>
      <c r="Q1168" s="53"/>
      <c r="W1168" s="40"/>
    </row>
    <row r="1169" spans="16:23" x14ac:dyDescent="0.2">
      <c r="P1169" s="53"/>
      <c r="Q1169" s="53"/>
      <c r="W1169" s="40"/>
    </row>
    <row r="1170" spans="16:23" x14ac:dyDescent="0.2">
      <c r="P1170" s="53"/>
      <c r="Q1170" s="53"/>
      <c r="W1170" s="40"/>
    </row>
    <row r="1171" spans="16:23" x14ac:dyDescent="0.2">
      <c r="P1171" s="53"/>
      <c r="Q1171" s="53"/>
      <c r="W1171" s="40"/>
    </row>
    <row r="1172" spans="16:23" x14ac:dyDescent="0.2">
      <c r="P1172" s="53"/>
      <c r="Q1172" s="53"/>
      <c r="W1172" s="40"/>
    </row>
    <row r="1173" spans="16:23" x14ac:dyDescent="0.2">
      <c r="P1173" s="53"/>
      <c r="Q1173" s="53"/>
      <c r="W1173" s="40"/>
    </row>
    <row r="1174" spans="16:23" x14ac:dyDescent="0.2">
      <c r="P1174" s="53"/>
      <c r="Q1174" s="53"/>
      <c r="W1174" s="40"/>
    </row>
    <row r="1175" spans="16:23" x14ac:dyDescent="0.2">
      <c r="P1175" s="53"/>
      <c r="Q1175" s="53"/>
      <c r="W1175" s="40"/>
    </row>
    <row r="1176" spans="16:23" x14ac:dyDescent="0.2">
      <c r="P1176" s="53"/>
      <c r="Q1176" s="53"/>
      <c r="W1176" s="40"/>
    </row>
    <row r="1177" spans="16:23" x14ac:dyDescent="0.2">
      <c r="P1177" s="53"/>
      <c r="Q1177" s="53"/>
      <c r="W1177" s="40"/>
    </row>
    <row r="1178" spans="16:23" x14ac:dyDescent="0.2">
      <c r="P1178" s="53"/>
      <c r="Q1178" s="53"/>
      <c r="W1178" s="40"/>
    </row>
    <row r="1179" spans="16:23" x14ac:dyDescent="0.2">
      <c r="P1179" s="53"/>
      <c r="Q1179" s="53"/>
      <c r="W1179" s="40"/>
    </row>
    <row r="1180" spans="16:23" x14ac:dyDescent="0.2">
      <c r="P1180" s="53"/>
      <c r="Q1180" s="53"/>
      <c r="W1180" s="40"/>
    </row>
    <row r="1181" spans="16:23" x14ac:dyDescent="0.2">
      <c r="P1181" s="53"/>
      <c r="Q1181" s="53"/>
      <c r="W1181" s="40"/>
    </row>
    <row r="1182" spans="16:23" x14ac:dyDescent="0.2">
      <c r="P1182" s="53"/>
      <c r="Q1182" s="53"/>
      <c r="W1182" s="40"/>
    </row>
    <row r="1183" spans="16:23" x14ac:dyDescent="0.2">
      <c r="P1183" s="53"/>
      <c r="Q1183" s="53"/>
      <c r="W1183" s="40"/>
    </row>
    <row r="1184" spans="16:23" x14ac:dyDescent="0.2">
      <c r="P1184" s="53"/>
      <c r="Q1184" s="53"/>
      <c r="W1184" s="40"/>
    </row>
    <row r="1185" spans="16:23" x14ac:dyDescent="0.2">
      <c r="P1185" s="53"/>
      <c r="Q1185" s="53"/>
      <c r="W1185" s="40"/>
    </row>
    <row r="1186" spans="16:23" x14ac:dyDescent="0.2">
      <c r="P1186" s="53"/>
      <c r="Q1186" s="53"/>
      <c r="W1186" s="40"/>
    </row>
    <row r="1187" spans="16:23" x14ac:dyDescent="0.2">
      <c r="P1187" s="53"/>
      <c r="Q1187" s="53"/>
      <c r="W1187" s="40"/>
    </row>
    <row r="1188" spans="16:23" x14ac:dyDescent="0.2">
      <c r="P1188" s="53"/>
      <c r="Q1188" s="53"/>
      <c r="W1188" s="40"/>
    </row>
    <row r="1189" spans="16:23" x14ac:dyDescent="0.2">
      <c r="P1189" s="53"/>
      <c r="Q1189" s="53"/>
      <c r="W1189" s="40"/>
    </row>
    <row r="1190" spans="16:23" x14ac:dyDescent="0.2">
      <c r="P1190" s="53"/>
      <c r="Q1190" s="53"/>
      <c r="W1190" s="40"/>
    </row>
    <row r="1191" spans="16:23" x14ac:dyDescent="0.2">
      <c r="P1191" s="53"/>
      <c r="Q1191" s="53"/>
      <c r="W1191" s="40"/>
    </row>
    <row r="1192" spans="16:23" x14ac:dyDescent="0.2">
      <c r="P1192" s="53"/>
      <c r="Q1192" s="53"/>
      <c r="W1192" s="40"/>
    </row>
    <row r="1193" spans="16:23" x14ac:dyDescent="0.2">
      <c r="P1193" s="53"/>
      <c r="Q1193" s="53"/>
      <c r="W1193" s="40"/>
    </row>
    <row r="1194" spans="16:23" x14ac:dyDescent="0.2">
      <c r="P1194" s="53"/>
      <c r="Q1194" s="53"/>
      <c r="W1194" s="40"/>
    </row>
    <row r="1195" spans="16:23" x14ac:dyDescent="0.2">
      <c r="P1195" s="53"/>
      <c r="Q1195" s="53"/>
      <c r="W1195" s="40"/>
    </row>
    <row r="1196" spans="16:23" x14ac:dyDescent="0.2">
      <c r="P1196" s="53"/>
      <c r="Q1196" s="53"/>
      <c r="W1196" s="40"/>
    </row>
    <row r="1197" spans="16:23" x14ac:dyDescent="0.2">
      <c r="P1197" s="53"/>
      <c r="Q1197" s="53"/>
      <c r="W1197" s="40"/>
    </row>
    <row r="1198" spans="16:23" x14ac:dyDescent="0.2">
      <c r="P1198" s="53"/>
      <c r="Q1198" s="53"/>
      <c r="W1198" s="40"/>
    </row>
    <row r="1199" spans="16:23" x14ac:dyDescent="0.2">
      <c r="P1199" s="53"/>
      <c r="Q1199" s="53"/>
      <c r="W1199" s="40"/>
    </row>
    <row r="1200" spans="16:23" x14ac:dyDescent="0.2">
      <c r="P1200" s="53"/>
      <c r="Q1200" s="53"/>
      <c r="W1200" s="40"/>
    </row>
    <row r="1201" spans="16:23" x14ac:dyDescent="0.2">
      <c r="P1201" s="53"/>
      <c r="Q1201" s="53"/>
      <c r="W1201" s="40"/>
    </row>
    <row r="1202" spans="16:23" x14ac:dyDescent="0.2">
      <c r="P1202" s="53"/>
      <c r="Q1202" s="53"/>
      <c r="W1202" s="40"/>
    </row>
    <row r="1203" spans="16:23" x14ac:dyDescent="0.2">
      <c r="P1203" s="53"/>
      <c r="Q1203" s="53"/>
      <c r="W1203" s="40"/>
    </row>
    <row r="1204" spans="16:23" x14ac:dyDescent="0.2">
      <c r="P1204" s="53"/>
      <c r="Q1204" s="53"/>
      <c r="W1204" s="40"/>
    </row>
    <row r="1205" spans="16:23" x14ac:dyDescent="0.2">
      <c r="P1205" s="53"/>
      <c r="Q1205" s="53"/>
      <c r="W1205" s="40"/>
    </row>
    <row r="1206" spans="16:23" x14ac:dyDescent="0.2">
      <c r="P1206" s="53"/>
      <c r="Q1206" s="53"/>
      <c r="W1206" s="40"/>
    </row>
    <row r="1207" spans="16:23" x14ac:dyDescent="0.2">
      <c r="P1207" s="53"/>
      <c r="Q1207" s="53"/>
      <c r="W1207" s="40"/>
    </row>
    <row r="1208" spans="16:23" x14ac:dyDescent="0.2">
      <c r="P1208" s="53"/>
      <c r="Q1208" s="53"/>
      <c r="W1208" s="40"/>
    </row>
    <row r="1209" spans="16:23" x14ac:dyDescent="0.2">
      <c r="P1209" s="53"/>
      <c r="Q1209" s="53"/>
      <c r="W1209" s="40"/>
    </row>
    <row r="1210" spans="16:23" x14ac:dyDescent="0.2">
      <c r="P1210" s="53"/>
      <c r="Q1210" s="53"/>
      <c r="W1210" s="40"/>
    </row>
    <row r="1211" spans="16:23" x14ac:dyDescent="0.2">
      <c r="P1211" s="53"/>
      <c r="Q1211" s="53"/>
      <c r="W1211" s="40"/>
    </row>
    <row r="1212" spans="16:23" x14ac:dyDescent="0.2">
      <c r="P1212" s="53"/>
      <c r="Q1212" s="53"/>
      <c r="W1212" s="40"/>
    </row>
    <row r="1213" spans="16:23" x14ac:dyDescent="0.2">
      <c r="P1213" s="53"/>
      <c r="Q1213" s="53"/>
      <c r="W1213" s="40"/>
    </row>
    <row r="1214" spans="16:23" x14ac:dyDescent="0.2">
      <c r="P1214" s="53"/>
      <c r="Q1214" s="53"/>
      <c r="W1214" s="40"/>
    </row>
    <row r="1215" spans="16:23" x14ac:dyDescent="0.2">
      <c r="P1215" s="53"/>
      <c r="Q1215" s="53"/>
      <c r="W1215" s="40"/>
    </row>
    <row r="1216" spans="16:23" x14ac:dyDescent="0.2">
      <c r="P1216" s="53"/>
      <c r="Q1216" s="53"/>
      <c r="W1216" s="40"/>
    </row>
    <row r="1217" spans="16:23" x14ac:dyDescent="0.2">
      <c r="P1217" s="53"/>
      <c r="Q1217" s="53"/>
      <c r="W1217" s="40"/>
    </row>
    <row r="1218" spans="16:23" x14ac:dyDescent="0.2">
      <c r="P1218" s="53"/>
      <c r="Q1218" s="53"/>
      <c r="W1218" s="40"/>
    </row>
    <row r="1219" spans="16:23" x14ac:dyDescent="0.2">
      <c r="P1219" s="53"/>
      <c r="Q1219" s="53"/>
      <c r="W1219" s="40"/>
    </row>
    <row r="1220" spans="16:23" x14ac:dyDescent="0.2">
      <c r="P1220" s="53"/>
      <c r="Q1220" s="53"/>
      <c r="W1220" s="40"/>
    </row>
    <row r="1221" spans="16:23" x14ac:dyDescent="0.2">
      <c r="P1221" s="53"/>
      <c r="Q1221" s="53"/>
      <c r="W1221" s="40"/>
    </row>
    <row r="1222" spans="16:23" x14ac:dyDescent="0.2">
      <c r="P1222" s="53"/>
      <c r="Q1222" s="53"/>
      <c r="W1222" s="40"/>
    </row>
    <row r="1223" spans="16:23" x14ac:dyDescent="0.2">
      <c r="P1223" s="53"/>
      <c r="Q1223" s="53"/>
      <c r="W1223" s="40"/>
    </row>
    <row r="1224" spans="16:23" x14ac:dyDescent="0.2">
      <c r="P1224" s="53"/>
      <c r="Q1224" s="53"/>
      <c r="W1224" s="40"/>
    </row>
    <row r="1225" spans="16:23" x14ac:dyDescent="0.2">
      <c r="P1225" s="53"/>
      <c r="Q1225" s="53"/>
      <c r="W1225" s="40"/>
    </row>
    <row r="1226" spans="16:23" x14ac:dyDescent="0.2">
      <c r="P1226" s="53"/>
      <c r="Q1226" s="53"/>
      <c r="W1226" s="40"/>
    </row>
    <row r="1227" spans="16:23" x14ac:dyDescent="0.2">
      <c r="P1227" s="53"/>
      <c r="Q1227" s="53"/>
      <c r="W1227" s="40"/>
    </row>
    <row r="1228" spans="16:23" x14ac:dyDescent="0.2">
      <c r="P1228" s="53"/>
      <c r="Q1228" s="53"/>
      <c r="W1228" s="40"/>
    </row>
    <row r="1229" spans="16:23" x14ac:dyDescent="0.2">
      <c r="P1229" s="53"/>
      <c r="Q1229" s="53"/>
      <c r="W1229" s="40"/>
    </row>
    <row r="1230" spans="16:23" x14ac:dyDescent="0.2">
      <c r="P1230" s="53"/>
      <c r="Q1230" s="53"/>
      <c r="W1230" s="40"/>
    </row>
    <row r="1231" spans="16:23" x14ac:dyDescent="0.2">
      <c r="P1231" s="53"/>
      <c r="Q1231" s="53"/>
      <c r="W1231" s="40"/>
    </row>
    <row r="1232" spans="16:23" x14ac:dyDescent="0.2">
      <c r="P1232" s="53"/>
      <c r="Q1232" s="53"/>
      <c r="W1232" s="40"/>
    </row>
    <row r="1233" spans="16:23" x14ac:dyDescent="0.2">
      <c r="P1233" s="53"/>
      <c r="Q1233" s="53"/>
      <c r="W1233" s="40"/>
    </row>
    <row r="1234" spans="16:23" x14ac:dyDescent="0.2">
      <c r="P1234" s="53"/>
      <c r="Q1234" s="53"/>
      <c r="W1234" s="40"/>
    </row>
    <row r="1235" spans="16:23" x14ac:dyDescent="0.2">
      <c r="P1235" s="53"/>
      <c r="Q1235" s="53"/>
      <c r="W1235" s="40"/>
    </row>
    <row r="1236" spans="16:23" x14ac:dyDescent="0.2">
      <c r="P1236" s="53"/>
      <c r="Q1236" s="53"/>
      <c r="W1236" s="40"/>
    </row>
    <row r="1237" spans="16:23" x14ac:dyDescent="0.2">
      <c r="P1237" s="53"/>
      <c r="Q1237" s="53"/>
      <c r="W1237" s="40"/>
    </row>
    <row r="1238" spans="16:23" x14ac:dyDescent="0.2">
      <c r="P1238" s="53"/>
      <c r="Q1238" s="53"/>
      <c r="W1238" s="40"/>
    </row>
    <row r="1239" spans="16:23" x14ac:dyDescent="0.2">
      <c r="P1239" s="53"/>
      <c r="Q1239" s="53"/>
      <c r="W1239" s="40"/>
    </row>
    <row r="1240" spans="16:23" x14ac:dyDescent="0.2">
      <c r="P1240" s="53"/>
      <c r="Q1240" s="53"/>
      <c r="W1240" s="40"/>
    </row>
    <row r="1241" spans="16:23" x14ac:dyDescent="0.2">
      <c r="P1241" s="53"/>
      <c r="Q1241" s="53"/>
      <c r="W1241" s="40"/>
    </row>
    <row r="1242" spans="16:23" x14ac:dyDescent="0.2">
      <c r="P1242" s="53"/>
      <c r="Q1242" s="53"/>
      <c r="W1242" s="40"/>
    </row>
    <row r="1243" spans="16:23" x14ac:dyDescent="0.2">
      <c r="P1243" s="53"/>
      <c r="Q1243" s="53"/>
      <c r="W1243" s="40"/>
    </row>
    <row r="1244" spans="16:23" x14ac:dyDescent="0.2">
      <c r="P1244" s="53"/>
      <c r="Q1244" s="53"/>
      <c r="W1244" s="40"/>
    </row>
    <row r="1245" spans="16:23" x14ac:dyDescent="0.2">
      <c r="P1245" s="53"/>
      <c r="Q1245" s="53"/>
      <c r="W1245" s="40"/>
    </row>
    <row r="1246" spans="16:23" x14ac:dyDescent="0.2">
      <c r="P1246" s="53"/>
      <c r="Q1246" s="53"/>
      <c r="W1246" s="40"/>
    </row>
    <row r="1247" spans="16:23" x14ac:dyDescent="0.2">
      <c r="P1247" s="53"/>
      <c r="Q1247" s="53"/>
      <c r="W1247" s="40"/>
    </row>
    <row r="1248" spans="16:23" x14ac:dyDescent="0.2">
      <c r="P1248" s="53"/>
      <c r="Q1248" s="53"/>
      <c r="W1248" s="40"/>
    </row>
    <row r="1249" spans="16:23" x14ac:dyDescent="0.2">
      <c r="P1249" s="53"/>
      <c r="Q1249" s="53"/>
      <c r="W1249" s="40"/>
    </row>
    <row r="1250" spans="16:23" x14ac:dyDescent="0.2">
      <c r="P1250" s="53"/>
      <c r="Q1250" s="53"/>
      <c r="W1250" s="40"/>
    </row>
    <row r="1251" spans="16:23" x14ac:dyDescent="0.2">
      <c r="P1251" s="53"/>
      <c r="Q1251" s="53"/>
      <c r="W1251" s="40"/>
    </row>
    <row r="1252" spans="16:23" x14ac:dyDescent="0.2">
      <c r="P1252" s="53"/>
      <c r="Q1252" s="53"/>
      <c r="W1252" s="40"/>
    </row>
    <row r="1253" spans="16:23" x14ac:dyDescent="0.2">
      <c r="P1253" s="53"/>
      <c r="Q1253" s="53"/>
      <c r="W1253" s="40"/>
    </row>
    <row r="1254" spans="16:23" x14ac:dyDescent="0.2">
      <c r="P1254" s="53"/>
      <c r="Q1254" s="53"/>
      <c r="W1254" s="40"/>
    </row>
    <row r="1255" spans="16:23" x14ac:dyDescent="0.2">
      <c r="P1255" s="53"/>
      <c r="Q1255" s="53"/>
      <c r="W1255" s="40"/>
    </row>
    <row r="1256" spans="16:23" x14ac:dyDescent="0.2">
      <c r="P1256" s="53"/>
      <c r="Q1256" s="53"/>
      <c r="W1256" s="40"/>
    </row>
    <row r="1257" spans="16:23" x14ac:dyDescent="0.2">
      <c r="P1257" s="53"/>
      <c r="Q1257" s="53"/>
      <c r="W1257" s="40"/>
    </row>
    <row r="1258" spans="16:23" x14ac:dyDescent="0.2">
      <c r="P1258" s="53"/>
      <c r="Q1258" s="53"/>
      <c r="W1258" s="40"/>
    </row>
    <row r="1259" spans="16:23" x14ac:dyDescent="0.2">
      <c r="P1259" s="53"/>
      <c r="Q1259" s="53"/>
      <c r="W1259" s="40"/>
    </row>
    <row r="1260" spans="16:23" x14ac:dyDescent="0.2">
      <c r="P1260" s="53"/>
      <c r="Q1260" s="53"/>
      <c r="W1260" s="40"/>
    </row>
    <row r="1261" spans="16:23" x14ac:dyDescent="0.2">
      <c r="P1261" s="53"/>
      <c r="Q1261" s="53"/>
      <c r="W1261" s="40"/>
    </row>
    <row r="1262" spans="16:23" x14ac:dyDescent="0.2">
      <c r="P1262" s="53"/>
      <c r="Q1262" s="53"/>
      <c r="W1262" s="40"/>
    </row>
    <row r="1263" spans="16:23" x14ac:dyDescent="0.2">
      <c r="P1263" s="53"/>
      <c r="Q1263" s="53"/>
      <c r="W1263" s="40"/>
    </row>
    <row r="1264" spans="16:23" x14ac:dyDescent="0.2">
      <c r="P1264" s="53"/>
      <c r="Q1264" s="53"/>
      <c r="W1264" s="40"/>
    </row>
    <row r="1265" spans="16:23" x14ac:dyDescent="0.2">
      <c r="P1265" s="53"/>
      <c r="Q1265" s="53"/>
      <c r="W1265" s="40"/>
    </row>
    <row r="1266" spans="16:23" x14ac:dyDescent="0.2">
      <c r="P1266" s="53"/>
      <c r="Q1266" s="53"/>
      <c r="W1266" s="40"/>
    </row>
    <row r="1267" spans="16:23" x14ac:dyDescent="0.2">
      <c r="P1267" s="53"/>
      <c r="Q1267" s="53"/>
      <c r="W1267" s="40"/>
    </row>
    <row r="1268" spans="16:23" x14ac:dyDescent="0.2">
      <c r="P1268" s="53"/>
      <c r="Q1268" s="53"/>
      <c r="W1268" s="40"/>
    </row>
    <row r="1269" spans="16:23" x14ac:dyDescent="0.2">
      <c r="P1269" s="53"/>
      <c r="Q1269" s="53"/>
      <c r="W1269" s="40"/>
    </row>
    <row r="1270" spans="16:23" x14ac:dyDescent="0.2">
      <c r="P1270" s="53"/>
      <c r="Q1270" s="53"/>
      <c r="W1270" s="40"/>
    </row>
    <row r="1271" spans="16:23" x14ac:dyDescent="0.2">
      <c r="P1271" s="53"/>
      <c r="Q1271" s="53"/>
      <c r="W1271" s="40"/>
    </row>
    <row r="1272" spans="16:23" x14ac:dyDescent="0.2">
      <c r="P1272" s="53"/>
      <c r="Q1272" s="53"/>
      <c r="W1272" s="40"/>
    </row>
    <row r="1273" spans="16:23" x14ac:dyDescent="0.2">
      <c r="P1273" s="53"/>
      <c r="Q1273" s="53"/>
      <c r="W1273" s="40"/>
    </row>
    <row r="1274" spans="16:23" x14ac:dyDescent="0.2">
      <c r="P1274" s="53"/>
      <c r="Q1274" s="53"/>
      <c r="W1274" s="40"/>
    </row>
    <row r="1275" spans="16:23" x14ac:dyDescent="0.2">
      <c r="P1275" s="53"/>
      <c r="Q1275" s="53"/>
      <c r="W1275" s="40"/>
    </row>
    <row r="1276" spans="16:23" x14ac:dyDescent="0.2">
      <c r="P1276" s="53"/>
      <c r="Q1276" s="53"/>
      <c r="W1276" s="40"/>
    </row>
    <row r="1277" spans="16:23" x14ac:dyDescent="0.2">
      <c r="P1277" s="53"/>
      <c r="Q1277" s="53"/>
      <c r="W1277" s="40"/>
    </row>
    <row r="1278" spans="16:23" x14ac:dyDescent="0.2">
      <c r="P1278" s="53"/>
      <c r="Q1278" s="53"/>
    </row>
    <row r="1279" spans="16:23" x14ac:dyDescent="0.2">
      <c r="P1279" s="53"/>
      <c r="Q1279" s="53"/>
    </row>
    <row r="1280" spans="16:23" x14ac:dyDescent="0.2">
      <c r="P1280" s="53"/>
      <c r="Q1280" s="53"/>
    </row>
    <row r="1281" spans="16:17" x14ac:dyDescent="0.2">
      <c r="P1281" s="53"/>
      <c r="Q1281" s="53"/>
    </row>
    <row r="1282" spans="16:17" x14ac:dyDescent="0.2">
      <c r="P1282" s="53"/>
      <c r="Q1282" s="53"/>
    </row>
    <row r="1283" spans="16:17" x14ac:dyDescent="0.2">
      <c r="P1283" s="53"/>
      <c r="Q1283" s="53"/>
    </row>
    <row r="1284" spans="16:17" x14ac:dyDescent="0.2">
      <c r="P1284" s="53"/>
      <c r="Q1284" s="53"/>
    </row>
    <row r="1285" spans="16:17" x14ac:dyDescent="0.2">
      <c r="P1285" s="53"/>
      <c r="Q1285" s="53"/>
    </row>
    <row r="1286" spans="16:17" x14ac:dyDescent="0.2">
      <c r="P1286" s="53"/>
      <c r="Q1286" s="53"/>
    </row>
    <row r="1287" spans="16:17" x14ac:dyDescent="0.2">
      <c r="P1287" s="53"/>
      <c r="Q1287" s="53"/>
    </row>
    <row r="1288" spans="16:17" x14ac:dyDescent="0.2">
      <c r="P1288" s="53"/>
      <c r="Q1288" s="53"/>
    </row>
    <row r="1289" spans="16:17" x14ac:dyDescent="0.2">
      <c r="P1289" s="53"/>
      <c r="Q1289" s="53"/>
    </row>
    <row r="1290" spans="16:17" x14ac:dyDescent="0.2">
      <c r="P1290" s="53"/>
      <c r="Q1290" s="53"/>
    </row>
    <row r="1291" spans="16:17" x14ac:dyDescent="0.2">
      <c r="P1291" s="53"/>
      <c r="Q1291" s="53"/>
    </row>
    <row r="1292" spans="16:17" x14ac:dyDescent="0.2">
      <c r="P1292" s="53"/>
      <c r="Q1292" s="53"/>
    </row>
    <row r="1293" spans="16:17" x14ac:dyDescent="0.2">
      <c r="P1293" s="53"/>
      <c r="Q1293" s="53"/>
    </row>
    <row r="1294" spans="16:17" x14ac:dyDescent="0.2">
      <c r="P1294" s="53"/>
      <c r="Q1294" s="53"/>
    </row>
    <row r="1295" spans="16:17" x14ac:dyDescent="0.2">
      <c r="P1295" s="53"/>
      <c r="Q1295" s="53"/>
    </row>
    <row r="1296" spans="16:17" x14ac:dyDescent="0.2">
      <c r="P1296" s="53"/>
      <c r="Q1296" s="53"/>
    </row>
    <row r="1297" spans="16:17" x14ac:dyDescent="0.2">
      <c r="P1297" s="53"/>
      <c r="Q1297" s="53"/>
    </row>
    <row r="1298" spans="16:17" x14ac:dyDescent="0.2">
      <c r="P1298" s="53"/>
      <c r="Q1298" s="53"/>
    </row>
    <row r="1299" spans="16:17" x14ac:dyDescent="0.2">
      <c r="P1299" s="53"/>
      <c r="Q1299" s="53"/>
    </row>
    <row r="1300" spans="16:17" x14ac:dyDescent="0.2">
      <c r="P1300" s="53"/>
      <c r="Q1300" s="53"/>
    </row>
    <row r="1301" spans="16:17" x14ac:dyDescent="0.2">
      <c r="P1301" s="53"/>
      <c r="Q1301" s="53"/>
    </row>
    <row r="1302" spans="16:17" x14ac:dyDescent="0.2">
      <c r="P1302" s="53"/>
      <c r="Q1302" s="53"/>
    </row>
    <row r="1303" spans="16:17" x14ac:dyDescent="0.2">
      <c r="P1303" s="53"/>
      <c r="Q1303" s="53"/>
    </row>
    <row r="1304" spans="16:17" x14ac:dyDescent="0.2">
      <c r="P1304" s="53"/>
      <c r="Q1304" s="53"/>
    </row>
    <row r="1305" spans="16:17" x14ac:dyDescent="0.2">
      <c r="P1305" s="53"/>
      <c r="Q1305" s="53"/>
    </row>
    <row r="1306" spans="16:17" x14ac:dyDescent="0.2">
      <c r="P1306" s="53"/>
      <c r="Q1306" s="53"/>
    </row>
    <row r="1307" spans="16:17" x14ac:dyDescent="0.2">
      <c r="P1307" s="53"/>
      <c r="Q1307" s="53"/>
    </row>
    <row r="1308" spans="16:17" x14ac:dyDescent="0.2">
      <c r="P1308" s="53"/>
      <c r="Q1308" s="53"/>
    </row>
    <row r="1309" spans="16:17" x14ac:dyDescent="0.2">
      <c r="P1309" s="53"/>
      <c r="Q1309" s="53"/>
    </row>
    <row r="1310" spans="16:17" x14ac:dyDescent="0.2">
      <c r="P1310" s="53"/>
      <c r="Q1310" s="53"/>
    </row>
    <row r="1311" spans="16:17" x14ac:dyDescent="0.2">
      <c r="P1311" s="53"/>
      <c r="Q1311" s="53"/>
    </row>
    <row r="1312" spans="16:17" x14ac:dyDescent="0.2">
      <c r="P1312" s="53"/>
      <c r="Q1312" s="53"/>
    </row>
    <row r="1313" spans="16:17" x14ac:dyDescent="0.2">
      <c r="P1313" s="53"/>
      <c r="Q1313" s="53"/>
    </row>
    <row r="1314" spans="16:17" x14ac:dyDescent="0.2">
      <c r="P1314" s="53"/>
      <c r="Q1314" s="53"/>
    </row>
    <row r="1315" spans="16:17" x14ac:dyDescent="0.2">
      <c r="P1315" s="53"/>
      <c r="Q1315" s="53"/>
    </row>
    <row r="1316" spans="16:17" x14ac:dyDescent="0.2">
      <c r="P1316" s="53"/>
      <c r="Q1316" s="53"/>
    </row>
    <row r="1317" spans="16:17" x14ac:dyDescent="0.2">
      <c r="P1317" s="53"/>
      <c r="Q1317" s="53"/>
    </row>
    <row r="1318" spans="16:17" x14ac:dyDescent="0.2">
      <c r="P1318" s="53"/>
      <c r="Q1318" s="53"/>
    </row>
    <row r="1319" spans="16:17" x14ac:dyDescent="0.2">
      <c r="P1319" s="53"/>
      <c r="Q1319" s="53"/>
    </row>
    <row r="1320" spans="16:17" x14ac:dyDescent="0.2">
      <c r="P1320" s="53"/>
      <c r="Q1320" s="53"/>
    </row>
    <row r="1321" spans="16:17" x14ac:dyDescent="0.2">
      <c r="P1321" s="53"/>
      <c r="Q1321" s="53"/>
    </row>
    <row r="1322" spans="16:17" x14ac:dyDescent="0.2">
      <c r="P1322" s="53"/>
      <c r="Q1322" s="53"/>
    </row>
    <row r="1323" spans="16:17" x14ac:dyDescent="0.2">
      <c r="P1323" s="53"/>
      <c r="Q1323" s="53"/>
    </row>
    <row r="1324" spans="16:17" x14ac:dyDescent="0.2">
      <c r="P1324" s="53"/>
      <c r="Q1324" s="53"/>
    </row>
    <row r="1325" spans="16:17" x14ac:dyDescent="0.2">
      <c r="P1325" s="53"/>
      <c r="Q1325" s="53"/>
    </row>
    <row r="1326" spans="16:17" x14ac:dyDescent="0.2">
      <c r="P1326" s="53"/>
      <c r="Q1326" s="53"/>
    </row>
    <row r="1327" spans="16:17" x14ac:dyDescent="0.2">
      <c r="P1327" s="53"/>
      <c r="Q1327" s="53"/>
    </row>
    <row r="1328" spans="16:17" x14ac:dyDescent="0.2">
      <c r="P1328" s="53"/>
      <c r="Q1328" s="53"/>
    </row>
    <row r="1329" spans="16:17" x14ac:dyDescent="0.2">
      <c r="P1329" s="53"/>
      <c r="Q1329" s="53"/>
    </row>
    <row r="1330" spans="16:17" x14ac:dyDescent="0.2">
      <c r="P1330" s="53"/>
      <c r="Q1330" s="53"/>
    </row>
    <row r="1331" spans="16:17" x14ac:dyDescent="0.2">
      <c r="P1331" s="53"/>
      <c r="Q1331" s="53"/>
    </row>
    <row r="1332" spans="16:17" x14ac:dyDescent="0.2">
      <c r="P1332" s="53"/>
      <c r="Q1332" s="53"/>
    </row>
    <row r="1333" spans="16:17" x14ac:dyDescent="0.2">
      <c r="P1333" s="53"/>
      <c r="Q1333" s="53"/>
    </row>
    <row r="1334" spans="16:17" x14ac:dyDescent="0.2">
      <c r="P1334" s="53"/>
      <c r="Q1334" s="53"/>
    </row>
    <row r="1335" spans="16:17" x14ac:dyDescent="0.2">
      <c r="P1335" s="53"/>
      <c r="Q1335" s="53"/>
    </row>
    <row r="1336" spans="16:17" x14ac:dyDescent="0.2">
      <c r="P1336" s="53"/>
      <c r="Q1336" s="53"/>
    </row>
    <row r="1337" spans="16:17" x14ac:dyDescent="0.2">
      <c r="P1337" s="53"/>
      <c r="Q1337" s="53"/>
    </row>
    <row r="1338" spans="16:17" x14ac:dyDescent="0.2">
      <c r="P1338" s="53"/>
      <c r="Q1338" s="53"/>
    </row>
    <row r="1339" spans="16:17" x14ac:dyDescent="0.2">
      <c r="P1339" s="53"/>
      <c r="Q1339" s="53"/>
    </row>
    <row r="1340" spans="16:17" x14ac:dyDescent="0.2">
      <c r="P1340" s="53"/>
      <c r="Q1340" s="53"/>
    </row>
    <row r="1341" spans="16:17" x14ac:dyDescent="0.2">
      <c r="P1341" s="53"/>
      <c r="Q1341" s="53"/>
    </row>
    <row r="1342" spans="16:17" x14ac:dyDescent="0.2">
      <c r="P1342" s="53"/>
      <c r="Q1342" s="53"/>
    </row>
    <row r="1343" spans="16:17" x14ac:dyDescent="0.2">
      <c r="P1343" s="53"/>
      <c r="Q1343" s="53"/>
    </row>
    <row r="1344" spans="16:17" x14ac:dyDescent="0.2">
      <c r="P1344" s="53"/>
      <c r="Q1344" s="53"/>
    </row>
    <row r="1345" spans="16:17" x14ac:dyDescent="0.2">
      <c r="P1345" s="53"/>
      <c r="Q1345" s="53"/>
    </row>
    <row r="1346" spans="16:17" x14ac:dyDescent="0.2">
      <c r="P1346" s="53"/>
      <c r="Q1346" s="53"/>
    </row>
    <row r="1347" spans="16:17" x14ac:dyDescent="0.2">
      <c r="P1347" s="53"/>
      <c r="Q1347" s="53"/>
    </row>
    <row r="1348" spans="16:17" x14ac:dyDescent="0.2">
      <c r="P1348" s="53"/>
      <c r="Q1348" s="53"/>
    </row>
    <row r="1349" spans="16:17" x14ac:dyDescent="0.2">
      <c r="P1349" s="53"/>
      <c r="Q1349" s="53"/>
    </row>
    <row r="1350" spans="16:17" x14ac:dyDescent="0.2">
      <c r="P1350" s="53"/>
      <c r="Q1350" s="53"/>
    </row>
    <row r="1351" spans="16:17" x14ac:dyDescent="0.2">
      <c r="P1351" s="53"/>
      <c r="Q1351" s="53"/>
    </row>
    <row r="1352" spans="16:17" x14ac:dyDescent="0.2">
      <c r="P1352" s="53"/>
      <c r="Q1352" s="53"/>
    </row>
    <row r="1353" spans="16:17" x14ac:dyDescent="0.2">
      <c r="P1353" s="53"/>
      <c r="Q1353" s="53"/>
    </row>
    <row r="1354" spans="16:17" x14ac:dyDescent="0.2">
      <c r="P1354" s="53"/>
      <c r="Q1354" s="53"/>
    </row>
    <row r="1355" spans="16:17" x14ac:dyDescent="0.2">
      <c r="P1355" s="53"/>
      <c r="Q1355" s="53"/>
    </row>
    <row r="1356" spans="16:17" x14ac:dyDescent="0.2">
      <c r="P1356" s="53"/>
      <c r="Q1356" s="53"/>
    </row>
    <row r="1357" spans="16:17" x14ac:dyDescent="0.2">
      <c r="P1357" s="53"/>
      <c r="Q1357" s="53"/>
    </row>
    <row r="1358" spans="16:17" x14ac:dyDescent="0.2">
      <c r="P1358" s="53"/>
      <c r="Q1358" s="53"/>
    </row>
    <row r="1359" spans="16:17" x14ac:dyDescent="0.2">
      <c r="P1359" s="53"/>
      <c r="Q1359" s="53"/>
    </row>
    <row r="1360" spans="16:17" x14ac:dyDescent="0.2">
      <c r="P1360" s="53"/>
      <c r="Q1360" s="53"/>
    </row>
    <row r="1361" spans="16:17" x14ac:dyDescent="0.2">
      <c r="P1361" s="53"/>
      <c r="Q1361" s="53"/>
    </row>
    <row r="1362" spans="16:17" x14ac:dyDescent="0.2">
      <c r="P1362" s="53"/>
      <c r="Q1362" s="53"/>
    </row>
    <row r="1363" spans="16:17" x14ac:dyDescent="0.2">
      <c r="P1363" s="53"/>
      <c r="Q1363" s="53"/>
    </row>
    <row r="1364" spans="16:17" x14ac:dyDescent="0.2">
      <c r="P1364" s="53"/>
      <c r="Q1364" s="53"/>
    </row>
    <row r="1365" spans="16:17" x14ac:dyDescent="0.2">
      <c r="P1365" s="53"/>
      <c r="Q1365" s="53"/>
    </row>
    <row r="1366" spans="16:17" x14ac:dyDescent="0.2">
      <c r="P1366" s="53"/>
      <c r="Q1366" s="53"/>
    </row>
    <row r="1367" spans="16:17" x14ac:dyDescent="0.2">
      <c r="P1367" s="53"/>
      <c r="Q1367" s="53"/>
    </row>
    <row r="1368" spans="16:17" x14ac:dyDescent="0.2">
      <c r="P1368" s="53"/>
      <c r="Q1368" s="53"/>
    </row>
    <row r="1369" spans="16:17" x14ac:dyDescent="0.2">
      <c r="P1369" s="53"/>
      <c r="Q1369" s="53"/>
    </row>
    <row r="1370" spans="16:17" x14ac:dyDescent="0.2">
      <c r="P1370" s="53"/>
      <c r="Q1370" s="53"/>
    </row>
    <row r="1371" spans="16:17" x14ac:dyDescent="0.2">
      <c r="P1371" s="53"/>
      <c r="Q1371" s="53"/>
    </row>
    <row r="1372" spans="16:17" x14ac:dyDescent="0.2">
      <c r="P1372" s="53"/>
      <c r="Q1372" s="53"/>
    </row>
    <row r="1373" spans="16:17" x14ac:dyDescent="0.2">
      <c r="P1373" s="53"/>
      <c r="Q1373" s="53"/>
    </row>
    <row r="1374" spans="16:17" x14ac:dyDescent="0.2">
      <c r="P1374" s="53"/>
      <c r="Q1374" s="53"/>
    </row>
    <row r="1375" spans="16:17" x14ac:dyDescent="0.2">
      <c r="P1375" s="53"/>
      <c r="Q1375" s="53"/>
    </row>
    <row r="1376" spans="16:17" x14ac:dyDescent="0.2">
      <c r="P1376" s="53"/>
      <c r="Q1376" s="53"/>
    </row>
    <row r="1377" spans="16:17" x14ac:dyDescent="0.2">
      <c r="P1377" s="53"/>
      <c r="Q1377" s="53"/>
    </row>
    <row r="1378" spans="16:17" x14ac:dyDescent="0.2">
      <c r="P1378" s="53"/>
      <c r="Q1378" s="53"/>
    </row>
    <row r="1379" spans="16:17" x14ac:dyDescent="0.2">
      <c r="P1379" s="53"/>
      <c r="Q1379" s="53"/>
    </row>
    <row r="1380" spans="16:17" x14ac:dyDescent="0.2">
      <c r="P1380" s="53"/>
      <c r="Q1380" s="53"/>
    </row>
    <row r="1381" spans="16:17" x14ac:dyDescent="0.2">
      <c r="P1381" s="53"/>
      <c r="Q1381" s="53"/>
    </row>
    <row r="1382" spans="16:17" x14ac:dyDescent="0.2">
      <c r="P1382" s="53"/>
      <c r="Q1382" s="53"/>
    </row>
    <row r="1383" spans="16:17" x14ac:dyDescent="0.2">
      <c r="P1383" s="53"/>
      <c r="Q1383" s="53"/>
    </row>
    <row r="1384" spans="16:17" x14ac:dyDescent="0.2">
      <c r="P1384" s="53"/>
      <c r="Q1384" s="53"/>
    </row>
    <row r="1385" spans="16:17" x14ac:dyDescent="0.2">
      <c r="P1385" s="53"/>
      <c r="Q1385" s="53"/>
    </row>
    <row r="1386" spans="16:17" x14ac:dyDescent="0.2">
      <c r="P1386" s="53"/>
      <c r="Q1386" s="53"/>
    </row>
    <row r="1387" spans="16:17" x14ac:dyDescent="0.2">
      <c r="P1387" s="53"/>
      <c r="Q1387" s="53"/>
    </row>
    <row r="1388" spans="16:17" x14ac:dyDescent="0.2">
      <c r="P1388" s="53"/>
      <c r="Q1388" s="53"/>
    </row>
    <row r="1389" spans="16:17" x14ac:dyDescent="0.2">
      <c r="P1389" s="53"/>
      <c r="Q1389" s="53"/>
    </row>
    <row r="1390" spans="16:17" x14ac:dyDescent="0.2">
      <c r="P1390" s="53"/>
      <c r="Q1390" s="53"/>
    </row>
    <row r="1391" spans="16:17" x14ac:dyDescent="0.2">
      <c r="P1391" s="53"/>
      <c r="Q1391" s="53"/>
    </row>
    <row r="1392" spans="16:17" x14ac:dyDescent="0.2">
      <c r="P1392" s="53"/>
      <c r="Q1392" s="53"/>
    </row>
    <row r="1393" spans="16:17" x14ac:dyDescent="0.2">
      <c r="P1393" s="53"/>
      <c r="Q1393" s="53"/>
    </row>
    <row r="1394" spans="16:17" x14ac:dyDescent="0.2">
      <c r="P1394" s="53"/>
      <c r="Q1394" s="53"/>
    </row>
    <row r="1395" spans="16:17" x14ac:dyDescent="0.2">
      <c r="P1395" s="53"/>
      <c r="Q1395" s="53"/>
    </row>
    <row r="1396" spans="16:17" x14ac:dyDescent="0.2">
      <c r="P1396" s="53"/>
      <c r="Q1396" s="53"/>
    </row>
    <row r="1397" spans="16:17" x14ac:dyDescent="0.2">
      <c r="P1397" s="53"/>
      <c r="Q1397" s="53"/>
    </row>
    <row r="1398" spans="16:17" x14ac:dyDescent="0.2">
      <c r="P1398" s="53"/>
      <c r="Q1398" s="53"/>
    </row>
    <row r="1399" spans="16:17" x14ac:dyDescent="0.2">
      <c r="P1399" s="53"/>
      <c r="Q1399" s="53"/>
    </row>
    <row r="1400" spans="16:17" x14ac:dyDescent="0.2">
      <c r="P1400" s="53"/>
      <c r="Q1400" s="53"/>
    </row>
    <row r="1401" spans="16:17" x14ac:dyDescent="0.2">
      <c r="P1401" s="53"/>
      <c r="Q1401" s="53"/>
    </row>
    <row r="1402" spans="16:17" x14ac:dyDescent="0.2">
      <c r="P1402" s="53"/>
      <c r="Q1402" s="53"/>
    </row>
    <row r="1403" spans="16:17" x14ac:dyDescent="0.2">
      <c r="P1403" s="53"/>
      <c r="Q1403" s="53"/>
    </row>
    <row r="1404" spans="16:17" x14ac:dyDescent="0.2">
      <c r="P1404" s="53"/>
      <c r="Q1404" s="53"/>
    </row>
    <row r="1405" spans="16:17" x14ac:dyDescent="0.2">
      <c r="P1405" s="53"/>
      <c r="Q1405" s="53"/>
    </row>
    <row r="1406" spans="16:17" x14ac:dyDescent="0.2">
      <c r="P1406" s="53"/>
      <c r="Q1406" s="53"/>
    </row>
    <row r="1407" spans="16:17" x14ac:dyDescent="0.2">
      <c r="P1407" s="53"/>
      <c r="Q1407" s="53"/>
    </row>
    <row r="1408" spans="16:17" x14ac:dyDescent="0.2">
      <c r="P1408" s="53"/>
      <c r="Q1408" s="53"/>
    </row>
    <row r="1409" spans="16:17" x14ac:dyDescent="0.2">
      <c r="P1409" s="53"/>
      <c r="Q1409" s="53"/>
    </row>
    <row r="1410" spans="16:17" x14ac:dyDescent="0.2">
      <c r="P1410" s="53"/>
      <c r="Q1410" s="53"/>
    </row>
    <row r="1411" spans="16:17" x14ac:dyDescent="0.2">
      <c r="P1411" s="53"/>
      <c r="Q1411" s="53"/>
    </row>
    <row r="1412" spans="16:17" x14ac:dyDescent="0.2">
      <c r="P1412" s="53"/>
      <c r="Q1412" s="53"/>
    </row>
    <row r="1413" spans="16:17" x14ac:dyDescent="0.2">
      <c r="P1413" s="53"/>
      <c r="Q1413" s="53"/>
    </row>
    <row r="1414" spans="16:17" x14ac:dyDescent="0.2">
      <c r="P1414" s="53"/>
      <c r="Q1414" s="53"/>
    </row>
    <row r="1415" spans="16:17" x14ac:dyDescent="0.2">
      <c r="P1415" s="53"/>
      <c r="Q1415" s="53"/>
    </row>
    <row r="1416" spans="16:17" x14ac:dyDescent="0.2">
      <c r="P1416" s="53"/>
      <c r="Q1416" s="53"/>
    </row>
    <row r="1417" spans="16:17" x14ac:dyDescent="0.2">
      <c r="P1417" s="53"/>
      <c r="Q1417" s="53"/>
    </row>
    <row r="1418" spans="16:17" x14ac:dyDescent="0.2">
      <c r="P1418" s="53"/>
      <c r="Q1418" s="53"/>
    </row>
    <row r="1419" spans="16:17" x14ac:dyDescent="0.2">
      <c r="P1419" s="53"/>
      <c r="Q1419" s="53"/>
    </row>
    <row r="1420" spans="16:17" x14ac:dyDescent="0.2">
      <c r="P1420" s="53"/>
      <c r="Q1420" s="53"/>
    </row>
    <row r="1421" spans="16:17" x14ac:dyDescent="0.2">
      <c r="P1421" s="53"/>
      <c r="Q1421" s="53"/>
    </row>
    <row r="1422" spans="16:17" x14ac:dyDescent="0.2">
      <c r="P1422" s="53"/>
      <c r="Q1422" s="53"/>
    </row>
    <row r="1423" spans="16:17" x14ac:dyDescent="0.2">
      <c r="P1423" s="53"/>
      <c r="Q1423" s="53"/>
    </row>
    <row r="1424" spans="16:17" x14ac:dyDescent="0.2">
      <c r="P1424" s="53"/>
      <c r="Q1424" s="53"/>
    </row>
    <row r="1425" spans="16:17" x14ac:dyDescent="0.2">
      <c r="P1425" s="53"/>
      <c r="Q1425" s="53"/>
    </row>
    <row r="1426" spans="16:17" x14ac:dyDescent="0.2">
      <c r="P1426" s="53"/>
      <c r="Q1426" s="53"/>
    </row>
    <row r="1427" spans="16:17" x14ac:dyDescent="0.2">
      <c r="P1427" s="53"/>
      <c r="Q1427" s="53"/>
    </row>
    <row r="1428" spans="16:17" x14ac:dyDescent="0.2">
      <c r="P1428" s="53"/>
      <c r="Q1428" s="53"/>
    </row>
    <row r="1429" spans="16:17" x14ac:dyDescent="0.2">
      <c r="P1429" s="53"/>
      <c r="Q1429" s="53"/>
    </row>
    <row r="1430" spans="16:17" x14ac:dyDescent="0.2">
      <c r="P1430" s="53"/>
      <c r="Q1430" s="53"/>
    </row>
    <row r="1431" spans="16:17" x14ac:dyDescent="0.2">
      <c r="P1431" s="53"/>
      <c r="Q1431" s="53"/>
    </row>
    <row r="1432" spans="16:17" x14ac:dyDescent="0.2">
      <c r="P1432" s="53"/>
      <c r="Q1432" s="53"/>
    </row>
    <row r="1433" spans="16:17" x14ac:dyDescent="0.2">
      <c r="P1433" s="53"/>
      <c r="Q1433" s="53"/>
    </row>
    <row r="1434" spans="16:17" x14ac:dyDescent="0.2">
      <c r="P1434" s="53"/>
      <c r="Q1434" s="53"/>
    </row>
    <row r="1435" spans="16:17" x14ac:dyDescent="0.2">
      <c r="P1435" s="53"/>
      <c r="Q1435" s="53"/>
    </row>
    <row r="1436" spans="16:17" x14ac:dyDescent="0.2">
      <c r="P1436" s="53"/>
      <c r="Q1436" s="53"/>
    </row>
    <row r="1437" spans="16:17" x14ac:dyDescent="0.2">
      <c r="P1437" s="53"/>
      <c r="Q1437" s="53"/>
    </row>
    <row r="1438" spans="16:17" x14ac:dyDescent="0.2">
      <c r="P1438" s="53"/>
      <c r="Q1438" s="53"/>
    </row>
    <row r="1439" spans="16:17" x14ac:dyDescent="0.2">
      <c r="P1439" s="53"/>
      <c r="Q1439" s="53"/>
    </row>
    <row r="1440" spans="16:17" x14ac:dyDescent="0.2">
      <c r="P1440" s="53"/>
      <c r="Q1440" s="53"/>
    </row>
    <row r="1441" spans="16:17" x14ac:dyDescent="0.2">
      <c r="P1441" s="53"/>
      <c r="Q1441" s="53"/>
    </row>
    <row r="1442" spans="16:17" x14ac:dyDescent="0.2">
      <c r="P1442" s="53"/>
      <c r="Q1442" s="53"/>
    </row>
    <row r="1443" spans="16:17" x14ac:dyDescent="0.2">
      <c r="P1443" s="53"/>
      <c r="Q1443" s="53"/>
    </row>
    <row r="1444" spans="16:17" x14ac:dyDescent="0.2">
      <c r="P1444" s="53"/>
      <c r="Q1444" s="53"/>
    </row>
    <row r="1445" spans="16:17" x14ac:dyDescent="0.2">
      <c r="P1445" s="53"/>
      <c r="Q1445" s="53"/>
    </row>
    <row r="1446" spans="16:17" x14ac:dyDescent="0.2">
      <c r="P1446" s="53"/>
      <c r="Q1446" s="53"/>
    </row>
    <row r="1447" spans="16:17" x14ac:dyDescent="0.2">
      <c r="P1447" s="53"/>
      <c r="Q1447" s="53"/>
    </row>
    <row r="1448" spans="16:17" x14ac:dyDescent="0.2">
      <c r="P1448" s="53"/>
      <c r="Q1448" s="53"/>
    </row>
    <row r="1449" spans="16:17" x14ac:dyDescent="0.2">
      <c r="P1449" s="53"/>
      <c r="Q1449" s="53"/>
    </row>
    <row r="1450" spans="16:17" x14ac:dyDescent="0.2">
      <c r="P1450" s="53"/>
      <c r="Q1450" s="53"/>
    </row>
    <row r="1451" spans="16:17" x14ac:dyDescent="0.2">
      <c r="P1451" s="53"/>
      <c r="Q1451" s="53"/>
    </row>
    <row r="1452" spans="16:17" x14ac:dyDescent="0.2">
      <c r="P1452" s="53"/>
      <c r="Q1452" s="53"/>
    </row>
    <row r="1453" spans="16:17" x14ac:dyDescent="0.2">
      <c r="P1453" s="53"/>
      <c r="Q1453" s="53"/>
    </row>
    <row r="1454" spans="16:17" x14ac:dyDescent="0.2">
      <c r="P1454" s="53"/>
      <c r="Q1454" s="53"/>
    </row>
    <row r="1455" spans="16:17" x14ac:dyDescent="0.2">
      <c r="P1455" s="53"/>
      <c r="Q1455" s="53"/>
    </row>
    <row r="1456" spans="16:17" x14ac:dyDescent="0.2">
      <c r="P1456" s="53"/>
      <c r="Q1456" s="53"/>
    </row>
    <row r="1457" spans="16:17" x14ac:dyDescent="0.2">
      <c r="P1457" s="53"/>
      <c r="Q1457" s="53"/>
    </row>
    <row r="1458" spans="16:17" x14ac:dyDescent="0.2">
      <c r="P1458" s="53"/>
      <c r="Q1458" s="53"/>
    </row>
    <row r="1459" spans="16:17" x14ac:dyDescent="0.2">
      <c r="P1459" s="53"/>
      <c r="Q1459" s="53"/>
    </row>
    <row r="1460" spans="16:17" x14ac:dyDescent="0.2">
      <c r="P1460" s="53"/>
      <c r="Q1460" s="53"/>
    </row>
    <row r="1461" spans="16:17" x14ac:dyDescent="0.2">
      <c r="P1461" s="53"/>
      <c r="Q1461" s="53"/>
    </row>
    <row r="1462" spans="16:17" x14ac:dyDescent="0.2">
      <c r="P1462" s="53"/>
      <c r="Q1462" s="53"/>
    </row>
    <row r="1463" spans="16:17" x14ac:dyDescent="0.2">
      <c r="P1463" s="53"/>
      <c r="Q1463" s="53"/>
    </row>
    <row r="1464" spans="16:17" x14ac:dyDescent="0.2">
      <c r="P1464" s="53"/>
      <c r="Q1464" s="53"/>
    </row>
    <row r="1465" spans="16:17" x14ac:dyDescent="0.2">
      <c r="P1465" s="53"/>
      <c r="Q1465" s="53"/>
    </row>
    <row r="1466" spans="16:17" x14ac:dyDescent="0.2">
      <c r="P1466" s="53"/>
      <c r="Q1466" s="53"/>
    </row>
    <row r="1467" spans="16:17" x14ac:dyDescent="0.2">
      <c r="P1467" s="53"/>
      <c r="Q1467" s="53"/>
    </row>
    <row r="1468" spans="16:17" x14ac:dyDescent="0.2">
      <c r="P1468" s="53"/>
      <c r="Q1468" s="53"/>
    </row>
    <row r="1469" spans="16:17" x14ac:dyDescent="0.2">
      <c r="P1469" s="53"/>
      <c r="Q1469" s="53"/>
    </row>
    <row r="1470" spans="16:17" x14ac:dyDescent="0.2">
      <c r="P1470" s="53"/>
      <c r="Q1470" s="53"/>
    </row>
    <row r="1471" spans="16:17" x14ac:dyDescent="0.2">
      <c r="P1471" s="53"/>
      <c r="Q1471" s="53"/>
    </row>
    <row r="1472" spans="16:17" x14ac:dyDescent="0.2">
      <c r="P1472" s="53"/>
      <c r="Q1472" s="53"/>
    </row>
    <row r="1473" spans="16:17" x14ac:dyDescent="0.2">
      <c r="P1473" s="53"/>
      <c r="Q1473" s="53"/>
    </row>
    <row r="1474" spans="16:17" x14ac:dyDescent="0.2">
      <c r="P1474" s="53"/>
      <c r="Q1474" s="53"/>
    </row>
    <row r="1475" spans="16:17" x14ac:dyDescent="0.2">
      <c r="P1475" s="53"/>
      <c r="Q1475" s="53"/>
    </row>
    <row r="1476" spans="16:17" x14ac:dyDescent="0.2">
      <c r="P1476" s="53"/>
      <c r="Q1476" s="53"/>
    </row>
    <row r="1477" spans="16:17" x14ac:dyDescent="0.2">
      <c r="P1477" s="53"/>
      <c r="Q1477" s="53"/>
    </row>
    <row r="1478" spans="16:17" x14ac:dyDescent="0.2">
      <c r="P1478" s="53"/>
      <c r="Q1478" s="53"/>
    </row>
    <row r="1479" spans="16:17" x14ac:dyDescent="0.2">
      <c r="P1479" s="53"/>
      <c r="Q1479" s="53"/>
    </row>
    <row r="1480" spans="16:17" x14ac:dyDescent="0.2">
      <c r="P1480" s="53"/>
      <c r="Q1480" s="53"/>
    </row>
    <row r="1481" spans="16:17" x14ac:dyDescent="0.2">
      <c r="P1481" s="53"/>
      <c r="Q1481" s="53"/>
    </row>
    <row r="1482" spans="16:17" x14ac:dyDescent="0.2">
      <c r="P1482" s="53"/>
      <c r="Q1482" s="53"/>
    </row>
    <row r="1483" spans="16:17" x14ac:dyDescent="0.2">
      <c r="P1483" s="53"/>
      <c r="Q1483" s="53"/>
    </row>
    <row r="1484" spans="16:17" x14ac:dyDescent="0.2">
      <c r="P1484" s="53"/>
      <c r="Q1484" s="53"/>
    </row>
    <row r="1485" spans="16:17" x14ac:dyDescent="0.2">
      <c r="P1485" s="53"/>
      <c r="Q1485" s="53"/>
    </row>
    <row r="1486" spans="16:17" x14ac:dyDescent="0.2">
      <c r="P1486" s="53"/>
      <c r="Q1486" s="53"/>
    </row>
    <row r="1487" spans="16:17" x14ac:dyDescent="0.2">
      <c r="P1487" s="53"/>
      <c r="Q1487" s="53"/>
    </row>
    <row r="1488" spans="16:17" x14ac:dyDescent="0.2">
      <c r="P1488" s="53"/>
      <c r="Q1488" s="53"/>
    </row>
    <row r="1489" spans="16:17" x14ac:dyDescent="0.2">
      <c r="P1489" s="53"/>
      <c r="Q1489" s="53"/>
    </row>
    <row r="1490" spans="16:17" x14ac:dyDescent="0.2">
      <c r="P1490" s="53"/>
      <c r="Q1490" s="53"/>
    </row>
    <row r="1491" spans="16:17" x14ac:dyDescent="0.2">
      <c r="P1491" s="53"/>
      <c r="Q1491" s="53"/>
    </row>
    <row r="1492" spans="16:17" x14ac:dyDescent="0.2">
      <c r="P1492" s="53"/>
      <c r="Q1492" s="53"/>
    </row>
    <row r="1493" spans="16:17" x14ac:dyDescent="0.2">
      <c r="P1493" s="53"/>
      <c r="Q1493" s="53"/>
    </row>
    <row r="1494" spans="16:17" x14ac:dyDescent="0.2">
      <c r="P1494" s="53"/>
      <c r="Q1494" s="53"/>
    </row>
    <row r="1495" spans="16:17" x14ac:dyDescent="0.2">
      <c r="P1495" s="53"/>
      <c r="Q1495" s="53"/>
    </row>
    <row r="1496" spans="16:17" x14ac:dyDescent="0.2">
      <c r="P1496" s="53"/>
      <c r="Q1496" s="53"/>
    </row>
    <row r="1497" spans="16:17" x14ac:dyDescent="0.2">
      <c r="P1497" s="53"/>
      <c r="Q1497" s="53"/>
    </row>
    <row r="1498" spans="16:17" x14ac:dyDescent="0.2">
      <c r="P1498" s="53"/>
      <c r="Q1498" s="53"/>
    </row>
    <row r="1499" spans="16:17" x14ac:dyDescent="0.2">
      <c r="P1499" s="53"/>
      <c r="Q1499" s="53"/>
    </row>
    <row r="1500" spans="16:17" x14ac:dyDescent="0.2">
      <c r="P1500" s="53"/>
      <c r="Q1500" s="53"/>
    </row>
    <row r="1501" spans="16:17" x14ac:dyDescent="0.2">
      <c r="P1501" s="53"/>
      <c r="Q1501" s="53"/>
    </row>
    <row r="1502" spans="16:17" x14ac:dyDescent="0.2">
      <c r="P1502" s="53"/>
      <c r="Q1502" s="53"/>
    </row>
    <row r="1503" spans="16:17" x14ac:dyDescent="0.2">
      <c r="P1503" s="53"/>
      <c r="Q1503" s="53"/>
    </row>
    <row r="1504" spans="16:17" x14ac:dyDescent="0.2">
      <c r="P1504" s="53"/>
      <c r="Q1504" s="53"/>
    </row>
    <row r="1505" spans="16:17" x14ac:dyDescent="0.2">
      <c r="P1505" s="53"/>
      <c r="Q1505" s="53"/>
    </row>
    <row r="1506" spans="16:17" x14ac:dyDescent="0.2">
      <c r="P1506" s="53"/>
      <c r="Q1506" s="53"/>
    </row>
    <row r="1507" spans="16:17" x14ac:dyDescent="0.2">
      <c r="P1507" s="53"/>
      <c r="Q1507" s="53"/>
    </row>
    <row r="1508" spans="16:17" x14ac:dyDescent="0.2">
      <c r="P1508" s="53"/>
      <c r="Q1508" s="53"/>
    </row>
    <row r="1509" spans="16:17" x14ac:dyDescent="0.2">
      <c r="P1509" s="53"/>
      <c r="Q1509" s="53"/>
    </row>
    <row r="1510" spans="16:17" x14ac:dyDescent="0.2">
      <c r="P1510" s="53"/>
      <c r="Q1510" s="53"/>
    </row>
    <row r="1511" spans="16:17" x14ac:dyDescent="0.2">
      <c r="P1511" s="53"/>
      <c r="Q1511" s="53"/>
    </row>
    <row r="1512" spans="16:17" x14ac:dyDescent="0.2">
      <c r="P1512" s="53"/>
      <c r="Q1512" s="53"/>
    </row>
    <row r="1513" spans="16:17" x14ac:dyDescent="0.2">
      <c r="P1513" s="53"/>
      <c r="Q1513" s="53"/>
    </row>
    <row r="1514" spans="16:17" x14ac:dyDescent="0.2">
      <c r="P1514" s="53"/>
      <c r="Q1514" s="53"/>
    </row>
    <row r="1515" spans="16:17" x14ac:dyDescent="0.2">
      <c r="P1515" s="53"/>
      <c r="Q1515" s="53"/>
    </row>
    <row r="1516" spans="16:17" x14ac:dyDescent="0.2">
      <c r="P1516" s="53"/>
      <c r="Q1516" s="53"/>
    </row>
    <row r="1517" spans="16:17" x14ac:dyDescent="0.2">
      <c r="P1517" s="53"/>
      <c r="Q1517" s="53"/>
    </row>
    <row r="1518" spans="16:17" x14ac:dyDescent="0.2">
      <c r="P1518" s="53"/>
      <c r="Q1518" s="53"/>
    </row>
    <row r="1519" spans="16:17" x14ac:dyDescent="0.2">
      <c r="P1519" s="53"/>
      <c r="Q1519" s="53"/>
    </row>
    <row r="1520" spans="16:17" x14ac:dyDescent="0.2">
      <c r="P1520" s="53"/>
      <c r="Q1520" s="53"/>
    </row>
    <row r="1521" spans="16:17" x14ac:dyDescent="0.2">
      <c r="P1521" s="53"/>
      <c r="Q1521" s="53"/>
    </row>
    <row r="1522" spans="16:17" x14ac:dyDescent="0.2">
      <c r="P1522" s="53"/>
      <c r="Q1522" s="53"/>
    </row>
    <row r="1523" spans="16:17" x14ac:dyDescent="0.2">
      <c r="P1523" s="53"/>
      <c r="Q1523" s="53"/>
    </row>
    <row r="1524" spans="16:17" x14ac:dyDescent="0.2">
      <c r="P1524" s="53"/>
      <c r="Q1524" s="53"/>
    </row>
    <row r="1525" spans="16:17" x14ac:dyDescent="0.2">
      <c r="P1525" s="53"/>
      <c r="Q1525" s="53"/>
    </row>
    <row r="1526" spans="16:17" x14ac:dyDescent="0.2">
      <c r="P1526" s="53"/>
      <c r="Q1526" s="53"/>
    </row>
    <row r="1527" spans="16:17" x14ac:dyDescent="0.2">
      <c r="P1527" s="53"/>
      <c r="Q1527" s="53"/>
    </row>
    <row r="1528" spans="16:17" x14ac:dyDescent="0.2">
      <c r="P1528" s="53"/>
      <c r="Q1528" s="53"/>
    </row>
    <row r="1529" spans="16:17" x14ac:dyDescent="0.2">
      <c r="P1529" s="53"/>
      <c r="Q1529" s="53"/>
    </row>
    <row r="1530" spans="16:17" x14ac:dyDescent="0.2">
      <c r="P1530" s="53"/>
      <c r="Q1530" s="53"/>
    </row>
    <row r="1531" spans="16:17" x14ac:dyDescent="0.2">
      <c r="P1531" s="53"/>
      <c r="Q1531" s="53"/>
    </row>
    <row r="1532" spans="16:17" x14ac:dyDescent="0.2">
      <c r="P1532" s="53"/>
      <c r="Q1532" s="53"/>
    </row>
    <row r="1533" spans="16:17" x14ac:dyDescent="0.2">
      <c r="P1533" s="53"/>
      <c r="Q1533" s="53"/>
    </row>
    <row r="1534" spans="16:17" x14ac:dyDescent="0.2">
      <c r="P1534" s="53"/>
      <c r="Q1534" s="53"/>
    </row>
    <row r="1535" spans="16:17" x14ac:dyDescent="0.2">
      <c r="P1535" s="53"/>
      <c r="Q1535" s="53"/>
    </row>
    <row r="1536" spans="16:17" x14ac:dyDescent="0.2">
      <c r="P1536" s="53"/>
      <c r="Q1536" s="53"/>
    </row>
    <row r="1537" spans="16:17" x14ac:dyDescent="0.2">
      <c r="P1537" s="53"/>
      <c r="Q1537" s="53"/>
    </row>
    <row r="1538" spans="16:17" x14ac:dyDescent="0.2">
      <c r="P1538" s="53"/>
      <c r="Q1538" s="53"/>
    </row>
    <row r="1539" spans="16:17" x14ac:dyDescent="0.2">
      <c r="P1539" s="53"/>
      <c r="Q1539" s="53"/>
    </row>
    <row r="1540" spans="16:17" x14ac:dyDescent="0.2">
      <c r="P1540" s="53"/>
      <c r="Q1540" s="53"/>
    </row>
    <row r="1541" spans="16:17" x14ac:dyDescent="0.2">
      <c r="P1541" s="53"/>
      <c r="Q1541" s="53"/>
    </row>
    <row r="1542" spans="16:17" x14ac:dyDescent="0.2">
      <c r="P1542" s="53"/>
      <c r="Q1542" s="53"/>
    </row>
    <row r="1543" spans="16:17" x14ac:dyDescent="0.2">
      <c r="P1543" s="53"/>
      <c r="Q1543" s="53"/>
    </row>
    <row r="1544" spans="16:17" x14ac:dyDescent="0.2">
      <c r="P1544" s="53"/>
      <c r="Q1544" s="53"/>
    </row>
    <row r="1545" spans="16:17" x14ac:dyDescent="0.2">
      <c r="P1545" s="53"/>
      <c r="Q1545" s="53"/>
    </row>
    <row r="1546" spans="16:17" x14ac:dyDescent="0.2">
      <c r="P1546" s="53"/>
      <c r="Q1546" s="53"/>
    </row>
    <row r="1547" spans="16:17" x14ac:dyDescent="0.2">
      <c r="P1547" s="53"/>
      <c r="Q1547" s="53"/>
    </row>
    <row r="1548" spans="16:17" x14ac:dyDescent="0.2">
      <c r="P1548" s="53"/>
      <c r="Q1548" s="53"/>
    </row>
    <row r="1549" spans="16:17" x14ac:dyDescent="0.2">
      <c r="P1549" s="53"/>
      <c r="Q1549" s="53"/>
    </row>
    <row r="1550" spans="16:17" x14ac:dyDescent="0.2">
      <c r="P1550" s="53"/>
      <c r="Q1550" s="53"/>
    </row>
    <row r="1551" spans="16:17" x14ac:dyDescent="0.2">
      <c r="P1551" s="53"/>
      <c r="Q1551" s="53"/>
    </row>
    <row r="1552" spans="16:17" x14ac:dyDescent="0.2">
      <c r="P1552" s="53"/>
      <c r="Q1552" s="53"/>
    </row>
    <row r="1553" spans="16:17" x14ac:dyDescent="0.2">
      <c r="P1553" s="53"/>
      <c r="Q1553" s="53"/>
    </row>
    <row r="1554" spans="16:17" x14ac:dyDescent="0.2">
      <c r="P1554" s="53"/>
      <c r="Q1554" s="53"/>
    </row>
    <row r="1555" spans="16:17" x14ac:dyDescent="0.2">
      <c r="P1555" s="53"/>
      <c r="Q1555" s="53"/>
    </row>
    <row r="1556" spans="16:17" x14ac:dyDescent="0.2">
      <c r="P1556" s="53"/>
      <c r="Q1556" s="53"/>
    </row>
    <row r="1557" spans="16:17" x14ac:dyDescent="0.2">
      <c r="P1557" s="53"/>
      <c r="Q1557" s="53"/>
    </row>
    <row r="1558" spans="16:17" x14ac:dyDescent="0.2">
      <c r="P1558" s="53"/>
      <c r="Q1558" s="53"/>
    </row>
    <row r="1559" spans="16:17" x14ac:dyDescent="0.2">
      <c r="P1559" s="53"/>
      <c r="Q1559" s="53"/>
    </row>
    <row r="1560" spans="16:17" x14ac:dyDescent="0.2">
      <c r="P1560" s="53"/>
      <c r="Q1560" s="53"/>
    </row>
    <row r="1561" spans="16:17" x14ac:dyDescent="0.2">
      <c r="P1561" s="53"/>
      <c r="Q1561" s="53"/>
    </row>
    <row r="1562" spans="16:17" x14ac:dyDescent="0.2">
      <c r="P1562" s="53"/>
      <c r="Q1562" s="53"/>
    </row>
    <row r="1563" spans="16:17" x14ac:dyDescent="0.2">
      <c r="P1563" s="53"/>
      <c r="Q1563" s="53"/>
    </row>
    <row r="1564" spans="16:17" x14ac:dyDescent="0.2">
      <c r="P1564" s="53"/>
      <c r="Q1564" s="53"/>
    </row>
    <row r="1565" spans="16:17" x14ac:dyDescent="0.2">
      <c r="P1565" s="53"/>
      <c r="Q1565" s="53"/>
    </row>
    <row r="1566" spans="16:17" x14ac:dyDescent="0.2">
      <c r="P1566" s="53"/>
      <c r="Q1566" s="53"/>
    </row>
    <row r="1567" spans="16:17" x14ac:dyDescent="0.2">
      <c r="P1567" s="53"/>
      <c r="Q1567" s="53"/>
    </row>
    <row r="1568" spans="16:17" x14ac:dyDescent="0.2">
      <c r="P1568" s="53"/>
      <c r="Q1568" s="53"/>
    </row>
    <row r="1569" spans="16:17" x14ac:dyDescent="0.2">
      <c r="P1569" s="53"/>
      <c r="Q1569" s="53"/>
    </row>
    <row r="1570" spans="16:17" x14ac:dyDescent="0.2">
      <c r="P1570" s="53"/>
      <c r="Q1570" s="53"/>
    </row>
    <row r="1571" spans="16:17" x14ac:dyDescent="0.2">
      <c r="P1571" s="53"/>
      <c r="Q1571" s="53"/>
    </row>
    <row r="1572" spans="16:17" x14ac:dyDescent="0.2">
      <c r="P1572" s="53"/>
      <c r="Q1572" s="53"/>
    </row>
    <row r="1573" spans="16:17" x14ac:dyDescent="0.2">
      <c r="P1573" s="53"/>
      <c r="Q1573" s="53"/>
    </row>
    <row r="1574" spans="16:17" x14ac:dyDescent="0.2">
      <c r="P1574" s="53"/>
      <c r="Q1574" s="53"/>
    </row>
  </sheetData>
  <sheetProtection selectLockedCells="1"/>
  <sortState ref="D12:J199">
    <sortCondition ref="D12"/>
  </sortState>
  <mergeCells count="3">
    <mergeCell ref="P10:Q10"/>
    <mergeCell ref="S10:V10"/>
    <mergeCell ref="D10:N10"/>
  </mergeCells>
  <dataValidations count="1">
    <dataValidation type="list" allowBlank="1" showInputMessage="1" showErrorMessage="1" errorTitle="Netting Set no Existe" error="Primero debes especificar un Netting Set a la izquierda antes de asignarlo a una operación." sqref="Q12:Q1048571">
      <formula1>INDIRECT($F$4)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S1571"/>
  <sheetViews>
    <sheetView showGridLines="0" topLeftCell="C4" zoomScaleNormal="100" workbookViewId="0">
      <pane xSplit="12" ySplit="5" topLeftCell="AO9" activePane="bottomRight" state="frozen"/>
      <selection activeCell="C4" sqref="C4"/>
      <selection pane="topRight" activeCell="O4" sqref="O4"/>
      <selection pane="bottomLeft" activeCell="C9" sqref="C9"/>
      <selection pane="bottomRight" activeCell="J41" sqref="J41"/>
    </sheetView>
  </sheetViews>
  <sheetFormatPr baseColWidth="10" defaultColWidth="2.125" defaultRowHeight="14.25" outlineLevelRow="1" outlineLevelCol="1" x14ac:dyDescent="0.2"/>
  <cols>
    <col min="1" max="1" width="14.75" style="2" hidden="1" customWidth="1" outlineLevel="1"/>
    <col min="2" max="2" width="17" style="2" hidden="1" customWidth="1" outlineLevel="1"/>
    <col min="3" max="3" width="2.625" style="30" customWidth="1" collapsed="1"/>
    <col min="4" max="4" width="10.625" style="50" customWidth="1"/>
    <col min="5" max="5" width="8.625" style="50" customWidth="1"/>
    <col min="6" max="6" width="7.5" style="50" customWidth="1"/>
    <col min="7" max="7" width="6.375" style="50" customWidth="1"/>
    <col min="8" max="8" width="11.875" style="50" customWidth="1"/>
    <col min="9" max="9" width="11.125" style="50" customWidth="1"/>
    <col min="10" max="10" width="9.125" style="50" customWidth="1"/>
    <col min="11" max="11" width="14.375" style="50" customWidth="1"/>
    <col min="12" max="15" width="9.125" style="50" customWidth="1"/>
    <col min="16" max="16" width="10.25" style="50" customWidth="1"/>
    <col min="17" max="20" width="9.125" style="50" customWidth="1"/>
    <col min="21" max="21" width="12" style="50" customWidth="1"/>
    <col min="22" max="22" width="9.125" style="50" customWidth="1"/>
    <col min="23" max="23" width="12.625" style="50" customWidth="1"/>
    <col min="24" max="27" width="9.125" style="50" customWidth="1"/>
    <col min="28" max="28" width="13.75" style="50" customWidth="1"/>
    <col min="29" max="32" width="9.125" style="50" customWidth="1"/>
    <col min="33" max="33" width="11.25" style="50" customWidth="1"/>
    <col min="34" max="34" width="9.125" style="50" customWidth="1"/>
    <col min="35" max="35" width="10.75" style="50" customWidth="1"/>
    <col min="36" max="37" width="9.125" style="50" customWidth="1"/>
    <col min="38" max="38" width="10.875" style="50" customWidth="1"/>
    <col min="39" max="39" width="13.125" style="50" customWidth="1"/>
    <col min="40" max="40" width="12.625" style="50" customWidth="1"/>
    <col min="41" max="41" width="9.125" style="50" customWidth="1"/>
    <col min="42" max="42" width="13.5" style="39" customWidth="1"/>
    <col min="43" max="43" width="10.875" style="1" bestFit="1" customWidth="1"/>
    <col min="44" max="44" width="14.625" style="1" bestFit="1" customWidth="1"/>
    <col min="45" max="16384" width="2.125" style="1"/>
  </cols>
  <sheetData>
    <row r="1" spans="1:45" s="2" customFormat="1" hidden="1" outlineLevel="1" x14ac:dyDescent="0.2">
      <c r="A1" s="2" t="str">
        <f ca="1">nameOfThisSheet()</f>
        <v>Operations</v>
      </c>
      <c r="C1" s="4"/>
      <c r="D1" s="4"/>
      <c r="E1" s="4"/>
      <c r="F1" s="4"/>
      <c r="G1" s="4"/>
      <c r="I1" s="4"/>
      <c r="J1" s="4"/>
      <c r="K1" s="5"/>
      <c r="L1" s="4"/>
      <c r="U1" s="4"/>
      <c r="V1" s="4"/>
      <c r="W1" s="4"/>
      <c r="X1" s="4"/>
      <c r="Y1" s="4"/>
      <c r="Z1" s="4"/>
      <c r="AA1" s="4"/>
      <c r="AB1" s="4"/>
      <c r="AC1" s="4"/>
    </row>
    <row r="2" spans="1:45" s="2" customFormat="1" hidden="1" outlineLevel="1" x14ac:dyDescent="0.2">
      <c r="C2" s="4"/>
      <c r="D2" s="4"/>
      <c r="E2" s="4"/>
      <c r="F2" s="4"/>
      <c r="G2" s="4"/>
      <c r="H2" s="4"/>
      <c r="I2" s="4"/>
      <c r="J2" s="4"/>
      <c r="K2" s="5"/>
      <c r="L2" s="4"/>
      <c r="U2" s="4"/>
      <c r="V2" s="4"/>
      <c r="W2" s="4"/>
      <c r="X2" s="4"/>
      <c r="Y2" s="4"/>
      <c r="Z2" s="4"/>
      <c r="AA2" s="4"/>
      <c r="AB2" s="4"/>
      <c r="AC2" s="4"/>
    </row>
    <row r="3" spans="1:45" s="42" customFormat="1" ht="10.5" hidden="1" customHeight="1" outlineLevel="1" x14ac:dyDescent="0.2">
      <c r="A3" s="2"/>
      <c r="B3" s="2"/>
      <c r="C3" s="44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</row>
    <row r="4" spans="1:45" ht="10.5" customHeight="1" collapsed="1" x14ac:dyDescent="0.2">
      <c r="C4" s="35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5" ht="30" x14ac:dyDescent="0.2">
      <c r="A5" s="2" t="s">
        <v>98</v>
      </c>
      <c r="C5" s="35" t="s">
        <v>120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5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  <c r="H6" s="30"/>
      <c r="I6" s="30"/>
      <c r="J6" s="30"/>
      <c r="K6" s="96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5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5" ht="18" customHeight="1" x14ac:dyDescent="0.2">
      <c r="A8" s="2" t="s">
        <v>86</v>
      </c>
      <c r="B8" s="18" t="str">
        <f ca="1">numbertoletter(B7)</f>
        <v>D</v>
      </c>
      <c r="D8" s="34" t="s">
        <v>18</v>
      </c>
      <c r="E8" s="34" t="s">
        <v>1</v>
      </c>
      <c r="F8" s="34" t="s">
        <v>11</v>
      </c>
      <c r="G8" s="34" t="s">
        <v>10</v>
      </c>
      <c r="H8" s="34" t="s">
        <v>29</v>
      </c>
      <c r="I8" s="34" t="s">
        <v>30</v>
      </c>
      <c r="J8" s="34" t="s">
        <v>31</v>
      </c>
      <c r="K8" s="34" t="s">
        <v>32</v>
      </c>
      <c r="L8" s="34" t="s">
        <v>33</v>
      </c>
      <c r="M8" s="34" t="s">
        <v>34</v>
      </c>
      <c r="N8" s="34" t="s">
        <v>35</v>
      </c>
      <c r="O8" s="34" t="s">
        <v>36</v>
      </c>
      <c r="P8" s="34" t="s">
        <v>37</v>
      </c>
      <c r="Q8" s="34" t="s">
        <v>38</v>
      </c>
      <c r="R8" s="34" t="s">
        <v>39</v>
      </c>
      <c r="S8" s="34" t="s">
        <v>40</v>
      </c>
      <c r="T8" s="34" t="s">
        <v>41</v>
      </c>
      <c r="U8" s="34" t="s">
        <v>42</v>
      </c>
      <c r="V8" s="34" t="s">
        <v>43</v>
      </c>
      <c r="W8" s="34" t="s">
        <v>44</v>
      </c>
      <c r="X8" s="34" t="s">
        <v>45</v>
      </c>
      <c r="Y8" s="34" t="s">
        <v>46</v>
      </c>
      <c r="Z8" s="34" t="s">
        <v>47</v>
      </c>
      <c r="AA8" s="34" t="s">
        <v>48</v>
      </c>
      <c r="AB8" s="34" t="s">
        <v>49</v>
      </c>
      <c r="AC8" s="34" t="s">
        <v>50</v>
      </c>
      <c r="AD8" s="34" t="s">
        <v>51</v>
      </c>
      <c r="AE8" s="34" t="s">
        <v>52</v>
      </c>
      <c r="AF8" s="34" t="s">
        <v>53</v>
      </c>
      <c r="AG8" s="34" t="s">
        <v>54</v>
      </c>
      <c r="AH8" s="34" t="s">
        <v>55</v>
      </c>
      <c r="AI8" s="34" t="s">
        <v>56</v>
      </c>
      <c r="AJ8" s="34" t="s">
        <v>57</v>
      </c>
      <c r="AK8" s="34" t="s">
        <v>58</v>
      </c>
      <c r="AL8" s="34" t="s">
        <v>59</v>
      </c>
      <c r="AM8" s="34" t="s">
        <v>60</v>
      </c>
      <c r="AN8" s="34" t="s">
        <v>61</v>
      </c>
      <c r="AO8" s="34" t="s">
        <v>62</v>
      </c>
    </row>
    <row r="9" spans="1:45" ht="14.25" customHeight="1" x14ac:dyDescent="0.2">
      <c r="A9" s="2" t="s">
        <v>87</v>
      </c>
      <c r="B9" s="18" t="str">
        <f ca="1">B8&amp;B6&amp;":"&amp;B8&amp;maxRowsValue</f>
        <v>D9:D1048576</v>
      </c>
      <c r="D9" s="95" t="s">
        <v>205</v>
      </c>
      <c r="E9" s="90" t="s">
        <v>15</v>
      </c>
      <c r="F9" s="90" t="s">
        <v>178</v>
      </c>
      <c r="G9" s="94"/>
      <c r="H9" s="93">
        <v>-0.35068493150684932</v>
      </c>
      <c r="I9" s="93">
        <v>9.6767123287671239</v>
      </c>
      <c r="J9" s="90" t="s">
        <v>2</v>
      </c>
      <c r="K9" s="90">
        <v>409650000</v>
      </c>
      <c r="L9" s="90" t="s">
        <v>142</v>
      </c>
      <c r="M9" s="90" t="s">
        <v>171</v>
      </c>
      <c r="N9" s="92">
        <v>3.8100000000000002E-2</v>
      </c>
      <c r="O9" s="90" t="s">
        <v>174</v>
      </c>
      <c r="P9" s="90" t="s">
        <v>143</v>
      </c>
      <c r="Q9" s="94"/>
      <c r="R9" s="94"/>
      <c r="S9" s="92">
        <v>0</v>
      </c>
      <c r="T9" s="90" t="s">
        <v>173</v>
      </c>
      <c r="U9" s="90" t="s">
        <v>102</v>
      </c>
      <c r="V9" s="90" t="s">
        <v>144</v>
      </c>
      <c r="W9" s="90" t="s">
        <v>179</v>
      </c>
      <c r="X9" s="94"/>
      <c r="Y9" s="93">
        <v>-0.35068493150684932</v>
      </c>
      <c r="Z9" s="93">
        <v>9.6767123287671239</v>
      </c>
      <c r="AA9" s="90" t="s">
        <v>14</v>
      </c>
      <c r="AB9" s="90">
        <v>300000000</v>
      </c>
      <c r="AC9" s="90" t="s">
        <v>142</v>
      </c>
      <c r="AD9" s="90" t="s">
        <v>171</v>
      </c>
      <c r="AE9" s="92">
        <v>2.2499999999999999E-2</v>
      </c>
      <c r="AF9" s="90" t="s">
        <v>174</v>
      </c>
      <c r="AG9" s="90" t="s">
        <v>143</v>
      </c>
      <c r="AH9" s="94"/>
      <c r="AI9" s="94"/>
      <c r="AJ9" s="92">
        <v>0</v>
      </c>
      <c r="AK9" s="90" t="s">
        <v>173</v>
      </c>
      <c r="AL9" s="90" t="s">
        <v>102</v>
      </c>
      <c r="AM9" s="90" t="s">
        <v>144</v>
      </c>
      <c r="AN9" s="90" t="s">
        <v>180</v>
      </c>
      <c r="AO9" s="94"/>
      <c r="AP9" s="101">
        <f>+_xll.getValueSwapFromDealNumber(D9)</f>
        <v>35997254.886579752</v>
      </c>
      <c r="AQ9" s="1">
        <v>35847766</v>
      </c>
      <c r="AR9" s="112">
        <f>+AP9-AQ9</f>
        <v>149488.88657975197</v>
      </c>
    </row>
    <row r="10" spans="1:45" x14ac:dyDescent="0.2">
      <c r="A10" s="2" t="s">
        <v>88</v>
      </c>
      <c r="B10" s="2">
        <f ca="1">COUNTA(INDIRECT(B9))</f>
        <v>13</v>
      </c>
      <c r="D10" s="95" t="s">
        <v>206</v>
      </c>
      <c r="E10" s="50" t="s">
        <v>15</v>
      </c>
      <c r="F10" s="50" t="s">
        <v>178</v>
      </c>
      <c r="H10" s="80">
        <v>-0.25205479452054791</v>
      </c>
      <c r="I10" s="80">
        <v>10.194520547945205</v>
      </c>
      <c r="J10" s="50" t="s">
        <v>3</v>
      </c>
      <c r="K10" s="50">
        <v>97580000000</v>
      </c>
      <c r="L10" s="94" t="s">
        <v>142</v>
      </c>
      <c r="M10" s="94" t="s">
        <v>171</v>
      </c>
      <c r="N10" s="92">
        <v>1.9800000000000002E-2</v>
      </c>
      <c r="O10" s="94" t="s">
        <v>172</v>
      </c>
      <c r="P10" s="94" t="s">
        <v>143</v>
      </c>
      <c r="Q10" s="94"/>
      <c r="R10" s="94"/>
      <c r="S10" s="92">
        <v>0</v>
      </c>
      <c r="T10" s="94" t="s">
        <v>173</v>
      </c>
      <c r="U10" s="94" t="s">
        <v>102</v>
      </c>
      <c r="V10" s="94" t="s">
        <v>144</v>
      </c>
      <c r="W10" s="94" t="s">
        <v>181</v>
      </c>
      <c r="X10" s="94"/>
      <c r="Y10" s="93">
        <v>-0.25205479452054791</v>
      </c>
      <c r="Z10" s="93">
        <v>10.194520547945205</v>
      </c>
      <c r="AA10" s="94" t="s">
        <v>2</v>
      </c>
      <c r="AB10" s="94">
        <v>170000000</v>
      </c>
      <c r="AC10" s="94" t="s">
        <v>142</v>
      </c>
      <c r="AD10" s="94" t="s">
        <v>171</v>
      </c>
      <c r="AE10" s="100">
        <v>0</v>
      </c>
      <c r="AF10" s="94" t="s">
        <v>172</v>
      </c>
      <c r="AG10" s="94" t="s">
        <v>143</v>
      </c>
      <c r="AH10" s="94"/>
      <c r="AI10" s="94"/>
      <c r="AJ10" s="92">
        <v>0</v>
      </c>
      <c r="AK10" s="94" t="s">
        <v>173</v>
      </c>
      <c r="AL10" s="94" t="s">
        <v>102</v>
      </c>
      <c r="AM10" s="94" t="s">
        <v>144</v>
      </c>
      <c r="AN10" s="94" t="s">
        <v>179</v>
      </c>
      <c r="AO10" s="94"/>
      <c r="AP10" s="101">
        <f>+_xll.getValueSwapFromDealNumber(D10)</f>
        <v>-2577027.1064674556</v>
      </c>
      <c r="AQ10" s="1">
        <v>-1934598</v>
      </c>
      <c r="AR10" s="112">
        <f>+AP10-AQ10</f>
        <v>-642429.10646745563</v>
      </c>
    </row>
    <row r="11" spans="1:45" ht="15" x14ac:dyDescent="0.25">
      <c r="A11" s="2" t="s">
        <v>89</v>
      </c>
      <c r="B11" s="19">
        <v>38</v>
      </c>
      <c r="D11" s="95" t="s">
        <v>207</v>
      </c>
      <c r="E11" s="50" t="s">
        <v>15</v>
      </c>
      <c r="F11" s="50" t="s">
        <v>178</v>
      </c>
      <c r="H11" s="80">
        <v>-0.58630136986301373</v>
      </c>
      <c r="I11" s="80">
        <v>9.4054794520547933</v>
      </c>
      <c r="J11" s="50" t="s">
        <v>2</v>
      </c>
      <c r="K11" s="50">
        <v>128611182.59999999</v>
      </c>
      <c r="L11" s="94" t="s">
        <v>142</v>
      </c>
      <c r="M11" s="94" t="s">
        <v>171</v>
      </c>
      <c r="N11" s="92">
        <v>5.1500000000000004E-2</v>
      </c>
      <c r="O11" s="94" t="s">
        <v>172</v>
      </c>
      <c r="P11" s="94" t="s">
        <v>143</v>
      </c>
      <c r="Q11" s="94"/>
      <c r="R11" s="94"/>
      <c r="S11" s="92">
        <v>0</v>
      </c>
      <c r="T11" s="94" t="s">
        <v>173</v>
      </c>
      <c r="U11" s="94" t="s">
        <v>102</v>
      </c>
      <c r="V11" s="94" t="s">
        <v>144</v>
      </c>
      <c r="W11" s="94" t="s">
        <v>179</v>
      </c>
      <c r="X11" s="94"/>
      <c r="Y11" s="93">
        <v>-0.58630136986301373</v>
      </c>
      <c r="Z11" s="93">
        <v>9.4054794520547933</v>
      </c>
      <c r="AA11" s="94" t="s">
        <v>76</v>
      </c>
      <c r="AB11" s="94">
        <v>3000000</v>
      </c>
      <c r="AC11" s="94" t="s">
        <v>142</v>
      </c>
      <c r="AD11" s="94" t="s">
        <v>171</v>
      </c>
      <c r="AE11" s="92">
        <v>3.5681999999999998E-2</v>
      </c>
      <c r="AF11" s="94" t="s">
        <v>172</v>
      </c>
      <c r="AG11" s="94" t="s">
        <v>143</v>
      </c>
      <c r="AH11" s="94"/>
      <c r="AI11" s="94"/>
      <c r="AJ11" s="92">
        <v>0</v>
      </c>
      <c r="AK11" s="94" t="s">
        <v>173</v>
      </c>
      <c r="AL11" s="94" t="s">
        <v>102</v>
      </c>
      <c r="AM11" s="94" t="s">
        <v>144</v>
      </c>
      <c r="AN11" s="94" t="s">
        <v>182</v>
      </c>
      <c r="AO11" s="94"/>
      <c r="AP11" s="101">
        <f>+_xll.getValueSwapFromDealNumber(D11)</f>
        <v>15765439.58413741</v>
      </c>
      <c r="AQ11" s="1">
        <v>15828292</v>
      </c>
      <c r="AR11" s="112">
        <f>+AP11-AQ11</f>
        <v>-62852.415862590075</v>
      </c>
    </row>
    <row r="12" spans="1:45" x14ac:dyDescent="0.2">
      <c r="A12" s="2" t="s">
        <v>90</v>
      </c>
      <c r="B12" s="18" t="str">
        <f ca="1">B8&amp;B6&amp;":"&amp;numbertoletter(B7+B11-1)&amp;(B6+B10-1)</f>
        <v>D9:AO21</v>
      </c>
      <c r="D12" s="95" t="s">
        <v>208</v>
      </c>
      <c r="E12" s="50" t="s">
        <v>15</v>
      </c>
      <c r="F12" s="50" t="s">
        <v>178</v>
      </c>
      <c r="H12" s="80">
        <v>-1.4821917808219176</v>
      </c>
      <c r="I12" s="80">
        <v>6.904109589041096</v>
      </c>
      <c r="J12" s="50" t="s">
        <v>2</v>
      </c>
      <c r="K12" s="50">
        <v>96000000</v>
      </c>
      <c r="L12" s="94" t="s">
        <v>142</v>
      </c>
      <c r="M12" s="94" t="s">
        <v>171</v>
      </c>
      <c r="N12" s="92">
        <v>3.9199999999999999E-2</v>
      </c>
      <c r="O12" s="94" t="s">
        <v>172</v>
      </c>
      <c r="P12" s="94" t="s">
        <v>143</v>
      </c>
      <c r="Q12" s="94"/>
      <c r="R12" s="94"/>
      <c r="S12" s="92">
        <v>0</v>
      </c>
      <c r="T12" s="94" t="s">
        <v>173</v>
      </c>
      <c r="U12" s="94" t="s">
        <v>102</v>
      </c>
      <c r="V12" s="94" t="s">
        <v>144</v>
      </c>
      <c r="W12" s="94" t="s">
        <v>179</v>
      </c>
      <c r="X12" s="94"/>
      <c r="Y12" s="93">
        <v>-1.4821917808219176</v>
      </c>
      <c r="Z12" s="93">
        <v>6.904109589041096</v>
      </c>
      <c r="AA12" s="94" t="s">
        <v>76</v>
      </c>
      <c r="AB12" s="94">
        <v>2000000</v>
      </c>
      <c r="AC12" s="94" t="s">
        <v>142</v>
      </c>
      <c r="AD12" s="94" t="s">
        <v>171</v>
      </c>
      <c r="AE12" s="92">
        <v>3.7000000000000005E-2</v>
      </c>
      <c r="AF12" s="94" t="s">
        <v>172</v>
      </c>
      <c r="AG12" s="94" t="s">
        <v>143</v>
      </c>
      <c r="AH12" s="94"/>
      <c r="AI12" s="94"/>
      <c r="AJ12" s="92">
        <v>0</v>
      </c>
      <c r="AK12" s="94" t="s">
        <v>173</v>
      </c>
      <c r="AL12" s="94" t="s">
        <v>102</v>
      </c>
      <c r="AM12" s="94" t="s">
        <v>144</v>
      </c>
      <c r="AN12" s="94" t="s">
        <v>182</v>
      </c>
      <c r="AO12" s="94"/>
      <c r="AP12" s="101">
        <f>+_xll.getValueSwapFromDealNumber(D12)</f>
        <v>13657886.886598423</v>
      </c>
      <c r="AQ12" s="1">
        <v>14287065</v>
      </c>
      <c r="AR12" s="112">
        <f>+AP12-AQ12</f>
        <v>-629178.11340157688</v>
      </c>
    </row>
    <row r="13" spans="1:45" x14ac:dyDescent="0.2">
      <c r="D13" s="115" t="s">
        <v>210</v>
      </c>
      <c r="E13" s="116" t="s">
        <v>15</v>
      </c>
      <c r="F13" s="116" t="s">
        <v>178</v>
      </c>
      <c r="G13" s="116"/>
      <c r="H13" s="93">
        <v>-1.4821917808219176</v>
      </c>
      <c r="I13" s="93">
        <v>6.904109589041096</v>
      </c>
      <c r="J13" s="116" t="s">
        <v>2</v>
      </c>
      <c r="K13" s="116">
        <v>96000000</v>
      </c>
      <c r="L13" s="116" t="s">
        <v>142</v>
      </c>
      <c r="M13" s="116" t="s">
        <v>171</v>
      </c>
      <c r="N13" s="117">
        <v>3.9199999999999999E-2</v>
      </c>
      <c r="O13" s="116" t="s">
        <v>172</v>
      </c>
      <c r="P13" s="116" t="s">
        <v>143</v>
      </c>
      <c r="Q13" s="116"/>
      <c r="R13" s="116"/>
      <c r="S13" s="117">
        <v>0</v>
      </c>
      <c r="T13" s="116" t="s">
        <v>173</v>
      </c>
      <c r="U13" s="116" t="s">
        <v>102</v>
      </c>
      <c r="V13" s="116" t="s">
        <v>144</v>
      </c>
      <c r="W13" s="116" t="s">
        <v>179</v>
      </c>
      <c r="X13" s="116"/>
      <c r="Y13" s="93">
        <v>-1.4821917808219176</v>
      </c>
      <c r="Z13" s="93">
        <v>6.904109589041096</v>
      </c>
      <c r="AA13" s="116" t="s">
        <v>76</v>
      </c>
      <c r="AB13" s="116">
        <v>2000000</v>
      </c>
      <c r="AC13" s="116" t="s">
        <v>142</v>
      </c>
      <c r="AD13" s="116" t="s">
        <v>171</v>
      </c>
      <c r="AE13" s="117">
        <v>3.7000000000000005E-2</v>
      </c>
      <c r="AF13" s="116" t="s">
        <v>172</v>
      </c>
      <c r="AG13" s="116" t="s">
        <v>143</v>
      </c>
      <c r="AH13" s="116"/>
      <c r="AI13" s="116"/>
      <c r="AJ13" s="117">
        <v>0</v>
      </c>
      <c r="AK13" s="116" t="s">
        <v>173</v>
      </c>
      <c r="AL13" s="116" t="s">
        <v>102</v>
      </c>
      <c r="AM13" s="116" t="s">
        <v>144</v>
      </c>
      <c r="AN13" s="116" t="s">
        <v>182</v>
      </c>
      <c r="AO13" s="116"/>
      <c r="AP13" s="101">
        <f>+_xll.getValueSwapFromDealNumber(D13)</f>
        <v>13657886.886598423</v>
      </c>
      <c r="AS13" s="92">
        <v>5.1500000000000004E-2</v>
      </c>
    </row>
    <row r="14" spans="1:45" x14ac:dyDescent="0.2">
      <c r="D14" s="118" t="s">
        <v>212</v>
      </c>
      <c r="E14" s="119" t="s">
        <v>15</v>
      </c>
      <c r="F14" s="119" t="s">
        <v>178</v>
      </c>
      <c r="G14" s="119"/>
      <c r="H14" s="120">
        <v>-0.35068493150684932</v>
      </c>
      <c r="I14" s="120">
        <v>9.6767123287671239</v>
      </c>
      <c r="J14" s="119" t="s">
        <v>2</v>
      </c>
      <c r="K14" s="119">
        <v>409650000</v>
      </c>
      <c r="L14" s="119" t="s">
        <v>142</v>
      </c>
      <c r="M14" s="119" t="s">
        <v>171</v>
      </c>
      <c r="N14" s="124">
        <v>2.8500000000000001E-2</v>
      </c>
      <c r="O14" s="119" t="s">
        <v>174</v>
      </c>
      <c r="P14" s="119" t="s">
        <v>143</v>
      </c>
      <c r="Q14" s="119"/>
      <c r="R14" s="119"/>
      <c r="S14" s="121">
        <v>0</v>
      </c>
      <c r="T14" s="119" t="s">
        <v>173</v>
      </c>
      <c r="U14" s="119" t="s">
        <v>102</v>
      </c>
      <c r="V14" s="119" t="s">
        <v>144</v>
      </c>
      <c r="W14" s="119" t="s">
        <v>179</v>
      </c>
      <c r="X14" s="119"/>
      <c r="Y14" s="122">
        <v>-0.35068493150684932</v>
      </c>
      <c r="Z14" s="122">
        <v>9.6767123287671239</v>
      </c>
      <c r="AA14" s="119" t="s">
        <v>14</v>
      </c>
      <c r="AB14" s="119">
        <v>300000000</v>
      </c>
      <c r="AC14" s="119" t="s">
        <v>142</v>
      </c>
      <c r="AD14" s="119" t="s">
        <v>171</v>
      </c>
      <c r="AE14" s="121">
        <v>2.2499999999999999E-2</v>
      </c>
      <c r="AF14" s="119" t="s">
        <v>174</v>
      </c>
      <c r="AG14" s="119" t="s">
        <v>143</v>
      </c>
      <c r="AH14" s="119"/>
      <c r="AI14" s="119"/>
      <c r="AJ14" s="121">
        <v>0</v>
      </c>
      <c r="AK14" s="119" t="s">
        <v>173</v>
      </c>
      <c r="AL14" s="119" t="s">
        <v>102</v>
      </c>
      <c r="AM14" s="119" t="s">
        <v>144</v>
      </c>
      <c r="AN14" s="119" t="s">
        <v>180</v>
      </c>
      <c r="AO14" s="119"/>
      <c r="AP14" s="123">
        <f>+_xll.getValueSwapFromDealNumber(D14)</f>
        <v>5760.5178638696671</v>
      </c>
    </row>
    <row r="15" spans="1:45" x14ac:dyDescent="0.2">
      <c r="D15" s="95" t="s">
        <v>213</v>
      </c>
      <c r="E15" s="50" t="s">
        <v>15</v>
      </c>
      <c r="F15" s="50" t="s">
        <v>178</v>
      </c>
      <c r="H15" s="80">
        <v>-0.25205479452054791</v>
      </c>
      <c r="I15" s="93">
        <v>10.194520547945205</v>
      </c>
      <c r="J15" s="50" t="s">
        <v>3</v>
      </c>
      <c r="K15" s="50">
        <v>97580000000</v>
      </c>
      <c r="L15" s="50" t="s">
        <v>142</v>
      </c>
      <c r="M15" s="50" t="s">
        <v>171</v>
      </c>
      <c r="N15" s="100">
        <v>2.1649999999999999E-2</v>
      </c>
      <c r="O15" s="50" t="s">
        <v>172</v>
      </c>
      <c r="P15" s="50" t="s">
        <v>143</v>
      </c>
      <c r="S15" s="92">
        <v>0</v>
      </c>
      <c r="T15" s="50" t="s">
        <v>173</v>
      </c>
      <c r="U15" s="50" t="s">
        <v>102</v>
      </c>
      <c r="V15" s="50" t="s">
        <v>144</v>
      </c>
      <c r="W15" s="50" t="s">
        <v>181</v>
      </c>
      <c r="Y15" s="114">
        <v>-0.25205479452054791</v>
      </c>
      <c r="Z15" s="114">
        <v>10.194520547945205</v>
      </c>
      <c r="AA15" s="50" t="s">
        <v>2</v>
      </c>
      <c r="AB15" s="50">
        <v>170000000</v>
      </c>
      <c r="AC15" s="50" t="s">
        <v>142</v>
      </c>
      <c r="AD15" s="50" t="s">
        <v>171</v>
      </c>
      <c r="AE15" s="92">
        <v>0</v>
      </c>
      <c r="AF15" s="50" t="s">
        <v>172</v>
      </c>
      <c r="AG15" s="50" t="s">
        <v>143</v>
      </c>
      <c r="AJ15" s="88">
        <v>0</v>
      </c>
      <c r="AK15" s="50" t="s">
        <v>173</v>
      </c>
      <c r="AL15" s="50" t="s">
        <v>102</v>
      </c>
      <c r="AM15" s="50" t="s">
        <v>144</v>
      </c>
      <c r="AN15" s="50" t="s">
        <v>179</v>
      </c>
      <c r="AP15" s="101">
        <f>+_xll.getValueSwapFromDealNumber(D15)</f>
        <v>8260.3405257612467</v>
      </c>
    </row>
    <row r="16" spans="1:45" x14ac:dyDescent="0.2">
      <c r="D16" s="95" t="s">
        <v>214</v>
      </c>
      <c r="E16" s="94" t="s">
        <v>15</v>
      </c>
      <c r="F16" s="94" t="s">
        <v>178</v>
      </c>
      <c r="G16" s="94"/>
      <c r="H16" s="93">
        <v>-0.58630136986301373</v>
      </c>
      <c r="I16" s="93">
        <v>9.4054794520547933</v>
      </c>
      <c r="J16" s="94" t="s">
        <v>2</v>
      </c>
      <c r="K16" s="94">
        <v>128611182.59999999</v>
      </c>
      <c r="L16" s="94" t="s">
        <v>142</v>
      </c>
      <c r="M16" s="94" t="s">
        <v>171</v>
      </c>
      <c r="N16" s="100">
        <v>3.7400000000000003E-2</v>
      </c>
      <c r="O16" s="94" t="s">
        <v>172</v>
      </c>
      <c r="P16" s="94" t="s">
        <v>143</v>
      </c>
      <c r="Q16" s="94"/>
      <c r="R16" s="94"/>
      <c r="S16" s="92">
        <v>0</v>
      </c>
      <c r="T16" s="94" t="s">
        <v>173</v>
      </c>
      <c r="U16" s="94" t="s">
        <v>102</v>
      </c>
      <c r="V16" s="94" t="s">
        <v>144</v>
      </c>
      <c r="W16" s="94" t="s">
        <v>179</v>
      </c>
      <c r="X16" s="94"/>
      <c r="Y16" s="114">
        <v>-0.58630136986301373</v>
      </c>
      <c r="Z16" s="114">
        <v>9.4054794520547933</v>
      </c>
      <c r="AA16" s="94" t="s">
        <v>76</v>
      </c>
      <c r="AB16" s="94">
        <v>3000000</v>
      </c>
      <c r="AC16" s="94" t="s">
        <v>142</v>
      </c>
      <c r="AD16" s="94" t="s">
        <v>171</v>
      </c>
      <c r="AE16" s="92">
        <v>3.5681999999999998E-2</v>
      </c>
      <c r="AF16" s="94" t="s">
        <v>172</v>
      </c>
      <c r="AG16" s="94" t="s">
        <v>143</v>
      </c>
      <c r="AH16" s="94"/>
      <c r="AI16" s="94"/>
      <c r="AJ16" s="92">
        <v>0</v>
      </c>
      <c r="AK16" s="94" t="s">
        <v>173</v>
      </c>
      <c r="AL16" s="94" t="s">
        <v>102</v>
      </c>
      <c r="AM16" s="94" t="s">
        <v>144</v>
      </c>
      <c r="AN16" s="94" t="s">
        <v>182</v>
      </c>
      <c r="AO16" s="94"/>
      <c r="AP16" s="101">
        <f>+_xll.getValueSwapFromDealNumber(D16)</f>
        <v>-72438.522792965174</v>
      </c>
    </row>
    <row r="17" spans="4:42" x14ac:dyDescent="0.2">
      <c r="D17" s="115" t="s">
        <v>215</v>
      </c>
      <c r="E17" s="94" t="s">
        <v>15</v>
      </c>
      <c r="F17" s="94" t="s">
        <v>178</v>
      </c>
      <c r="G17" s="94"/>
      <c r="H17" s="93">
        <v>-1.4821917808219176</v>
      </c>
      <c r="I17" s="93">
        <v>6.904109589041096</v>
      </c>
      <c r="J17" s="94" t="s">
        <v>2</v>
      </c>
      <c r="K17" s="94">
        <v>96000000</v>
      </c>
      <c r="L17" s="94" t="s">
        <v>142</v>
      </c>
      <c r="M17" s="94" t="s">
        <v>171</v>
      </c>
      <c r="N17" s="100">
        <v>1.78E-2</v>
      </c>
      <c r="O17" s="94" t="s">
        <v>172</v>
      </c>
      <c r="P17" s="94" t="s">
        <v>143</v>
      </c>
      <c r="Q17" s="94"/>
      <c r="R17" s="94"/>
      <c r="S17" s="92">
        <v>0</v>
      </c>
      <c r="T17" s="94" t="s">
        <v>173</v>
      </c>
      <c r="U17" s="94" t="s">
        <v>102</v>
      </c>
      <c r="V17" s="94" t="s">
        <v>144</v>
      </c>
      <c r="W17" s="94" t="s">
        <v>179</v>
      </c>
      <c r="X17" s="94"/>
      <c r="Y17" s="114">
        <v>-1.4821917808219176</v>
      </c>
      <c r="Z17" s="114">
        <v>6.904109589041096</v>
      </c>
      <c r="AA17" s="94" t="s">
        <v>76</v>
      </c>
      <c r="AB17" s="94">
        <v>2000000</v>
      </c>
      <c r="AC17" s="94" t="s">
        <v>142</v>
      </c>
      <c r="AD17" s="94" t="s">
        <v>171</v>
      </c>
      <c r="AE17" s="92">
        <v>3.7000000000000005E-2</v>
      </c>
      <c r="AF17" s="94" t="s">
        <v>172</v>
      </c>
      <c r="AG17" s="94" t="s">
        <v>143</v>
      </c>
      <c r="AH17" s="94"/>
      <c r="AI17" s="94"/>
      <c r="AJ17" s="92">
        <v>0</v>
      </c>
      <c r="AK17" s="94" t="s">
        <v>173</v>
      </c>
      <c r="AL17" s="94" t="s">
        <v>102</v>
      </c>
      <c r="AM17" s="94" t="s">
        <v>144</v>
      </c>
      <c r="AN17" s="94" t="s">
        <v>182</v>
      </c>
      <c r="AO17" s="94"/>
      <c r="AP17" s="101">
        <f>+_xll.getValueSwapFromDealNumber(D17)</f>
        <v>-34966.333515375853</v>
      </c>
    </row>
    <row r="18" spans="4:42" x14ac:dyDescent="0.2">
      <c r="D18" s="118" t="s">
        <v>219</v>
      </c>
      <c r="E18" s="119" t="s">
        <v>15</v>
      </c>
      <c r="F18" s="119" t="s">
        <v>178</v>
      </c>
      <c r="G18" s="119"/>
      <c r="H18" s="120">
        <v>-0.35068493150684932</v>
      </c>
      <c r="I18" s="120">
        <v>9.6767123287671239</v>
      </c>
      <c r="J18" s="119" t="s">
        <v>2</v>
      </c>
      <c r="K18" s="125">
        <v>378100000</v>
      </c>
      <c r="L18" s="119" t="s">
        <v>142</v>
      </c>
      <c r="M18" s="119" t="s">
        <v>171</v>
      </c>
      <c r="N18" s="121">
        <v>3.8100000000000002E-2</v>
      </c>
      <c r="O18" s="119" t="s">
        <v>174</v>
      </c>
      <c r="P18" s="119" t="s">
        <v>143</v>
      </c>
      <c r="Q18" s="119"/>
      <c r="R18" s="119"/>
      <c r="S18" s="121">
        <v>0</v>
      </c>
      <c r="T18" s="119" t="s">
        <v>173</v>
      </c>
      <c r="U18" s="119" t="s">
        <v>102</v>
      </c>
      <c r="V18" s="119" t="s">
        <v>144</v>
      </c>
      <c r="W18" s="119" t="s">
        <v>179</v>
      </c>
      <c r="X18" s="119"/>
      <c r="Y18" s="122">
        <v>-0.35068493150684932</v>
      </c>
      <c r="Z18" s="122">
        <v>9.6767123287671239</v>
      </c>
      <c r="AA18" s="119" t="s">
        <v>14</v>
      </c>
      <c r="AB18" s="119">
        <v>300000000</v>
      </c>
      <c r="AC18" s="119" t="s">
        <v>142</v>
      </c>
      <c r="AD18" s="119" t="s">
        <v>171</v>
      </c>
      <c r="AE18" s="121">
        <v>2.2499999999999999E-2</v>
      </c>
      <c r="AF18" s="119" t="s">
        <v>174</v>
      </c>
      <c r="AG18" s="119" t="s">
        <v>143</v>
      </c>
      <c r="AH18" s="119"/>
      <c r="AI18" s="119"/>
      <c r="AJ18" s="121">
        <v>0</v>
      </c>
      <c r="AK18" s="119" t="s">
        <v>173</v>
      </c>
      <c r="AL18" s="119" t="s">
        <v>102</v>
      </c>
      <c r="AM18" s="119" t="s">
        <v>144</v>
      </c>
      <c r="AN18" s="119" t="s">
        <v>180</v>
      </c>
      <c r="AO18" s="119"/>
      <c r="AP18" s="123">
        <f>+_xll.getValueSwapFromDealNumber(D18)</f>
        <v>45318.919166564941</v>
      </c>
    </row>
    <row r="19" spans="4:42" x14ac:dyDescent="0.2">
      <c r="D19" s="95" t="s">
        <v>216</v>
      </c>
      <c r="E19" s="94" t="s">
        <v>15</v>
      </c>
      <c r="F19" s="94" t="s">
        <v>178</v>
      </c>
      <c r="G19" s="94"/>
      <c r="H19" s="93">
        <v>-0.25205479452054791</v>
      </c>
      <c r="I19" s="93">
        <v>10.194520547945205</v>
      </c>
      <c r="J19" s="94" t="s">
        <v>3</v>
      </c>
      <c r="K19" s="94">
        <v>99499000000</v>
      </c>
      <c r="L19" s="94" t="s">
        <v>142</v>
      </c>
      <c r="M19" s="94" t="s">
        <v>171</v>
      </c>
      <c r="N19" s="92">
        <v>1.9800000000000002E-2</v>
      </c>
      <c r="O19" s="94" t="s">
        <v>172</v>
      </c>
      <c r="P19" s="94" t="s">
        <v>143</v>
      </c>
      <c r="Q19" s="94"/>
      <c r="R19" s="94"/>
      <c r="S19" s="92">
        <v>0</v>
      </c>
      <c r="T19" s="94" t="s">
        <v>173</v>
      </c>
      <c r="U19" s="94" t="s">
        <v>102</v>
      </c>
      <c r="V19" s="94" t="s">
        <v>144</v>
      </c>
      <c r="W19" s="94" t="s">
        <v>181</v>
      </c>
      <c r="X19" s="94"/>
      <c r="Y19" s="114">
        <v>-0.25205479452054791</v>
      </c>
      <c r="Z19" s="114">
        <v>10.194520547945205</v>
      </c>
      <c r="AA19" s="94" t="s">
        <v>2</v>
      </c>
      <c r="AB19" s="94">
        <v>170000000</v>
      </c>
      <c r="AC19" s="94" t="s">
        <v>142</v>
      </c>
      <c r="AD19" s="94" t="s">
        <v>171</v>
      </c>
      <c r="AE19" s="92">
        <v>0</v>
      </c>
      <c r="AF19" s="94" t="s">
        <v>172</v>
      </c>
      <c r="AG19" s="94" t="s">
        <v>143</v>
      </c>
      <c r="AH19" s="94"/>
      <c r="AI19" s="94"/>
      <c r="AJ19" s="92">
        <v>0</v>
      </c>
      <c r="AK19" s="94" t="s">
        <v>173</v>
      </c>
      <c r="AL19" s="94" t="s">
        <v>102</v>
      </c>
      <c r="AM19" s="94" t="s">
        <v>144</v>
      </c>
      <c r="AN19" s="94" t="s">
        <v>179</v>
      </c>
      <c r="AO19" s="94"/>
      <c r="AP19" s="101">
        <f>+_xll.getValueSwapFromDealNumber(D19)</f>
        <v>-34229.212330967188</v>
      </c>
    </row>
    <row r="20" spans="4:42" x14ac:dyDescent="0.2">
      <c r="D20" s="95" t="s">
        <v>217</v>
      </c>
      <c r="E20" s="94" t="s">
        <v>15</v>
      </c>
      <c r="F20" s="94" t="s">
        <v>178</v>
      </c>
      <c r="G20" s="94"/>
      <c r="H20" s="93">
        <v>-0.58630136986301373</v>
      </c>
      <c r="I20" s="93">
        <v>9.4054794520547933</v>
      </c>
      <c r="J20" s="94" t="s">
        <v>2</v>
      </c>
      <c r="K20" s="94">
        <v>115991182.59999999</v>
      </c>
      <c r="L20" s="94" t="s">
        <v>142</v>
      </c>
      <c r="M20" s="94" t="s">
        <v>171</v>
      </c>
      <c r="N20" s="92">
        <v>5.1500000000000004E-2</v>
      </c>
      <c r="O20" s="94" t="s">
        <v>172</v>
      </c>
      <c r="P20" s="94" t="s">
        <v>143</v>
      </c>
      <c r="Q20" s="94"/>
      <c r="R20" s="94"/>
      <c r="S20" s="92">
        <v>0</v>
      </c>
      <c r="T20" s="94" t="s">
        <v>173</v>
      </c>
      <c r="U20" s="94" t="s">
        <v>102</v>
      </c>
      <c r="V20" s="94" t="s">
        <v>144</v>
      </c>
      <c r="W20" s="94" t="s">
        <v>179</v>
      </c>
      <c r="X20" s="94"/>
      <c r="Y20" s="114">
        <v>-0.58630136986301373</v>
      </c>
      <c r="Z20" s="114">
        <v>9.4054794520547933</v>
      </c>
      <c r="AA20" s="94" t="s">
        <v>76</v>
      </c>
      <c r="AB20" s="94">
        <v>3000000</v>
      </c>
      <c r="AC20" s="94" t="s">
        <v>142</v>
      </c>
      <c r="AD20" s="94" t="s">
        <v>171</v>
      </c>
      <c r="AE20" s="92">
        <v>3.5681999999999998E-2</v>
      </c>
      <c r="AF20" s="94" t="s">
        <v>172</v>
      </c>
      <c r="AG20" s="94" t="s">
        <v>143</v>
      </c>
      <c r="AH20" s="94"/>
      <c r="AI20" s="94"/>
      <c r="AJ20" s="92">
        <v>0</v>
      </c>
      <c r="AK20" s="94" t="s">
        <v>173</v>
      </c>
      <c r="AL20" s="94" t="s">
        <v>102</v>
      </c>
      <c r="AM20" s="94" t="s">
        <v>144</v>
      </c>
      <c r="AN20" s="94" t="s">
        <v>182</v>
      </c>
      <c r="AO20" s="94"/>
      <c r="AP20" s="101">
        <f>+_xll.getValueSwapFromDealNumber(D20)</f>
        <v>5666.882468521595</v>
      </c>
    </row>
    <row r="21" spans="4:42" x14ac:dyDescent="0.2">
      <c r="D21" s="95" t="s">
        <v>218</v>
      </c>
      <c r="E21" s="94" t="s">
        <v>15</v>
      </c>
      <c r="F21" s="94" t="s">
        <v>178</v>
      </c>
      <c r="G21" s="94"/>
      <c r="H21" s="93">
        <v>-1.4821917808219176</v>
      </c>
      <c r="I21" s="93">
        <v>6.904109589041096</v>
      </c>
      <c r="J21" s="94" t="s">
        <v>2</v>
      </c>
      <c r="K21" s="94">
        <v>83900000</v>
      </c>
      <c r="L21" s="94" t="s">
        <v>142</v>
      </c>
      <c r="M21" s="94" t="s">
        <v>171</v>
      </c>
      <c r="N21" s="92">
        <v>3.9199999999999999E-2</v>
      </c>
      <c r="O21" s="94" t="s">
        <v>172</v>
      </c>
      <c r="P21" s="94" t="s">
        <v>143</v>
      </c>
      <c r="Q21" s="94"/>
      <c r="R21" s="94"/>
      <c r="S21" s="92">
        <v>0</v>
      </c>
      <c r="T21" s="94" t="s">
        <v>173</v>
      </c>
      <c r="U21" s="94" t="s">
        <v>102</v>
      </c>
      <c r="V21" s="94" t="s">
        <v>144</v>
      </c>
      <c r="W21" s="94" t="s">
        <v>179</v>
      </c>
      <c r="X21" s="94"/>
      <c r="Y21" s="114">
        <v>-1.4821917808219176</v>
      </c>
      <c r="Z21" s="114">
        <v>6.904109589041096</v>
      </c>
      <c r="AA21" s="94" t="s">
        <v>76</v>
      </c>
      <c r="AB21" s="94">
        <v>2000000</v>
      </c>
      <c r="AC21" s="94" t="s">
        <v>142</v>
      </c>
      <c r="AD21" s="94" t="s">
        <v>171</v>
      </c>
      <c r="AE21" s="92">
        <v>3.7000000000000005E-2</v>
      </c>
      <c r="AF21" s="94" t="s">
        <v>172</v>
      </c>
      <c r="AG21" s="94" t="s">
        <v>143</v>
      </c>
      <c r="AH21" s="94"/>
      <c r="AI21" s="94"/>
      <c r="AJ21" s="92">
        <v>0</v>
      </c>
      <c r="AK21" s="94" t="s">
        <v>173</v>
      </c>
      <c r="AL21" s="94" t="s">
        <v>102</v>
      </c>
      <c r="AM21" s="94" t="s">
        <v>144</v>
      </c>
      <c r="AN21" s="94" t="s">
        <v>182</v>
      </c>
      <c r="AO21" s="94"/>
      <c r="AP21" s="101">
        <f>+_xll.getValueSwapFromDealNumber(D21)</f>
        <v>-34912.831661567092</v>
      </c>
    </row>
    <row r="22" spans="4:42" x14ac:dyDescent="0.2">
      <c r="D22" s="95"/>
      <c r="E22" s="94"/>
      <c r="F22" s="94"/>
      <c r="G22" s="94"/>
      <c r="H22" s="93"/>
      <c r="I22" s="93"/>
      <c r="J22" s="94"/>
      <c r="K22" s="94"/>
      <c r="L22" s="94"/>
      <c r="M22" s="94"/>
      <c r="N22" s="92"/>
      <c r="O22" s="94"/>
      <c r="P22" s="94"/>
      <c r="Q22" s="94"/>
      <c r="R22" s="94"/>
      <c r="S22" s="92"/>
      <c r="T22" s="94"/>
      <c r="U22" s="94"/>
      <c r="V22" s="94"/>
      <c r="W22" s="94"/>
      <c r="X22" s="94"/>
      <c r="Y22" s="114"/>
      <c r="Z22" s="114"/>
      <c r="AA22" s="94"/>
      <c r="AB22" s="94"/>
      <c r="AC22" s="94"/>
      <c r="AD22" s="94"/>
      <c r="AE22" s="92"/>
      <c r="AF22" s="94"/>
      <c r="AG22" s="94"/>
      <c r="AH22" s="94"/>
      <c r="AI22" s="94"/>
      <c r="AJ22" s="92"/>
      <c r="AK22" s="94"/>
      <c r="AL22" s="94"/>
      <c r="AM22" s="94"/>
      <c r="AN22" s="94"/>
      <c r="AO22" s="94"/>
      <c r="AP22" s="101"/>
    </row>
    <row r="23" spans="4:42" x14ac:dyDescent="0.2">
      <c r="D23" s="53"/>
      <c r="H23" s="80"/>
      <c r="I23" s="80"/>
    </row>
    <row r="24" spans="4:42" x14ac:dyDescent="0.2">
      <c r="D24" s="53"/>
      <c r="H24" s="80"/>
      <c r="I24" s="80"/>
    </row>
    <row r="25" spans="4:42" x14ac:dyDescent="0.2">
      <c r="D25" s="53"/>
      <c r="H25" s="80"/>
      <c r="I25" s="93"/>
    </row>
    <row r="26" spans="4:42" x14ac:dyDescent="0.2">
      <c r="D26" s="53"/>
      <c r="H26" s="80"/>
      <c r="I26" s="93"/>
    </row>
    <row r="27" spans="4:42" x14ac:dyDescent="0.2">
      <c r="D27" s="53"/>
      <c r="H27" s="80"/>
      <c r="I27" s="93"/>
    </row>
    <row r="28" spans="4:42" x14ac:dyDescent="0.2">
      <c r="D28" s="53"/>
      <c r="H28" s="80"/>
      <c r="I28" s="93"/>
    </row>
    <row r="29" spans="4:42" x14ac:dyDescent="0.2">
      <c r="D29" s="53"/>
      <c r="H29" s="80"/>
      <c r="I29" s="93"/>
    </row>
    <row r="30" spans="4:42" x14ac:dyDescent="0.2">
      <c r="D30" s="53"/>
      <c r="H30" s="80"/>
      <c r="I30" s="93"/>
    </row>
    <row r="31" spans="4:42" x14ac:dyDescent="0.2">
      <c r="D31" s="53"/>
      <c r="H31" s="80"/>
      <c r="I31" s="93"/>
    </row>
    <row r="32" spans="4:42" x14ac:dyDescent="0.2">
      <c r="D32" s="53"/>
      <c r="H32" s="80"/>
      <c r="I32" s="80"/>
    </row>
    <row r="33" spans="4:9" x14ac:dyDescent="0.2">
      <c r="D33" s="53"/>
      <c r="H33" s="80"/>
      <c r="I33" s="80"/>
    </row>
    <row r="34" spans="4:9" x14ac:dyDescent="0.2">
      <c r="D34" s="53"/>
      <c r="H34" s="80"/>
      <c r="I34" s="80"/>
    </row>
    <row r="35" spans="4:9" x14ac:dyDescent="0.2">
      <c r="D35" s="53"/>
      <c r="H35" s="80"/>
      <c r="I35" s="80"/>
    </row>
    <row r="36" spans="4:9" x14ac:dyDescent="0.2">
      <c r="D36" s="53"/>
      <c r="H36" s="80"/>
      <c r="I36" s="80"/>
    </row>
    <row r="37" spans="4:9" x14ac:dyDescent="0.2">
      <c r="D37" s="53"/>
      <c r="H37" s="80"/>
      <c r="I37" s="80"/>
    </row>
    <row r="38" spans="4:9" x14ac:dyDescent="0.2">
      <c r="D38" s="53"/>
      <c r="H38" s="80"/>
      <c r="I38" s="80"/>
    </row>
    <row r="39" spans="4:9" x14ac:dyDescent="0.2">
      <c r="H39" s="80"/>
      <c r="I39" s="80"/>
    </row>
    <row r="40" spans="4:9" x14ac:dyDescent="0.2">
      <c r="H40" s="80"/>
      <c r="I40" s="80"/>
    </row>
    <row r="41" spans="4:9" x14ac:dyDescent="0.2">
      <c r="H41" s="80"/>
      <c r="I41" s="80"/>
    </row>
    <row r="42" spans="4:9" x14ac:dyDescent="0.2">
      <c r="H42" s="80"/>
      <c r="I42" s="80"/>
    </row>
    <row r="43" spans="4:9" x14ac:dyDescent="0.2">
      <c r="H43" s="80"/>
      <c r="I43" s="80"/>
    </row>
    <row r="44" spans="4:9" x14ac:dyDescent="0.2">
      <c r="H44" s="80"/>
      <c r="I44" s="80"/>
    </row>
    <row r="45" spans="4:9" x14ac:dyDescent="0.2">
      <c r="H45" s="80"/>
      <c r="I45" s="80"/>
    </row>
    <row r="46" spans="4:9" x14ac:dyDescent="0.2">
      <c r="H46" s="80"/>
      <c r="I46" s="80"/>
    </row>
    <row r="47" spans="4:9" x14ac:dyDescent="0.2">
      <c r="H47" s="80"/>
      <c r="I47" s="80"/>
    </row>
    <row r="48" spans="4:9" x14ac:dyDescent="0.2">
      <c r="H48" s="80"/>
      <c r="I48" s="80"/>
    </row>
    <row r="49" spans="8:9" x14ac:dyDescent="0.2">
      <c r="H49" s="80"/>
      <c r="I49" s="80"/>
    </row>
    <row r="50" spans="8:9" x14ac:dyDescent="0.2">
      <c r="H50" s="80"/>
      <c r="I50" s="80"/>
    </row>
    <row r="51" spans="8:9" x14ac:dyDescent="0.2">
      <c r="H51" s="80"/>
      <c r="I51" s="80"/>
    </row>
    <row r="52" spans="8:9" x14ac:dyDescent="0.2">
      <c r="H52" s="80"/>
      <c r="I52" s="80"/>
    </row>
    <row r="53" spans="8:9" x14ac:dyDescent="0.2">
      <c r="H53" s="80"/>
      <c r="I53" s="80"/>
    </row>
    <row r="54" spans="8:9" x14ac:dyDescent="0.2">
      <c r="H54" s="80"/>
      <c r="I54" s="80"/>
    </row>
    <row r="55" spans="8:9" x14ac:dyDescent="0.2">
      <c r="H55" s="80"/>
      <c r="I55" s="80"/>
    </row>
    <row r="56" spans="8:9" x14ac:dyDescent="0.2">
      <c r="H56" s="80"/>
      <c r="I56" s="80"/>
    </row>
    <row r="57" spans="8:9" x14ac:dyDescent="0.2">
      <c r="H57" s="80"/>
      <c r="I57" s="80"/>
    </row>
    <row r="58" spans="8:9" x14ac:dyDescent="0.2">
      <c r="H58" s="80"/>
      <c r="I58" s="80"/>
    </row>
    <row r="59" spans="8:9" x14ac:dyDescent="0.2">
      <c r="H59" s="80"/>
      <c r="I59" s="80"/>
    </row>
    <row r="60" spans="8:9" x14ac:dyDescent="0.2">
      <c r="H60" s="80"/>
      <c r="I60" s="80"/>
    </row>
    <row r="61" spans="8:9" x14ac:dyDescent="0.2">
      <c r="H61" s="80"/>
      <c r="I61" s="80"/>
    </row>
    <row r="62" spans="8:9" x14ac:dyDescent="0.2">
      <c r="H62" s="80"/>
      <c r="I62" s="80"/>
    </row>
    <row r="63" spans="8:9" x14ac:dyDescent="0.2">
      <c r="H63" s="80"/>
      <c r="I63" s="80"/>
    </row>
    <row r="64" spans="8:9" x14ac:dyDescent="0.2">
      <c r="H64" s="80"/>
      <c r="I64" s="80"/>
    </row>
    <row r="65" spans="8:9" x14ac:dyDescent="0.2">
      <c r="H65" s="80"/>
      <c r="I65" s="80"/>
    </row>
    <row r="66" spans="8:9" x14ac:dyDescent="0.2">
      <c r="H66" s="80"/>
      <c r="I66" s="80"/>
    </row>
    <row r="67" spans="8:9" x14ac:dyDescent="0.2">
      <c r="H67" s="80"/>
      <c r="I67" s="80"/>
    </row>
    <row r="68" spans="8:9" x14ac:dyDescent="0.2">
      <c r="H68" s="80"/>
      <c r="I68" s="80"/>
    </row>
    <row r="69" spans="8:9" x14ac:dyDescent="0.2">
      <c r="H69" s="80"/>
      <c r="I69" s="80"/>
    </row>
    <row r="70" spans="8:9" x14ac:dyDescent="0.2">
      <c r="H70" s="80"/>
      <c r="I70" s="80"/>
    </row>
    <row r="71" spans="8:9" x14ac:dyDescent="0.2">
      <c r="H71" s="80"/>
      <c r="I71" s="80"/>
    </row>
    <row r="72" spans="8:9" x14ac:dyDescent="0.2">
      <c r="H72" s="80"/>
      <c r="I72" s="80"/>
    </row>
    <row r="73" spans="8:9" x14ac:dyDescent="0.2">
      <c r="H73" s="80"/>
      <c r="I73" s="80"/>
    </row>
    <row r="74" spans="8:9" x14ac:dyDescent="0.2">
      <c r="H74" s="80"/>
      <c r="I74" s="80"/>
    </row>
    <row r="75" spans="8:9" x14ac:dyDescent="0.2">
      <c r="H75" s="80"/>
      <c r="I75" s="80"/>
    </row>
    <row r="76" spans="8:9" x14ac:dyDescent="0.2">
      <c r="H76" s="80"/>
      <c r="I76" s="80"/>
    </row>
    <row r="77" spans="8:9" x14ac:dyDescent="0.2">
      <c r="H77" s="80"/>
      <c r="I77" s="80"/>
    </row>
    <row r="78" spans="8:9" x14ac:dyDescent="0.2">
      <c r="H78" s="80"/>
      <c r="I78" s="80"/>
    </row>
    <row r="79" spans="8:9" x14ac:dyDescent="0.2">
      <c r="H79" s="80"/>
      <c r="I79" s="80"/>
    </row>
    <row r="80" spans="8:9" x14ac:dyDescent="0.2">
      <c r="H80" s="80"/>
      <c r="I80" s="80"/>
    </row>
    <row r="81" spans="8:9" x14ac:dyDescent="0.2">
      <c r="H81" s="80"/>
      <c r="I81" s="80"/>
    </row>
    <row r="82" spans="8:9" x14ac:dyDescent="0.2">
      <c r="H82" s="80"/>
      <c r="I82" s="80"/>
    </row>
    <row r="83" spans="8:9" x14ac:dyDescent="0.2">
      <c r="H83" s="80"/>
      <c r="I83" s="80"/>
    </row>
    <row r="84" spans="8:9" x14ac:dyDescent="0.2">
      <c r="H84" s="80"/>
      <c r="I84" s="80"/>
    </row>
    <row r="85" spans="8:9" x14ac:dyDescent="0.2">
      <c r="H85" s="80"/>
      <c r="I85" s="80"/>
    </row>
    <row r="86" spans="8:9" x14ac:dyDescent="0.2">
      <c r="H86" s="80"/>
      <c r="I86" s="80"/>
    </row>
    <row r="87" spans="8:9" x14ac:dyDescent="0.2">
      <c r="H87" s="80"/>
      <c r="I87" s="80"/>
    </row>
    <row r="88" spans="8:9" x14ac:dyDescent="0.2">
      <c r="H88" s="80"/>
      <c r="I88" s="80"/>
    </row>
    <row r="89" spans="8:9" x14ac:dyDescent="0.2">
      <c r="H89" s="80"/>
      <c r="I89" s="80"/>
    </row>
    <row r="90" spans="8:9" x14ac:dyDescent="0.2">
      <c r="H90" s="80"/>
      <c r="I90" s="80"/>
    </row>
    <row r="91" spans="8:9" x14ac:dyDescent="0.2">
      <c r="H91" s="80"/>
      <c r="I91" s="80"/>
    </row>
    <row r="92" spans="8:9" x14ac:dyDescent="0.2">
      <c r="H92" s="80"/>
      <c r="I92" s="80"/>
    </row>
    <row r="93" spans="8:9" x14ac:dyDescent="0.2">
      <c r="H93" s="80"/>
      <c r="I93" s="80"/>
    </row>
    <row r="94" spans="8:9" x14ac:dyDescent="0.2">
      <c r="H94" s="80"/>
      <c r="I94" s="80"/>
    </row>
    <row r="95" spans="8:9" x14ac:dyDescent="0.2">
      <c r="H95" s="80"/>
      <c r="I95" s="80"/>
    </row>
    <row r="96" spans="8:9" x14ac:dyDescent="0.2">
      <c r="H96" s="80"/>
      <c r="I96" s="80"/>
    </row>
    <row r="97" spans="8:9" x14ac:dyDescent="0.2">
      <c r="H97" s="80"/>
      <c r="I97" s="80"/>
    </row>
    <row r="98" spans="8:9" x14ac:dyDescent="0.2">
      <c r="H98" s="80"/>
      <c r="I98" s="80"/>
    </row>
    <row r="99" spans="8:9" x14ac:dyDescent="0.2">
      <c r="H99" s="80"/>
      <c r="I99" s="80"/>
    </row>
    <row r="100" spans="8:9" x14ac:dyDescent="0.2">
      <c r="H100" s="80"/>
      <c r="I100" s="80"/>
    </row>
    <row r="101" spans="8:9" x14ac:dyDescent="0.2">
      <c r="H101" s="80"/>
      <c r="I101" s="80"/>
    </row>
    <row r="102" spans="8:9" x14ac:dyDescent="0.2">
      <c r="H102" s="80"/>
      <c r="I102" s="80"/>
    </row>
    <row r="103" spans="8:9" x14ac:dyDescent="0.2">
      <c r="H103" s="80"/>
      <c r="I103" s="80"/>
    </row>
    <row r="104" spans="8:9" x14ac:dyDescent="0.2">
      <c r="H104" s="80"/>
      <c r="I104" s="80"/>
    </row>
    <row r="105" spans="8:9" x14ac:dyDescent="0.2">
      <c r="H105" s="80"/>
      <c r="I105" s="80"/>
    </row>
    <row r="106" spans="8:9" x14ac:dyDescent="0.2">
      <c r="H106" s="80"/>
      <c r="I106" s="80"/>
    </row>
    <row r="107" spans="8:9" x14ac:dyDescent="0.2">
      <c r="H107" s="80"/>
      <c r="I107" s="80"/>
    </row>
    <row r="108" spans="8:9" x14ac:dyDescent="0.2">
      <c r="H108" s="80"/>
      <c r="I108" s="80"/>
    </row>
    <row r="109" spans="8:9" x14ac:dyDescent="0.2">
      <c r="H109" s="80"/>
      <c r="I109" s="80"/>
    </row>
    <row r="110" spans="8:9" x14ac:dyDescent="0.2">
      <c r="H110" s="80"/>
      <c r="I110" s="80"/>
    </row>
    <row r="111" spans="8:9" x14ac:dyDescent="0.2">
      <c r="H111" s="80"/>
      <c r="I111" s="80"/>
    </row>
    <row r="112" spans="8:9" x14ac:dyDescent="0.2">
      <c r="H112" s="80"/>
      <c r="I112" s="80"/>
    </row>
    <row r="113" spans="8:9" x14ac:dyDescent="0.2">
      <c r="H113" s="80"/>
      <c r="I113" s="80"/>
    </row>
    <row r="114" spans="8:9" x14ac:dyDescent="0.2">
      <c r="H114" s="80"/>
      <c r="I114" s="80"/>
    </row>
    <row r="115" spans="8:9" x14ac:dyDescent="0.2">
      <c r="H115" s="80"/>
      <c r="I115" s="80"/>
    </row>
    <row r="116" spans="8:9" x14ac:dyDescent="0.2">
      <c r="H116" s="80"/>
      <c r="I116" s="80"/>
    </row>
    <row r="117" spans="8:9" x14ac:dyDescent="0.2">
      <c r="H117" s="80"/>
      <c r="I117" s="80"/>
    </row>
    <row r="118" spans="8:9" x14ac:dyDescent="0.2">
      <c r="H118" s="80"/>
      <c r="I118" s="80"/>
    </row>
    <row r="119" spans="8:9" x14ac:dyDescent="0.2">
      <c r="H119" s="80"/>
      <c r="I119" s="80"/>
    </row>
    <row r="120" spans="8:9" x14ac:dyDescent="0.2">
      <c r="H120" s="80"/>
      <c r="I120" s="80"/>
    </row>
    <row r="121" spans="8:9" x14ac:dyDescent="0.2">
      <c r="H121" s="80"/>
      <c r="I121" s="80"/>
    </row>
    <row r="122" spans="8:9" x14ac:dyDescent="0.2">
      <c r="H122" s="80"/>
      <c r="I122" s="80"/>
    </row>
    <row r="123" spans="8:9" x14ac:dyDescent="0.2">
      <c r="H123" s="80"/>
      <c r="I123" s="80"/>
    </row>
    <row r="124" spans="8:9" x14ac:dyDescent="0.2">
      <c r="H124" s="80"/>
      <c r="I124" s="80"/>
    </row>
    <row r="125" spans="8:9" x14ac:dyDescent="0.2">
      <c r="H125" s="80"/>
      <c r="I125" s="80"/>
    </row>
    <row r="126" spans="8:9" x14ac:dyDescent="0.2">
      <c r="H126" s="80"/>
      <c r="I126" s="80"/>
    </row>
    <row r="127" spans="8:9" x14ac:dyDescent="0.2">
      <c r="H127" s="80"/>
      <c r="I127" s="80"/>
    </row>
    <row r="128" spans="8:9" x14ac:dyDescent="0.2">
      <c r="H128" s="80"/>
      <c r="I128" s="80"/>
    </row>
    <row r="129" spans="8:9" x14ac:dyDescent="0.2">
      <c r="H129" s="80"/>
      <c r="I129" s="80"/>
    </row>
    <row r="130" spans="8:9" x14ac:dyDescent="0.2">
      <c r="H130" s="80"/>
      <c r="I130" s="80"/>
    </row>
    <row r="131" spans="8:9" x14ac:dyDescent="0.2">
      <c r="H131" s="80"/>
      <c r="I131" s="80"/>
    </row>
    <row r="132" spans="8:9" x14ac:dyDescent="0.2">
      <c r="H132" s="80"/>
      <c r="I132" s="80"/>
    </row>
    <row r="133" spans="8:9" x14ac:dyDescent="0.2">
      <c r="H133" s="80"/>
      <c r="I133" s="80"/>
    </row>
    <row r="134" spans="8:9" x14ac:dyDescent="0.2">
      <c r="H134" s="80"/>
      <c r="I134" s="80"/>
    </row>
    <row r="135" spans="8:9" x14ac:dyDescent="0.2">
      <c r="H135" s="80"/>
      <c r="I135" s="80"/>
    </row>
    <row r="136" spans="8:9" x14ac:dyDescent="0.2">
      <c r="H136" s="80"/>
      <c r="I136" s="80"/>
    </row>
    <row r="137" spans="8:9" x14ac:dyDescent="0.2">
      <c r="H137" s="80"/>
      <c r="I137" s="80"/>
    </row>
    <row r="138" spans="8:9" x14ac:dyDescent="0.2">
      <c r="H138" s="80"/>
      <c r="I138" s="80"/>
    </row>
    <row r="139" spans="8:9" x14ac:dyDescent="0.2">
      <c r="H139" s="80"/>
      <c r="I139" s="80"/>
    </row>
    <row r="140" spans="8:9" x14ac:dyDescent="0.2">
      <c r="H140" s="80"/>
      <c r="I140" s="80"/>
    </row>
    <row r="141" spans="8:9" x14ac:dyDescent="0.2">
      <c r="H141" s="80"/>
      <c r="I141" s="80"/>
    </row>
    <row r="142" spans="8:9" x14ac:dyDescent="0.2">
      <c r="H142" s="80"/>
      <c r="I142" s="80"/>
    </row>
    <row r="143" spans="8:9" x14ac:dyDescent="0.2">
      <c r="H143" s="80"/>
      <c r="I143" s="80"/>
    </row>
    <row r="144" spans="8:9" x14ac:dyDescent="0.2">
      <c r="H144" s="80"/>
      <c r="I144" s="80"/>
    </row>
    <row r="145" spans="8:9" x14ac:dyDescent="0.2">
      <c r="H145" s="80"/>
      <c r="I145" s="80"/>
    </row>
    <row r="146" spans="8:9" x14ac:dyDescent="0.2">
      <c r="H146" s="80"/>
      <c r="I146" s="80"/>
    </row>
    <row r="147" spans="8:9" x14ac:dyDescent="0.2">
      <c r="H147" s="80"/>
      <c r="I147" s="80"/>
    </row>
    <row r="148" spans="8:9" x14ac:dyDescent="0.2">
      <c r="H148" s="80"/>
      <c r="I148" s="80"/>
    </row>
    <row r="149" spans="8:9" x14ac:dyDescent="0.2">
      <c r="H149" s="80"/>
      <c r="I149" s="80"/>
    </row>
    <row r="150" spans="8:9" x14ac:dyDescent="0.2">
      <c r="H150" s="80"/>
      <c r="I150" s="80"/>
    </row>
    <row r="151" spans="8:9" x14ac:dyDescent="0.2">
      <c r="H151" s="80"/>
      <c r="I151" s="80"/>
    </row>
    <row r="152" spans="8:9" x14ac:dyDescent="0.2">
      <c r="H152" s="80"/>
      <c r="I152" s="80"/>
    </row>
    <row r="153" spans="8:9" x14ac:dyDescent="0.2">
      <c r="H153" s="80"/>
      <c r="I153" s="80"/>
    </row>
    <row r="154" spans="8:9" x14ac:dyDescent="0.2">
      <c r="H154" s="80"/>
      <c r="I154" s="80"/>
    </row>
    <row r="155" spans="8:9" x14ac:dyDescent="0.2">
      <c r="H155" s="80"/>
      <c r="I155" s="80"/>
    </row>
    <row r="156" spans="8:9" x14ac:dyDescent="0.2">
      <c r="H156" s="80"/>
      <c r="I156" s="80"/>
    </row>
    <row r="157" spans="8:9" x14ac:dyDescent="0.2">
      <c r="H157" s="80"/>
      <c r="I157" s="80"/>
    </row>
    <row r="158" spans="8:9" x14ac:dyDescent="0.2">
      <c r="H158" s="80"/>
      <c r="I158" s="80"/>
    </row>
    <row r="159" spans="8:9" x14ac:dyDescent="0.2">
      <c r="H159" s="80"/>
      <c r="I159" s="80"/>
    </row>
    <row r="160" spans="8:9" x14ac:dyDescent="0.2">
      <c r="H160" s="80"/>
      <c r="I160" s="80"/>
    </row>
    <row r="161" spans="8:9" x14ac:dyDescent="0.2">
      <c r="H161" s="80"/>
      <c r="I161" s="80"/>
    </row>
    <row r="162" spans="8:9" x14ac:dyDescent="0.2">
      <c r="H162" s="80"/>
      <c r="I162" s="80"/>
    </row>
    <row r="163" spans="8:9" x14ac:dyDescent="0.2">
      <c r="H163" s="80"/>
      <c r="I163" s="80"/>
    </row>
    <row r="164" spans="8:9" x14ac:dyDescent="0.2">
      <c r="H164" s="80"/>
      <c r="I164" s="80"/>
    </row>
    <row r="165" spans="8:9" x14ac:dyDescent="0.2">
      <c r="H165" s="80"/>
      <c r="I165" s="80"/>
    </row>
    <row r="166" spans="8:9" x14ac:dyDescent="0.2">
      <c r="H166" s="80"/>
      <c r="I166" s="80"/>
    </row>
    <row r="167" spans="8:9" x14ac:dyDescent="0.2">
      <c r="H167" s="80"/>
      <c r="I167" s="80"/>
    </row>
    <row r="168" spans="8:9" x14ac:dyDescent="0.2">
      <c r="H168" s="80"/>
      <c r="I168" s="80"/>
    </row>
    <row r="169" spans="8:9" x14ac:dyDescent="0.2">
      <c r="H169" s="80"/>
      <c r="I169" s="80"/>
    </row>
    <row r="170" spans="8:9" x14ac:dyDescent="0.2">
      <c r="H170" s="80"/>
      <c r="I170" s="80"/>
    </row>
    <row r="171" spans="8:9" x14ac:dyDescent="0.2">
      <c r="H171" s="80"/>
      <c r="I171" s="80"/>
    </row>
    <row r="172" spans="8:9" x14ac:dyDescent="0.2">
      <c r="H172" s="80"/>
      <c r="I172" s="80"/>
    </row>
    <row r="173" spans="8:9" x14ac:dyDescent="0.2">
      <c r="H173" s="80"/>
      <c r="I173" s="80"/>
    </row>
    <row r="174" spans="8:9" x14ac:dyDescent="0.2">
      <c r="H174" s="80"/>
      <c r="I174" s="80"/>
    </row>
    <row r="175" spans="8:9" x14ac:dyDescent="0.2">
      <c r="H175" s="80"/>
      <c r="I175" s="80"/>
    </row>
    <row r="176" spans="8:9" x14ac:dyDescent="0.2">
      <c r="H176" s="80"/>
      <c r="I176" s="80"/>
    </row>
    <row r="177" spans="8:9" x14ac:dyDescent="0.2">
      <c r="H177" s="80"/>
      <c r="I177" s="80"/>
    </row>
    <row r="178" spans="8:9" x14ac:dyDescent="0.2">
      <c r="H178" s="80"/>
      <c r="I178" s="80"/>
    </row>
    <row r="179" spans="8:9" x14ac:dyDescent="0.2">
      <c r="H179" s="80"/>
      <c r="I179" s="80"/>
    </row>
    <row r="180" spans="8:9" x14ac:dyDescent="0.2">
      <c r="H180" s="80"/>
      <c r="I180" s="80"/>
    </row>
    <row r="181" spans="8:9" x14ac:dyDescent="0.2">
      <c r="H181" s="80"/>
      <c r="I181" s="80"/>
    </row>
    <row r="182" spans="8:9" x14ac:dyDescent="0.2">
      <c r="H182" s="80"/>
      <c r="I182" s="80"/>
    </row>
    <row r="183" spans="8:9" x14ac:dyDescent="0.2">
      <c r="H183" s="80"/>
      <c r="I183" s="80"/>
    </row>
    <row r="184" spans="8:9" x14ac:dyDescent="0.2">
      <c r="H184" s="80"/>
      <c r="I184" s="80"/>
    </row>
    <row r="185" spans="8:9" x14ac:dyDescent="0.2">
      <c r="H185" s="80"/>
      <c r="I185" s="80"/>
    </row>
    <row r="186" spans="8:9" x14ac:dyDescent="0.2">
      <c r="H186" s="80"/>
      <c r="I186" s="80"/>
    </row>
    <row r="187" spans="8:9" x14ac:dyDescent="0.2">
      <c r="H187" s="80"/>
      <c r="I187" s="80"/>
    </row>
    <row r="188" spans="8:9" x14ac:dyDescent="0.2">
      <c r="H188" s="80"/>
      <c r="I188" s="80"/>
    </row>
    <row r="189" spans="8:9" x14ac:dyDescent="0.2">
      <c r="H189" s="80"/>
      <c r="I189" s="80"/>
    </row>
    <row r="190" spans="8:9" x14ac:dyDescent="0.2">
      <c r="H190" s="80"/>
      <c r="I190" s="80"/>
    </row>
    <row r="191" spans="8:9" x14ac:dyDescent="0.2">
      <c r="H191" s="80"/>
      <c r="I191" s="80"/>
    </row>
    <row r="192" spans="8:9" x14ac:dyDescent="0.2">
      <c r="H192" s="80"/>
      <c r="I192" s="80"/>
    </row>
    <row r="193" spans="8:9" x14ac:dyDescent="0.2">
      <c r="H193" s="80"/>
      <c r="I193" s="80"/>
    </row>
    <row r="194" spans="8:9" x14ac:dyDescent="0.2">
      <c r="H194" s="80"/>
      <c r="I194" s="80"/>
    </row>
    <row r="195" spans="8:9" x14ac:dyDescent="0.2">
      <c r="H195" s="80"/>
      <c r="I195" s="80"/>
    </row>
    <row r="196" spans="8:9" x14ac:dyDescent="0.2">
      <c r="H196" s="80"/>
      <c r="I196" s="80"/>
    </row>
    <row r="197" spans="8:9" x14ac:dyDescent="0.2">
      <c r="H197" s="80"/>
      <c r="I197" s="80"/>
    </row>
    <row r="198" spans="8:9" x14ac:dyDescent="0.2">
      <c r="H198" s="80"/>
      <c r="I198" s="80"/>
    </row>
    <row r="199" spans="8:9" x14ac:dyDescent="0.2">
      <c r="H199" s="80"/>
      <c r="I199" s="80"/>
    </row>
    <row r="200" spans="8:9" x14ac:dyDescent="0.2">
      <c r="H200" s="80"/>
      <c r="I200" s="80"/>
    </row>
    <row r="201" spans="8:9" x14ac:dyDescent="0.2">
      <c r="H201" s="80"/>
      <c r="I201" s="80"/>
    </row>
    <row r="202" spans="8:9" x14ac:dyDescent="0.2">
      <c r="H202" s="80"/>
      <c r="I202" s="80"/>
    </row>
    <row r="203" spans="8:9" x14ac:dyDescent="0.2">
      <c r="H203" s="80"/>
      <c r="I203" s="80"/>
    </row>
    <row r="204" spans="8:9" x14ac:dyDescent="0.2">
      <c r="H204" s="80"/>
      <c r="I204" s="80"/>
    </row>
    <row r="205" spans="8:9" x14ac:dyDescent="0.2">
      <c r="H205" s="80"/>
      <c r="I205" s="80"/>
    </row>
    <row r="206" spans="8:9" x14ac:dyDescent="0.2">
      <c r="H206" s="80"/>
      <c r="I206" s="80"/>
    </row>
    <row r="207" spans="8:9" x14ac:dyDescent="0.2">
      <c r="H207" s="80"/>
      <c r="I207" s="80"/>
    </row>
    <row r="208" spans="8:9" x14ac:dyDescent="0.2">
      <c r="H208" s="80"/>
      <c r="I208" s="80"/>
    </row>
    <row r="209" spans="8:9" x14ac:dyDescent="0.2">
      <c r="H209" s="80"/>
      <c r="I209" s="80"/>
    </row>
    <row r="210" spans="8:9" x14ac:dyDescent="0.2">
      <c r="H210" s="80"/>
      <c r="I210" s="80"/>
    </row>
    <row r="211" spans="8:9" x14ac:dyDescent="0.2">
      <c r="H211" s="80"/>
      <c r="I211" s="80"/>
    </row>
    <row r="212" spans="8:9" x14ac:dyDescent="0.2">
      <c r="H212" s="80"/>
      <c r="I212" s="80"/>
    </row>
    <row r="213" spans="8:9" x14ac:dyDescent="0.2">
      <c r="H213" s="80"/>
      <c r="I213" s="80"/>
    </row>
    <row r="214" spans="8:9" x14ac:dyDescent="0.2">
      <c r="H214" s="80"/>
      <c r="I214" s="80"/>
    </row>
    <row r="215" spans="8:9" x14ac:dyDescent="0.2">
      <c r="H215" s="80"/>
      <c r="I215" s="80"/>
    </row>
    <row r="216" spans="8:9" x14ac:dyDescent="0.2">
      <c r="H216" s="80"/>
      <c r="I216" s="80"/>
    </row>
    <row r="217" spans="8:9" x14ac:dyDescent="0.2">
      <c r="H217" s="80"/>
      <c r="I217" s="80"/>
    </row>
    <row r="218" spans="8:9" x14ac:dyDescent="0.2">
      <c r="H218" s="80"/>
      <c r="I218" s="80"/>
    </row>
    <row r="219" spans="8:9" x14ac:dyDescent="0.2">
      <c r="H219" s="80"/>
      <c r="I219" s="80"/>
    </row>
    <row r="220" spans="8:9" x14ac:dyDescent="0.2">
      <c r="H220" s="80"/>
      <c r="I220" s="80"/>
    </row>
    <row r="221" spans="8:9" x14ac:dyDescent="0.2">
      <c r="H221" s="80"/>
      <c r="I221" s="80"/>
    </row>
    <row r="222" spans="8:9" x14ac:dyDescent="0.2">
      <c r="H222" s="80"/>
      <c r="I222" s="80"/>
    </row>
    <row r="223" spans="8:9" x14ac:dyDescent="0.2">
      <c r="H223" s="80"/>
      <c r="I223" s="80"/>
    </row>
    <row r="224" spans="8:9" x14ac:dyDescent="0.2">
      <c r="H224" s="80"/>
      <c r="I224" s="80"/>
    </row>
    <row r="225" spans="8:9" x14ac:dyDescent="0.2">
      <c r="H225" s="80"/>
      <c r="I225" s="80"/>
    </row>
    <row r="226" spans="8:9" x14ac:dyDescent="0.2">
      <c r="H226" s="80"/>
      <c r="I226" s="80"/>
    </row>
    <row r="227" spans="8:9" x14ac:dyDescent="0.2">
      <c r="H227" s="80"/>
      <c r="I227" s="80"/>
    </row>
    <row r="228" spans="8:9" x14ac:dyDescent="0.2">
      <c r="H228" s="80"/>
      <c r="I228" s="80"/>
    </row>
    <row r="229" spans="8:9" x14ac:dyDescent="0.2">
      <c r="H229" s="80"/>
      <c r="I229" s="80"/>
    </row>
    <row r="230" spans="8:9" x14ac:dyDescent="0.2">
      <c r="H230" s="80"/>
      <c r="I230" s="80"/>
    </row>
    <row r="231" spans="8:9" x14ac:dyDescent="0.2">
      <c r="H231" s="80"/>
      <c r="I231" s="80"/>
    </row>
    <row r="232" spans="8:9" x14ac:dyDescent="0.2">
      <c r="H232" s="80"/>
      <c r="I232" s="80"/>
    </row>
    <row r="233" spans="8:9" x14ac:dyDescent="0.2">
      <c r="H233" s="80"/>
      <c r="I233" s="80"/>
    </row>
    <row r="234" spans="8:9" x14ac:dyDescent="0.2">
      <c r="H234" s="80"/>
      <c r="I234" s="80"/>
    </row>
    <row r="235" spans="8:9" x14ac:dyDescent="0.2">
      <c r="H235" s="80"/>
      <c r="I235" s="80"/>
    </row>
    <row r="236" spans="8:9" x14ac:dyDescent="0.2">
      <c r="H236" s="80"/>
      <c r="I236" s="80"/>
    </row>
    <row r="237" spans="8:9" x14ac:dyDescent="0.2">
      <c r="H237" s="80"/>
      <c r="I237" s="80"/>
    </row>
    <row r="238" spans="8:9" x14ac:dyDescent="0.2">
      <c r="H238" s="80"/>
      <c r="I238" s="80"/>
    </row>
    <row r="239" spans="8:9" x14ac:dyDescent="0.2">
      <c r="H239" s="80"/>
      <c r="I239" s="80"/>
    </row>
    <row r="240" spans="8:9" x14ac:dyDescent="0.2">
      <c r="H240" s="80"/>
      <c r="I240" s="80"/>
    </row>
    <row r="241" spans="8:9" x14ac:dyDescent="0.2">
      <c r="H241" s="80"/>
      <c r="I241" s="80"/>
    </row>
    <row r="242" spans="8:9" x14ac:dyDescent="0.2">
      <c r="H242" s="80"/>
      <c r="I242" s="80"/>
    </row>
    <row r="243" spans="8:9" x14ac:dyDescent="0.2">
      <c r="H243" s="80"/>
      <c r="I243" s="80"/>
    </row>
    <row r="244" spans="8:9" x14ac:dyDescent="0.2">
      <c r="H244" s="80"/>
      <c r="I244" s="80"/>
    </row>
    <row r="245" spans="8:9" x14ac:dyDescent="0.2">
      <c r="H245" s="80"/>
      <c r="I245" s="80"/>
    </row>
    <row r="246" spans="8:9" x14ac:dyDescent="0.2">
      <c r="H246" s="80"/>
      <c r="I246" s="80"/>
    </row>
    <row r="247" spans="8:9" x14ac:dyDescent="0.2">
      <c r="H247" s="80"/>
      <c r="I247" s="80"/>
    </row>
    <row r="248" spans="8:9" x14ac:dyDescent="0.2">
      <c r="H248" s="80"/>
      <c r="I248" s="80"/>
    </row>
    <row r="249" spans="8:9" x14ac:dyDescent="0.2">
      <c r="H249" s="80"/>
      <c r="I249" s="80"/>
    </row>
    <row r="250" spans="8:9" x14ac:dyDescent="0.2">
      <c r="H250" s="80"/>
      <c r="I250" s="80"/>
    </row>
    <row r="251" spans="8:9" x14ac:dyDescent="0.2">
      <c r="H251" s="80"/>
      <c r="I251" s="80"/>
    </row>
    <row r="252" spans="8:9" x14ac:dyDescent="0.2">
      <c r="H252" s="80"/>
      <c r="I252" s="80"/>
    </row>
    <row r="253" spans="8:9" x14ac:dyDescent="0.2">
      <c r="H253" s="80"/>
      <c r="I253" s="80"/>
    </row>
    <row r="254" spans="8:9" x14ac:dyDescent="0.2">
      <c r="H254" s="80"/>
      <c r="I254" s="80"/>
    </row>
    <row r="255" spans="8:9" x14ac:dyDescent="0.2">
      <c r="H255" s="80"/>
      <c r="I255" s="80"/>
    </row>
    <row r="256" spans="8:9" x14ac:dyDescent="0.2">
      <c r="H256" s="80"/>
      <c r="I256" s="80"/>
    </row>
    <row r="257" spans="8:9" x14ac:dyDescent="0.2">
      <c r="H257" s="80"/>
      <c r="I257" s="80"/>
    </row>
    <row r="258" spans="8:9" x14ac:dyDescent="0.2">
      <c r="H258" s="80"/>
      <c r="I258" s="80"/>
    </row>
    <row r="259" spans="8:9" x14ac:dyDescent="0.2">
      <c r="H259" s="80"/>
      <c r="I259" s="80"/>
    </row>
    <row r="260" spans="8:9" x14ac:dyDescent="0.2">
      <c r="H260" s="80"/>
      <c r="I260" s="80"/>
    </row>
    <row r="261" spans="8:9" x14ac:dyDescent="0.2">
      <c r="H261" s="80"/>
      <c r="I261" s="80"/>
    </row>
    <row r="262" spans="8:9" x14ac:dyDescent="0.2">
      <c r="H262" s="80"/>
      <c r="I262" s="80"/>
    </row>
    <row r="263" spans="8:9" x14ac:dyDescent="0.2">
      <c r="H263" s="80"/>
      <c r="I263" s="80"/>
    </row>
    <row r="264" spans="8:9" x14ac:dyDescent="0.2">
      <c r="H264" s="80"/>
      <c r="I264" s="80"/>
    </row>
    <row r="265" spans="8:9" x14ac:dyDescent="0.2">
      <c r="H265" s="80"/>
      <c r="I265" s="80"/>
    </row>
    <row r="266" spans="8:9" x14ac:dyDescent="0.2">
      <c r="H266" s="80"/>
      <c r="I266" s="80"/>
    </row>
    <row r="267" spans="8:9" x14ac:dyDescent="0.2">
      <c r="H267" s="80"/>
      <c r="I267" s="80"/>
    </row>
    <row r="268" spans="8:9" x14ac:dyDescent="0.2">
      <c r="H268" s="80"/>
      <c r="I268" s="80"/>
    </row>
    <row r="269" spans="8:9" x14ac:dyDescent="0.2">
      <c r="H269" s="80"/>
      <c r="I269" s="80"/>
    </row>
    <row r="270" spans="8:9" x14ac:dyDescent="0.2">
      <c r="H270" s="80"/>
      <c r="I270" s="80"/>
    </row>
    <row r="271" spans="8:9" x14ac:dyDescent="0.2">
      <c r="H271" s="80"/>
      <c r="I271" s="80"/>
    </row>
    <row r="272" spans="8:9" x14ac:dyDescent="0.2">
      <c r="H272" s="80"/>
      <c r="I272" s="80"/>
    </row>
    <row r="273" spans="8:9" x14ac:dyDescent="0.2">
      <c r="H273" s="80"/>
      <c r="I273" s="80"/>
    </row>
    <row r="274" spans="8:9" x14ac:dyDescent="0.2">
      <c r="H274" s="80"/>
      <c r="I274" s="80"/>
    </row>
    <row r="275" spans="8:9" x14ac:dyDescent="0.2">
      <c r="H275" s="80"/>
      <c r="I275" s="80"/>
    </row>
    <row r="276" spans="8:9" x14ac:dyDescent="0.2">
      <c r="H276" s="80"/>
      <c r="I276" s="80"/>
    </row>
    <row r="277" spans="8:9" x14ac:dyDescent="0.2">
      <c r="H277" s="80"/>
      <c r="I277" s="80"/>
    </row>
    <row r="278" spans="8:9" x14ac:dyDescent="0.2">
      <c r="H278" s="80"/>
      <c r="I278" s="80"/>
    </row>
    <row r="279" spans="8:9" x14ac:dyDescent="0.2">
      <c r="H279" s="80"/>
      <c r="I279" s="80"/>
    </row>
    <row r="280" spans="8:9" x14ac:dyDescent="0.2">
      <c r="H280" s="80"/>
      <c r="I280" s="80"/>
    </row>
    <row r="281" spans="8:9" x14ac:dyDescent="0.2">
      <c r="H281" s="80"/>
      <c r="I281" s="80"/>
    </row>
    <row r="282" spans="8:9" x14ac:dyDescent="0.2">
      <c r="H282" s="80"/>
      <c r="I282" s="80"/>
    </row>
    <row r="283" spans="8:9" x14ac:dyDescent="0.2">
      <c r="H283" s="80"/>
      <c r="I283" s="80"/>
    </row>
    <row r="284" spans="8:9" x14ac:dyDescent="0.2">
      <c r="H284" s="80"/>
      <c r="I284" s="80"/>
    </row>
    <row r="285" spans="8:9" x14ac:dyDescent="0.2">
      <c r="H285" s="80"/>
      <c r="I285" s="80"/>
    </row>
    <row r="286" spans="8:9" x14ac:dyDescent="0.2">
      <c r="H286" s="80"/>
      <c r="I286" s="80"/>
    </row>
    <row r="287" spans="8:9" x14ac:dyDescent="0.2">
      <c r="H287" s="80"/>
      <c r="I287" s="80"/>
    </row>
    <row r="288" spans="8:9" x14ac:dyDescent="0.2">
      <c r="H288" s="80"/>
      <c r="I288" s="80"/>
    </row>
    <row r="289" spans="8:9" x14ac:dyDescent="0.2">
      <c r="H289" s="80"/>
      <c r="I289" s="80"/>
    </row>
    <row r="290" spans="8:9" x14ac:dyDescent="0.2">
      <c r="H290" s="80"/>
      <c r="I290" s="80"/>
    </row>
    <row r="291" spans="8:9" x14ac:dyDescent="0.2">
      <c r="H291" s="80"/>
      <c r="I291" s="80"/>
    </row>
    <row r="292" spans="8:9" x14ac:dyDescent="0.2">
      <c r="H292" s="80"/>
      <c r="I292" s="80"/>
    </row>
    <row r="293" spans="8:9" x14ac:dyDescent="0.2">
      <c r="H293" s="80"/>
      <c r="I293" s="80"/>
    </row>
    <row r="294" spans="8:9" x14ac:dyDescent="0.2">
      <c r="H294" s="80"/>
      <c r="I294" s="80"/>
    </row>
    <row r="295" spans="8:9" x14ac:dyDescent="0.2">
      <c r="H295" s="80"/>
      <c r="I295" s="80"/>
    </row>
    <row r="296" spans="8:9" x14ac:dyDescent="0.2">
      <c r="H296" s="80"/>
      <c r="I296" s="80"/>
    </row>
    <row r="297" spans="8:9" x14ac:dyDescent="0.2">
      <c r="H297" s="80"/>
      <c r="I297" s="80"/>
    </row>
    <row r="298" spans="8:9" x14ac:dyDescent="0.2">
      <c r="H298" s="80"/>
      <c r="I298" s="80"/>
    </row>
    <row r="299" spans="8:9" x14ac:dyDescent="0.2">
      <c r="H299" s="80"/>
      <c r="I299" s="80"/>
    </row>
    <row r="300" spans="8:9" x14ac:dyDescent="0.2">
      <c r="H300" s="80"/>
      <c r="I300" s="80"/>
    </row>
    <row r="301" spans="8:9" x14ac:dyDescent="0.2">
      <c r="H301" s="80"/>
      <c r="I301" s="80"/>
    </row>
    <row r="302" spans="8:9" x14ac:dyDescent="0.2">
      <c r="H302" s="80"/>
      <c r="I302" s="80"/>
    </row>
    <row r="303" spans="8:9" x14ac:dyDescent="0.2">
      <c r="H303" s="80"/>
      <c r="I303" s="80"/>
    </row>
    <row r="304" spans="8:9" x14ac:dyDescent="0.2">
      <c r="H304" s="80"/>
      <c r="I304" s="80"/>
    </row>
    <row r="305" spans="8:9" x14ac:dyDescent="0.2">
      <c r="H305" s="80"/>
      <c r="I305" s="80"/>
    </row>
    <row r="306" spans="8:9" x14ac:dyDescent="0.2">
      <c r="H306" s="80"/>
      <c r="I306" s="80"/>
    </row>
    <row r="307" spans="8:9" x14ac:dyDescent="0.2">
      <c r="H307" s="80"/>
      <c r="I307" s="80"/>
    </row>
    <row r="308" spans="8:9" x14ac:dyDescent="0.2">
      <c r="H308" s="80"/>
      <c r="I308" s="80"/>
    </row>
    <row r="309" spans="8:9" x14ac:dyDescent="0.2">
      <c r="H309" s="80"/>
      <c r="I309" s="80"/>
    </row>
    <row r="310" spans="8:9" x14ac:dyDescent="0.2">
      <c r="H310" s="80"/>
      <c r="I310" s="80"/>
    </row>
    <row r="311" spans="8:9" x14ac:dyDescent="0.2">
      <c r="H311" s="80"/>
      <c r="I311" s="80"/>
    </row>
    <row r="312" spans="8:9" x14ac:dyDescent="0.2">
      <c r="H312" s="80"/>
      <c r="I312" s="80"/>
    </row>
    <row r="313" spans="8:9" x14ac:dyDescent="0.2">
      <c r="H313" s="80"/>
      <c r="I313" s="80"/>
    </row>
    <row r="314" spans="8:9" x14ac:dyDescent="0.2">
      <c r="H314" s="80"/>
      <c r="I314" s="80"/>
    </row>
    <row r="315" spans="8:9" x14ac:dyDescent="0.2">
      <c r="H315" s="80"/>
      <c r="I315" s="80"/>
    </row>
    <row r="316" spans="8:9" x14ac:dyDescent="0.2">
      <c r="H316" s="80"/>
      <c r="I316" s="80"/>
    </row>
    <row r="317" spans="8:9" x14ac:dyDescent="0.2">
      <c r="H317" s="80"/>
      <c r="I317" s="80"/>
    </row>
    <row r="318" spans="8:9" x14ac:dyDescent="0.2">
      <c r="H318" s="80"/>
      <c r="I318" s="80"/>
    </row>
    <row r="319" spans="8:9" x14ac:dyDescent="0.2">
      <c r="H319" s="80"/>
      <c r="I319" s="80"/>
    </row>
    <row r="320" spans="8:9" x14ac:dyDescent="0.2">
      <c r="H320" s="80"/>
      <c r="I320" s="80"/>
    </row>
    <row r="321" spans="8:9" x14ac:dyDescent="0.2">
      <c r="H321" s="80"/>
      <c r="I321" s="80"/>
    </row>
    <row r="322" spans="8:9" x14ac:dyDescent="0.2">
      <c r="H322" s="80"/>
      <c r="I322" s="80"/>
    </row>
    <row r="323" spans="8:9" x14ac:dyDescent="0.2">
      <c r="H323" s="80"/>
      <c r="I323" s="80"/>
    </row>
    <row r="324" spans="8:9" x14ac:dyDescent="0.2">
      <c r="H324" s="80"/>
      <c r="I324" s="80"/>
    </row>
    <row r="325" spans="8:9" x14ac:dyDescent="0.2">
      <c r="H325" s="80"/>
      <c r="I325" s="80"/>
    </row>
    <row r="326" spans="8:9" x14ac:dyDescent="0.2">
      <c r="H326" s="80"/>
      <c r="I326" s="80"/>
    </row>
    <row r="327" spans="8:9" x14ac:dyDescent="0.2">
      <c r="H327" s="80"/>
      <c r="I327" s="80"/>
    </row>
    <row r="328" spans="8:9" x14ac:dyDescent="0.2">
      <c r="H328" s="80"/>
      <c r="I328" s="80"/>
    </row>
    <row r="329" spans="8:9" x14ac:dyDescent="0.2">
      <c r="H329" s="80"/>
      <c r="I329" s="80"/>
    </row>
    <row r="330" spans="8:9" x14ac:dyDescent="0.2">
      <c r="H330" s="80"/>
      <c r="I330" s="80"/>
    </row>
    <row r="331" spans="8:9" x14ac:dyDescent="0.2">
      <c r="H331" s="80"/>
      <c r="I331" s="80"/>
    </row>
    <row r="332" spans="8:9" x14ac:dyDescent="0.2">
      <c r="H332" s="80"/>
      <c r="I332" s="80"/>
    </row>
    <row r="333" spans="8:9" x14ac:dyDescent="0.2">
      <c r="H333" s="80"/>
      <c r="I333" s="80"/>
    </row>
    <row r="334" spans="8:9" x14ac:dyDescent="0.2">
      <c r="H334" s="80"/>
      <c r="I334" s="80"/>
    </row>
    <row r="335" spans="8:9" x14ac:dyDescent="0.2">
      <c r="H335" s="80"/>
      <c r="I335" s="80"/>
    </row>
    <row r="336" spans="8:9" x14ac:dyDescent="0.2">
      <c r="H336" s="80"/>
      <c r="I336" s="80"/>
    </row>
    <row r="337" spans="8:9" x14ac:dyDescent="0.2">
      <c r="H337" s="80"/>
      <c r="I337" s="80"/>
    </row>
    <row r="338" spans="8:9" x14ac:dyDescent="0.2">
      <c r="H338" s="80"/>
      <c r="I338" s="80"/>
    </row>
    <row r="339" spans="8:9" x14ac:dyDescent="0.2">
      <c r="H339" s="80"/>
      <c r="I339" s="80"/>
    </row>
    <row r="340" spans="8:9" x14ac:dyDescent="0.2">
      <c r="H340" s="80"/>
      <c r="I340" s="80"/>
    </row>
    <row r="341" spans="8:9" x14ac:dyDescent="0.2">
      <c r="H341" s="80"/>
      <c r="I341" s="80"/>
    </row>
    <row r="342" spans="8:9" x14ac:dyDescent="0.2">
      <c r="H342" s="80"/>
      <c r="I342" s="80"/>
    </row>
    <row r="343" spans="8:9" x14ac:dyDescent="0.2">
      <c r="H343" s="80"/>
      <c r="I343" s="80"/>
    </row>
    <row r="344" spans="8:9" x14ac:dyDescent="0.2">
      <c r="H344" s="80"/>
      <c r="I344" s="80"/>
    </row>
    <row r="345" spans="8:9" x14ac:dyDescent="0.2">
      <c r="H345" s="80"/>
      <c r="I345" s="80"/>
    </row>
    <row r="346" spans="8:9" x14ac:dyDescent="0.2">
      <c r="H346" s="80"/>
      <c r="I346" s="80"/>
    </row>
    <row r="347" spans="8:9" x14ac:dyDescent="0.2">
      <c r="H347" s="80"/>
      <c r="I347" s="80"/>
    </row>
    <row r="348" spans="8:9" x14ac:dyDescent="0.2">
      <c r="H348" s="80"/>
      <c r="I348" s="80"/>
    </row>
    <row r="349" spans="8:9" x14ac:dyDescent="0.2">
      <c r="H349" s="80"/>
      <c r="I349" s="80"/>
    </row>
    <row r="350" spans="8:9" x14ac:dyDescent="0.2">
      <c r="H350" s="80"/>
      <c r="I350" s="80"/>
    </row>
    <row r="351" spans="8:9" x14ac:dyDescent="0.2">
      <c r="H351" s="80"/>
      <c r="I351" s="80"/>
    </row>
    <row r="352" spans="8:9" x14ac:dyDescent="0.2">
      <c r="H352" s="80"/>
      <c r="I352" s="80"/>
    </row>
    <row r="353" spans="8:9" x14ac:dyDescent="0.2">
      <c r="H353" s="80"/>
      <c r="I353" s="80"/>
    </row>
    <row r="354" spans="8:9" x14ac:dyDescent="0.2">
      <c r="H354" s="80"/>
      <c r="I354" s="80"/>
    </row>
    <row r="355" spans="8:9" x14ac:dyDescent="0.2">
      <c r="H355" s="80"/>
      <c r="I355" s="80"/>
    </row>
    <row r="356" spans="8:9" x14ac:dyDescent="0.2">
      <c r="H356" s="80"/>
      <c r="I356" s="80"/>
    </row>
    <row r="357" spans="8:9" x14ac:dyDescent="0.2">
      <c r="H357" s="80"/>
      <c r="I357" s="80"/>
    </row>
    <row r="358" spans="8:9" x14ac:dyDescent="0.2">
      <c r="H358" s="80"/>
      <c r="I358" s="80"/>
    </row>
    <row r="359" spans="8:9" x14ac:dyDescent="0.2">
      <c r="H359" s="80"/>
      <c r="I359" s="80"/>
    </row>
    <row r="360" spans="8:9" x14ac:dyDescent="0.2">
      <c r="H360" s="80"/>
      <c r="I360" s="80"/>
    </row>
    <row r="361" spans="8:9" x14ac:dyDescent="0.2">
      <c r="H361" s="80"/>
      <c r="I361" s="80"/>
    </row>
    <row r="362" spans="8:9" x14ac:dyDescent="0.2">
      <c r="H362" s="80"/>
      <c r="I362" s="80"/>
    </row>
    <row r="363" spans="8:9" x14ac:dyDescent="0.2">
      <c r="H363" s="80"/>
      <c r="I363" s="80"/>
    </row>
    <row r="364" spans="8:9" x14ac:dyDescent="0.2">
      <c r="H364" s="80"/>
      <c r="I364" s="80"/>
    </row>
    <row r="365" spans="8:9" x14ac:dyDescent="0.2">
      <c r="H365" s="80"/>
      <c r="I365" s="80"/>
    </row>
    <row r="366" spans="8:9" x14ac:dyDescent="0.2">
      <c r="H366" s="80"/>
      <c r="I366" s="80"/>
    </row>
    <row r="367" spans="8:9" x14ac:dyDescent="0.2">
      <c r="H367" s="80"/>
      <c r="I367" s="80"/>
    </row>
    <row r="368" spans="8:9" x14ac:dyDescent="0.2">
      <c r="H368" s="80"/>
      <c r="I368" s="80"/>
    </row>
    <row r="369" spans="8:9" x14ac:dyDescent="0.2">
      <c r="H369" s="80"/>
      <c r="I369" s="80"/>
    </row>
    <row r="370" spans="8:9" x14ac:dyDescent="0.2">
      <c r="H370" s="80"/>
      <c r="I370" s="80"/>
    </row>
    <row r="371" spans="8:9" x14ac:dyDescent="0.2">
      <c r="H371" s="80"/>
      <c r="I371" s="80"/>
    </row>
    <row r="372" spans="8:9" x14ac:dyDescent="0.2">
      <c r="H372" s="80"/>
      <c r="I372" s="80"/>
    </row>
    <row r="373" spans="8:9" x14ac:dyDescent="0.2">
      <c r="H373" s="80"/>
      <c r="I373" s="80"/>
    </row>
    <row r="374" spans="8:9" x14ac:dyDescent="0.2">
      <c r="H374" s="80"/>
      <c r="I374" s="80"/>
    </row>
    <row r="375" spans="8:9" x14ac:dyDescent="0.2">
      <c r="H375" s="80"/>
      <c r="I375" s="80"/>
    </row>
    <row r="376" spans="8:9" x14ac:dyDescent="0.2">
      <c r="H376" s="80"/>
      <c r="I376" s="80"/>
    </row>
    <row r="377" spans="8:9" x14ac:dyDescent="0.2">
      <c r="H377" s="80"/>
      <c r="I377" s="80"/>
    </row>
    <row r="378" spans="8:9" x14ac:dyDescent="0.2">
      <c r="H378" s="80"/>
      <c r="I378" s="80"/>
    </row>
    <row r="379" spans="8:9" x14ac:dyDescent="0.2">
      <c r="H379" s="80"/>
      <c r="I379" s="80"/>
    </row>
    <row r="380" spans="8:9" x14ac:dyDescent="0.2">
      <c r="H380" s="80"/>
      <c r="I380" s="80"/>
    </row>
    <row r="381" spans="8:9" x14ac:dyDescent="0.2">
      <c r="H381" s="80"/>
      <c r="I381" s="80"/>
    </row>
    <row r="382" spans="8:9" x14ac:dyDescent="0.2">
      <c r="H382" s="80"/>
      <c r="I382" s="80"/>
    </row>
    <row r="383" spans="8:9" x14ac:dyDescent="0.2">
      <c r="H383" s="80"/>
      <c r="I383" s="80"/>
    </row>
    <row r="384" spans="8:9" x14ac:dyDescent="0.2">
      <c r="H384" s="80"/>
      <c r="I384" s="80"/>
    </row>
    <row r="385" spans="8:9" x14ac:dyDescent="0.2">
      <c r="H385" s="80"/>
      <c r="I385" s="80"/>
    </row>
    <row r="386" spans="8:9" x14ac:dyDescent="0.2">
      <c r="H386" s="80"/>
      <c r="I386" s="80"/>
    </row>
    <row r="387" spans="8:9" x14ac:dyDescent="0.2">
      <c r="H387" s="80"/>
      <c r="I387" s="80"/>
    </row>
    <row r="388" spans="8:9" x14ac:dyDescent="0.2">
      <c r="H388" s="80"/>
      <c r="I388" s="80"/>
    </row>
    <row r="389" spans="8:9" x14ac:dyDescent="0.2">
      <c r="H389" s="80"/>
      <c r="I389" s="80"/>
    </row>
    <row r="390" spans="8:9" x14ac:dyDescent="0.2">
      <c r="H390" s="80"/>
      <c r="I390" s="80"/>
    </row>
    <row r="391" spans="8:9" x14ac:dyDescent="0.2">
      <c r="H391" s="80"/>
      <c r="I391" s="80"/>
    </row>
    <row r="392" spans="8:9" x14ac:dyDescent="0.2">
      <c r="H392" s="80"/>
      <c r="I392" s="80"/>
    </row>
    <row r="393" spans="8:9" x14ac:dyDescent="0.2">
      <c r="H393" s="80"/>
      <c r="I393" s="80"/>
    </row>
    <row r="394" spans="8:9" x14ac:dyDescent="0.2">
      <c r="H394" s="80"/>
      <c r="I394" s="80"/>
    </row>
    <row r="395" spans="8:9" x14ac:dyDescent="0.2">
      <c r="H395" s="80"/>
      <c r="I395" s="80"/>
    </row>
    <row r="396" spans="8:9" x14ac:dyDescent="0.2">
      <c r="H396" s="80"/>
      <c r="I396" s="80"/>
    </row>
    <row r="397" spans="8:9" x14ac:dyDescent="0.2">
      <c r="H397" s="80"/>
      <c r="I397" s="80"/>
    </row>
    <row r="398" spans="8:9" x14ac:dyDescent="0.2">
      <c r="H398" s="80"/>
      <c r="I398" s="80"/>
    </row>
    <row r="399" spans="8:9" x14ac:dyDescent="0.2">
      <c r="H399" s="80"/>
      <c r="I399" s="80"/>
    </row>
    <row r="400" spans="8:9" x14ac:dyDescent="0.2">
      <c r="H400" s="80"/>
      <c r="I400" s="80"/>
    </row>
    <row r="401" spans="8:9" x14ac:dyDescent="0.2">
      <c r="H401" s="80"/>
      <c r="I401" s="80"/>
    </row>
    <row r="402" spans="8:9" x14ac:dyDescent="0.2">
      <c r="H402" s="80"/>
      <c r="I402" s="80"/>
    </row>
    <row r="403" spans="8:9" x14ac:dyDescent="0.2">
      <c r="H403" s="80"/>
      <c r="I403" s="80"/>
    </row>
    <row r="404" spans="8:9" x14ac:dyDescent="0.2">
      <c r="H404" s="80"/>
      <c r="I404" s="80"/>
    </row>
    <row r="405" spans="8:9" x14ac:dyDescent="0.2">
      <c r="H405" s="80"/>
      <c r="I405" s="80"/>
    </row>
    <row r="406" spans="8:9" x14ac:dyDescent="0.2">
      <c r="H406" s="80"/>
      <c r="I406" s="80"/>
    </row>
    <row r="407" spans="8:9" x14ac:dyDescent="0.2">
      <c r="H407" s="80"/>
      <c r="I407" s="80"/>
    </row>
    <row r="408" spans="8:9" x14ac:dyDescent="0.2">
      <c r="H408" s="80"/>
      <c r="I408" s="80"/>
    </row>
    <row r="409" spans="8:9" x14ac:dyDescent="0.2">
      <c r="H409" s="80"/>
      <c r="I409" s="80"/>
    </row>
    <row r="410" spans="8:9" x14ac:dyDescent="0.2">
      <c r="H410" s="80"/>
      <c r="I410" s="80"/>
    </row>
    <row r="411" spans="8:9" x14ac:dyDescent="0.2">
      <c r="H411" s="80"/>
      <c r="I411" s="80"/>
    </row>
    <row r="412" spans="8:9" x14ac:dyDescent="0.2">
      <c r="H412" s="80"/>
      <c r="I412" s="80"/>
    </row>
    <row r="413" spans="8:9" x14ac:dyDescent="0.2">
      <c r="H413" s="80"/>
      <c r="I413" s="80"/>
    </row>
    <row r="414" spans="8:9" x14ac:dyDescent="0.2">
      <c r="H414" s="80"/>
      <c r="I414" s="80"/>
    </row>
    <row r="415" spans="8:9" x14ac:dyDescent="0.2">
      <c r="H415" s="80"/>
      <c r="I415" s="80"/>
    </row>
    <row r="416" spans="8:9" x14ac:dyDescent="0.2">
      <c r="H416" s="80"/>
      <c r="I416" s="80"/>
    </row>
    <row r="417" spans="8:9" x14ac:dyDescent="0.2">
      <c r="H417" s="80"/>
      <c r="I417" s="80"/>
    </row>
    <row r="418" spans="8:9" x14ac:dyDescent="0.2">
      <c r="H418" s="80"/>
      <c r="I418" s="80"/>
    </row>
    <row r="419" spans="8:9" x14ac:dyDescent="0.2">
      <c r="H419" s="80"/>
      <c r="I419" s="80"/>
    </row>
    <row r="420" spans="8:9" x14ac:dyDescent="0.2">
      <c r="H420" s="80"/>
      <c r="I420" s="80"/>
    </row>
    <row r="421" spans="8:9" x14ac:dyDescent="0.2">
      <c r="H421" s="80"/>
      <c r="I421" s="80"/>
    </row>
    <row r="422" spans="8:9" x14ac:dyDescent="0.2">
      <c r="H422" s="80"/>
      <c r="I422" s="80"/>
    </row>
    <row r="423" spans="8:9" x14ac:dyDescent="0.2">
      <c r="H423" s="80"/>
      <c r="I423" s="80"/>
    </row>
    <row r="424" spans="8:9" x14ac:dyDescent="0.2">
      <c r="H424" s="80"/>
      <c r="I424" s="80"/>
    </row>
    <row r="425" spans="8:9" x14ac:dyDescent="0.2">
      <c r="H425" s="80"/>
      <c r="I425" s="80"/>
    </row>
    <row r="426" spans="8:9" x14ac:dyDescent="0.2">
      <c r="H426" s="80"/>
      <c r="I426" s="80"/>
    </row>
    <row r="427" spans="8:9" x14ac:dyDescent="0.2">
      <c r="H427" s="80"/>
      <c r="I427" s="80"/>
    </row>
    <row r="428" spans="8:9" x14ac:dyDescent="0.2">
      <c r="H428" s="80"/>
      <c r="I428" s="80"/>
    </row>
    <row r="429" spans="8:9" x14ac:dyDescent="0.2">
      <c r="H429" s="80"/>
      <c r="I429" s="80"/>
    </row>
    <row r="430" spans="8:9" x14ac:dyDescent="0.2">
      <c r="H430" s="80"/>
      <c r="I430" s="80"/>
    </row>
    <row r="431" spans="8:9" x14ac:dyDescent="0.2">
      <c r="H431" s="80"/>
      <c r="I431" s="80"/>
    </row>
    <row r="432" spans="8:9" x14ac:dyDescent="0.2">
      <c r="H432" s="80"/>
      <c r="I432" s="80"/>
    </row>
    <row r="433" spans="8:9" x14ac:dyDescent="0.2">
      <c r="H433" s="80"/>
      <c r="I433" s="80"/>
    </row>
    <row r="434" spans="8:9" x14ac:dyDescent="0.2">
      <c r="H434" s="80"/>
      <c r="I434" s="80"/>
    </row>
    <row r="435" spans="8:9" x14ac:dyDescent="0.2">
      <c r="H435" s="80"/>
      <c r="I435" s="80"/>
    </row>
    <row r="436" spans="8:9" x14ac:dyDescent="0.2">
      <c r="H436" s="80"/>
      <c r="I436" s="80"/>
    </row>
    <row r="437" spans="8:9" x14ac:dyDescent="0.2">
      <c r="H437" s="80"/>
      <c r="I437" s="80"/>
    </row>
    <row r="438" spans="8:9" x14ac:dyDescent="0.2">
      <c r="H438" s="80"/>
      <c r="I438" s="80"/>
    </row>
    <row r="439" spans="8:9" x14ac:dyDescent="0.2">
      <c r="H439" s="80"/>
      <c r="I439" s="80"/>
    </row>
    <row r="440" spans="8:9" x14ac:dyDescent="0.2">
      <c r="H440" s="80"/>
      <c r="I440" s="80"/>
    </row>
    <row r="441" spans="8:9" x14ac:dyDescent="0.2">
      <c r="H441" s="80"/>
      <c r="I441" s="80"/>
    </row>
    <row r="442" spans="8:9" x14ac:dyDescent="0.2">
      <c r="H442" s="80"/>
      <c r="I442" s="80"/>
    </row>
    <row r="443" spans="8:9" x14ac:dyDescent="0.2">
      <c r="H443" s="80"/>
      <c r="I443" s="80"/>
    </row>
    <row r="444" spans="8:9" x14ac:dyDescent="0.2">
      <c r="H444" s="80"/>
      <c r="I444" s="80"/>
    </row>
    <row r="445" spans="8:9" x14ac:dyDescent="0.2">
      <c r="H445" s="80"/>
      <c r="I445" s="80"/>
    </row>
    <row r="446" spans="8:9" x14ac:dyDescent="0.2">
      <c r="H446" s="80"/>
      <c r="I446" s="80"/>
    </row>
    <row r="447" spans="8:9" x14ac:dyDescent="0.2">
      <c r="H447" s="80"/>
      <c r="I447" s="80"/>
    </row>
    <row r="448" spans="8:9" x14ac:dyDescent="0.2">
      <c r="H448" s="80"/>
      <c r="I448" s="80"/>
    </row>
    <row r="449" spans="8:9" x14ac:dyDescent="0.2">
      <c r="H449" s="80"/>
      <c r="I449" s="80"/>
    </row>
    <row r="450" spans="8:9" x14ac:dyDescent="0.2">
      <c r="H450" s="80"/>
      <c r="I450" s="80"/>
    </row>
    <row r="451" spans="8:9" x14ac:dyDescent="0.2">
      <c r="H451" s="80"/>
      <c r="I451" s="80"/>
    </row>
    <row r="452" spans="8:9" x14ac:dyDescent="0.2">
      <c r="H452" s="80"/>
      <c r="I452" s="80"/>
    </row>
    <row r="453" spans="8:9" x14ac:dyDescent="0.2">
      <c r="H453" s="80"/>
      <c r="I453" s="80"/>
    </row>
    <row r="454" spans="8:9" x14ac:dyDescent="0.2">
      <c r="H454" s="80"/>
      <c r="I454" s="80"/>
    </row>
    <row r="455" spans="8:9" x14ac:dyDescent="0.2">
      <c r="H455" s="80"/>
      <c r="I455" s="80"/>
    </row>
    <row r="456" spans="8:9" x14ac:dyDescent="0.2">
      <c r="H456" s="80"/>
      <c r="I456" s="80"/>
    </row>
    <row r="457" spans="8:9" x14ac:dyDescent="0.2">
      <c r="H457" s="80"/>
      <c r="I457" s="80"/>
    </row>
    <row r="458" spans="8:9" x14ac:dyDescent="0.2">
      <c r="H458" s="80"/>
      <c r="I458" s="80"/>
    </row>
    <row r="459" spans="8:9" x14ac:dyDescent="0.2">
      <c r="H459" s="80"/>
      <c r="I459" s="80"/>
    </row>
    <row r="460" spans="8:9" x14ac:dyDescent="0.2">
      <c r="H460" s="80"/>
      <c r="I460" s="80"/>
    </row>
    <row r="461" spans="8:9" x14ac:dyDescent="0.2">
      <c r="H461" s="80"/>
      <c r="I461" s="80"/>
    </row>
    <row r="462" spans="8:9" x14ac:dyDescent="0.2">
      <c r="H462" s="80"/>
      <c r="I462" s="80"/>
    </row>
    <row r="463" spans="8:9" x14ac:dyDescent="0.2">
      <c r="H463" s="80"/>
      <c r="I463" s="80"/>
    </row>
    <row r="464" spans="8:9" x14ac:dyDescent="0.2">
      <c r="H464" s="80"/>
      <c r="I464" s="80"/>
    </row>
    <row r="465" spans="8:9" x14ac:dyDescent="0.2">
      <c r="H465" s="80"/>
      <c r="I465" s="80"/>
    </row>
    <row r="466" spans="8:9" x14ac:dyDescent="0.2">
      <c r="H466" s="80"/>
      <c r="I466" s="80"/>
    </row>
    <row r="467" spans="8:9" x14ac:dyDescent="0.2">
      <c r="H467" s="80"/>
      <c r="I467" s="80"/>
    </row>
    <row r="468" spans="8:9" x14ac:dyDescent="0.2">
      <c r="H468" s="80"/>
      <c r="I468" s="80"/>
    </row>
    <row r="469" spans="8:9" x14ac:dyDescent="0.2">
      <c r="H469" s="80"/>
      <c r="I469" s="80"/>
    </row>
    <row r="470" spans="8:9" x14ac:dyDescent="0.2">
      <c r="H470" s="80"/>
      <c r="I470" s="80"/>
    </row>
    <row r="471" spans="8:9" x14ac:dyDescent="0.2">
      <c r="H471" s="80"/>
      <c r="I471" s="80"/>
    </row>
    <row r="472" spans="8:9" x14ac:dyDescent="0.2">
      <c r="H472" s="80"/>
      <c r="I472" s="80"/>
    </row>
    <row r="473" spans="8:9" x14ac:dyDescent="0.2">
      <c r="H473" s="80"/>
      <c r="I473" s="80"/>
    </row>
    <row r="474" spans="8:9" x14ac:dyDescent="0.2">
      <c r="H474" s="80"/>
      <c r="I474" s="80"/>
    </row>
    <row r="475" spans="8:9" x14ac:dyDescent="0.2">
      <c r="H475" s="80"/>
      <c r="I475" s="80"/>
    </row>
    <row r="476" spans="8:9" x14ac:dyDescent="0.2">
      <c r="H476" s="80"/>
      <c r="I476" s="80"/>
    </row>
    <row r="477" spans="8:9" x14ac:dyDescent="0.2">
      <c r="H477" s="80"/>
      <c r="I477" s="80"/>
    </row>
    <row r="478" spans="8:9" x14ac:dyDescent="0.2">
      <c r="H478" s="80"/>
      <c r="I478" s="80"/>
    </row>
    <row r="479" spans="8:9" x14ac:dyDescent="0.2">
      <c r="H479" s="80"/>
      <c r="I479" s="80"/>
    </row>
    <row r="480" spans="8:9" x14ac:dyDescent="0.2">
      <c r="H480" s="80"/>
      <c r="I480" s="80"/>
    </row>
    <row r="481" spans="8:9" x14ac:dyDescent="0.2">
      <c r="H481" s="80"/>
      <c r="I481" s="80"/>
    </row>
    <row r="482" spans="8:9" x14ac:dyDescent="0.2">
      <c r="H482" s="80"/>
      <c r="I482" s="80"/>
    </row>
    <row r="483" spans="8:9" x14ac:dyDescent="0.2">
      <c r="H483" s="80"/>
      <c r="I483" s="80"/>
    </row>
    <row r="484" spans="8:9" x14ac:dyDescent="0.2">
      <c r="H484" s="80"/>
      <c r="I484" s="80"/>
    </row>
    <row r="485" spans="8:9" x14ac:dyDescent="0.2">
      <c r="H485" s="80"/>
      <c r="I485" s="80"/>
    </row>
    <row r="486" spans="8:9" x14ac:dyDescent="0.2">
      <c r="H486" s="80"/>
      <c r="I486" s="80"/>
    </row>
    <row r="487" spans="8:9" x14ac:dyDescent="0.2">
      <c r="H487" s="80"/>
      <c r="I487" s="80"/>
    </row>
    <row r="488" spans="8:9" x14ac:dyDescent="0.2">
      <c r="H488" s="80"/>
      <c r="I488" s="80"/>
    </row>
    <row r="489" spans="8:9" x14ac:dyDescent="0.2">
      <c r="H489" s="80"/>
      <c r="I489" s="80"/>
    </row>
    <row r="490" spans="8:9" x14ac:dyDescent="0.2">
      <c r="H490" s="80"/>
      <c r="I490" s="80"/>
    </row>
    <row r="491" spans="8:9" x14ac:dyDescent="0.2">
      <c r="H491" s="80"/>
      <c r="I491" s="80"/>
    </row>
    <row r="492" spans="8:9" x14ac:dyDescent="0.2">
      <c r="H492" s="80"/>
      <c r="I492" s="80"/>
    </row>
    <row r="493" spans="8:9" x14ac:dyDescent="0.2">
      <c r="H493" s="80"/>
      <c r="I493" s="80"/>
    </row>
    <row r="494" spans="8:9" x14ac:dyDescent="0.2">
      <c r="H494" s="80"/>
      <c r="I494" s="80"/>
    </row>
    <row r="495" spans="8:9" x14ac:dyDescent="0.2">
      <c r="H495" s="80"/>
      <c r="I495" s="80"/>
    </row>
    <row r="496" spans="8:9" x14ac:dyDescent="0.2">
      <c r="H496" s="80"/>
      <c r="I496" s="80"/>
    </row>
    <row r="497" spans="8:9" x14ac:dyDescent="0.2">
      <c r="H497" s="80"/>
      <c r="I497" s="80"/>
    </row>
    <row r="498" spans="8:9" x14ac:dyDescent="0.2">
      <c r="H498" s="80"/>
      <c r="I498" s="80"/>
    </row>
    <row r="499" spans="8:9" x14ac:dyDescent="0.2">
      <c r="H499" s="80"/>
      <c r="I499" s="80"/>
    </row>
    <row r="500" spans="8:9" x14ac:dyDescent="0.2">
      <c r="H500" s="80"/>
      <c r="I500" s="80"/>
    </row>
    <row r="501" spans="8:9" x14ac:dyDescent="0.2">
      <c r="H501" s="80"/>
      <c r="I501" s="80"/>
    </row>
    <row r="502" spans="8:9" x14ac:dyDescent="0.2">
      <c r="H502" s="80"/>
      <c r="I502" s="80"/>
    </row>
    <row r="503" spans="8:9" x14ac:dyDescent="0.2">
      <c r="H503" s="80"/>
      <c r="I503" s="80"/>
    </row>
    <row r="504" spans="8:9" x14ac:dyDescent="0.2">
      <c r="H504" s="80"/>
      <c r="I504" s="80"/>
    </row>
    <row r="505" spans="8:9" x14ac:dyDescent="0.2">
      <c r="H505" s="80"/>
      <c r="I505" s="80"/>
    </row>
    <row r="506" spans="8:9" x14ac:dyDescent="0.2">
      <c r="H506" s="80"/>
      <c r="I506" s="80"/>
    </row>
    <row r="507" spans="8:9" x14ac:dyDescent="0.2">
      <c r="H507" s="80"/>
      <c r="I507" s="80"/>
    </row>
    <row r="508" spans="8:9" x14ac:dyDescent="0.2">
      <c r="H508" s="80"/>
      <c r="I508" s="80"/>
    </row>
    <row r="509" spans="8:9" x14ac:dyDescent="0.2">
      <c r="H509" s="80"/>
      <c r="I509" s="80"/>
    </row>
    <row r="510" spans="8:9" x14ac:dyDescent="0.2">
      <c r="H510" s="80"/>
      <c r="I510" s="80"/>
    </row>
    <row r="511" spans="8:9" x14ac:dyDescent="0.2">
      <c r="H511" s="80"/>
      <c r="I511" s="80"/>
    </row>
    <row r="512" spans="8:9" x14ac:dyDescent="0.2">
      <c r="H512" s="80"/>
      <c r="I512" s="80"/>
    </row>
    <row r="513" spans="8:9" x14ac:dyDescent="0.2">
      <c r="H513" s="80"/>
      <c r="I513" s="80"/>
    </row>
    <row r="514" spans="8:9" x14ac:dyDescent="0.2">
      <c r="H514" s="80"/>
      <c r="I514" s="80"/>
    </row>
    <row r="515" spans="8:9" x14ac:dyDescent="0.2">
      <c r="H515" s="80"/>
      <c r="I515" s="80"/>
    </row>
    <row r="516" spans="8:9" x14ac:dyDescent="0.2">
      <c r="H516" s="80"/>
      <c r="I516" s="80"/>
    </row>
    <row r="517" spans="8:9" x14ac:dyDescent="0.2">
      <c r="H517" s="80"/>
      <c r="I517" s="80"/>
    </row>
    <row r="518" spans="8:9" x14ac:dyDescent="0.2">
      <c r="H518" s="80"/>
      <c r="I518" s="80"/>
    </row>
    <row r="519" spans="8:9" x14ac:dyDescent="0.2">
      <c r="H519" s="80"/>
      <c r="I519" s="80"/>
    </row>
    <row r="520" spans="8:9" x14ac:dyDescent="0.2">
      <c r="H520" s="80"/>
      <c r="I520" s="80"/>
    </row>
    <row r="521" spans="8:9" x14ac:dyDescent="0.2">
      <c r="H521" s="80"/>
      <c r="I521" s="80"/>
    </row>
    <row r="522" spans="8:9" x14ac:dyDescent="0.2">
      <c r="H522" s="80"/>
      <c r="I522" s="80"/>
    </row>
    <row r="523" spans="8:9" x14ac:dyDescent="0.2">
      <c r="H523" s="80"/>
      <c r="I523" s="80"/>
    </row>
    <row r="524" spans="8:9" x14ac:dyDescent="0.2">
      <c r="H524" s="80"/>
      <c r="I524" s="80"/>
    </row>
    <row r="525" spans="8:9" x14ac:dyDescent="0.2">
      <c r="H525" s="80"/>
      <c r="I525" s="80"/>
    </row>
    <row r="526" spans="8:9" x14ac:dyDescent="0.2">
      <c r="H526" s="80"/>
      <c r="I526" s="80"/>
    </row>
    <row r="527" spans="8:9" x14ac:dyDescent="0.2">
      <c r="H527" s="80"/>
      <c r="I527" s="80"/>
    </row>
    <row r="528" spans="8:9" x14ac:dyDescent="0.2">
      <c r="H528" s="80"/>
      <c r="I528" s="80"/>
    </row>
    <row r="529" spans="8:9" x14ac:dyDescent="0.2">
      <c r="H529" s="80"/>
      <c r="I529" s="80"/>
    </row>
    <row r="530" spans="8:9" x14ac:dyDescent="0.2">
      <c r="H530" s="80"/>
      <c r="I530" s="80"/>
    </row>
    <row r="531" spans="8:9" x14ac:dyDescent="0.2">
      <c r="H531" s="80"/>
      <c r="I531" s="80"/>
    </row>
    <row r="532" spans="8:9" x14ac:dyDescent="0.2">
      <c r="H532" s="80"/>
      <c r="I532" s="80"/>
    </row>
    <row r="533" spans="8:9" x14ac:dyDescent="0.2">
      <c r="H533" s="80"/>
      <c r="I533" s="80"/>
    </row>
    <row r="534" spans="8:9" x14ac:dyDescent="0.2">
      <c r="H534" s="80"/>
      <c r="I534" s="80"/>
    </row>
    <row r="535" spans="8:9" x14ac:dyDescent="0.2">
      <c r="H535" s="80"/>
      <c r="I535" s="80"/>
    </row>
    <row r="536" spans="8:9" x14ac:dyDescent="0.2">
      <c r="H536" s="80"/>
      <c r="I536" s="80"/>
    </row>
    <row r="537" spans="8:9" x14ac:dyDescent="0.2">
      <c r="H537" s="80"/>
      <c r="I537" s="80"/>
    </row>
    <row r="538" spans="8:9" x14ac:dyDescent="0.2">
      <c r="H538" s="80"/>
      <c r="I538" s="80"/>
    </row>
    <row r="539" spans="8:9" x14ac:dyDescent="0.2">
      <c r="H539" s="80"/>
      <c r="I539" s="80"/>
    </row>
    <row r="540" spans="8:9" x14ac:dyDescent="0.2">
      <c r="H540" s="80"/>
      <c r="I540" s="80"/>
    </row>
    <row r="541" spans="8:9" x14ac:dyDescent="0.2">
      <c r="H541" s="80"/>
      <c r="I541" s="80"/>
    </row>
    <row r="542" spans="8:9" x14ac:dyDescent="0.2">
      <c r="H542" s="80"/>
      <c r="I542" s="80"/>
    </row>
    <row r="543" spans="8:9" x14ac:dyDescent="0.2">
      <c r="H543" s="80"/>
      <c r="I543" s="80"/>
    </row>
    <row r="544" spans="8:9" x14ac:dyDescent="0.2">
      <c r="H544" s="80"/>
      <c r="I544" s="80"/>
    </row>
    <row r="545" spans="8:9" x14ac:dyDescent="0.2">
      <c r="H545" s="80"/>
      <c r="I545" s="80"/>
    </row>
    <row r="546" spans="8:9" x14ac:dyDescent="0.2">
      <c r="H546" s="80"/>
      <c r="I546" s="80"/>
    </row>
    <row r="547" spans="8:9" x14ac:dyDescent="0.2">
      <c r="H547" s="80"/>
      <c r="I547" s="80"/>
    </row>
    <row r="548" spans="8:9" x14ac:dyDescent="0.2">
      <c r="H548" s="80"/>
      <c r="I548" s="80"/>
    </row>
    <row r="549" spans="8:9" x14ac:dyDescent="0.2">
      <c r="H549" s="80"/>
      <c r="I549" s="80"/>
    </row>
    <row r="550" spans="8:9" x14ac:dyDescent="0.2">
      <c r="H550" s="80"/>
      <c r="I550" s="80"/>
    </row>
    <row r="551" spans="8:9" x14ac:dyDescent="0.2">
      <c r="H551" s="80"/>
      <c r="I551" s="80"/>
    </row>
    <row r="552" spans="8:9" x14ac:dyDescent="0.2">
      <c r="H552" s="80"/>
      <c r="I552" s="80"/>
    </row>
    <row r="553" spans="8:9" x14ac:dyDescent="0.2">
      <c r="H553" s="80"/>
      <c r="I553" s="80"/>
    </row>
    <row r="554" spans="8:9" x14ac:dyDescent="0.2">
      <c r="H554" s="80"/>
      <c r="I554" s="80"/>
    </row>
    <row r="555" spans="8:9" x14ac:dyDescent="0.2">
      <c r="H555" s="80"/>
      <c r="I555" s="80"/>
    </row>
    <row r="556" spans="8:9" x14ac:dyDescent="0.2">
      <c r="H556" s="80"/>
      <c r="I556" s="80"/>
    </row>
    <row r="557" spans="8:9" x14ac:dyDescent="0.2">
      <c r="H557" s="80"/>
      <c r="I557" s="80"/>
    </row>
    <row r="558" spans="8:9" x14ac:dyDescent="0.2">
      <c r="H558" s="80"/>
      <c r="I558" s="80"/>
    </row>
    <row r="559" spans="8:9" x14ac:dyDescent="0.2">
      <c r="H559" s="80"/>
      <c r="I559" s="80"/>
    </row>
    <row r="560" spans="8:9" x14ac:dyDescent="0.2">
      <c r="H560" s="80"/>
      <c r="I560" s="80"/>
    </row>
    <row r="561" spans="8:9" x14ac:dyDescent="0.2">
      <c r="H561" s="80"/>
      <c r="I561" s="80"/>
    </row>
    <row r="562" spans="8:9" x14ac:dyDescent="0.2">
      <c r="H562" s="80"/>
      <c r="I562" s="80"/>
    </row>
    <row r="563" spans="8:9" x14ac:dyDescent="0.2">
      <c r="H563" s="80"/>
      <c r="I563" s="80"/>
    </row>
    <row r="564" spans="8:9" x14ac:dyDescent="0.2">
      <c r="H564" s="80"/>
      <c r="I564" s="80"/>
    </row>
    <row r="565" spans="8:9" x14ac:dyDescent="0.2">
      <c r="H565" s="80"/>
      <c r="I565" s="80"/>
    </row>
    <row r="566" spans="8:9" x14ac:dyDescent="0.2">
      <c r="H566" s="80"/>
      <c r="I566" s="80"/>
    </row>
    <row r="567" spans="8:9" x14ac:dyDescent="0.2">
      <c r="H567" s="80"/>
      <c r="I567" s="80"/>
    </row>
    <row r="568" spans="8:9" x14ac:dyDescent="0.2">
      <c r="H568" s="80"/>
      <c r="I568" s="80"/>
    </row>
    <row r="569" spans="8:9" x14ac:dyDescent="0.2">
      <c r="H569" s="80"/>
      <c r="I569" s="80"/>
    </row>
    <row r="570" spans="8:9" x14ac:dyDescent="0.2">
      <c r="H570" s="80"/>
      <c r="I570" s="80"/>
    </row>
    <row r="571" spans="8:9" x14ac:dyDescent="0.2">
      <c r="H571" s="80"/>
      <c r="I571" s="80"/>
    </row>
    <row r="572" spans="8:9" x14ac:dyDescent="0.2">
      <c r="H572" s="80"/>
      <c r="I572" s="80"/>
    </row>
    <row r="573" spans="8:9" x14ac:dyDescent="0.2">
      <c r="H573" s="80"/>
      <c r="I573" s="80"/>
    </row>
    <row r="574" spans="8:9" x14ac:dyDescent="0.2">
      <c r="H574" s="80"/>
      <c r="I574" s="80"/>
    </row>
    <row r="575" spans="8:9" x14ac:dyDescent="0.2">
      <c r="H575" s="80"/>
      <c r="I575" s="80"/>
    </row>
    <row r="576" spans="8:9" x14ac:dyDescent="0.2">
      <c r="H576" s="80"/>
      <c r="I576" s="80"/>
    </row>
    <row r="577" spans="8:9" x14ac:dyDescent="0.2">
      <c r="H577" s="80"/>
      <c r="I577" s="80"/>
    </row>
    <row r="578" spans="8:9" x14ac:dyDescent="0.2">
      <c r="H578" s="80"/>
      <c r="I578" s="80"/>
    </row>
    <row r="579" spans="8:9" x14ac:dyDescent="0.2">
      <c r="H579" s="80"/>
      <c r="I579" s="80"/>
    </row>
    <row r="580" spans="8:9" x14ac:dyDescent="0.2">
      <c r="H580" s="80"/>
      <c r="I580" s="80"/>
    </row>
    <row r="581" spans="8:9" x14ac:dyDescent="0.2">
      <c r="H581" s="80"/>
      <c r="I581" s="80"/>
    </row>
    <row r="582" spans="8:9" x14ac:dyDescent="0.2">
      <c r="H582" s="80"/>
      <c r="I582" s="80"/>
    </row>
    <row r="583" spans="8:9" x14ac:dyDescent="0.2">
      <c r="H583" s="80"/>
      <c r="I583" s="80"/>
    </row>
    <row r="584" spans="8:9" x14ac:dyDescent="0.2">
      <c r="H584" s="80"/>
      <c r="I584" s="80"/>
    </row>
    <row r="585" spans="8:9" x14ac:dyDescent="0.2">
      <c r="H585" s="80"/>
      <c r="I585" s="80"/>
    </row>
    <row r="586" spans="8:9" x14ac:dyDescent="0.2">
      <c r="H586" s="80"/>
      <c r="I586" s="80"/>
    </row>
    <row r="587" spans="8:9" x14ac:dyDescent="0.2">
      <c r="H587" s="80"/>
      <c r="I587" s="80"/>
    </row>
    <row r="588" spans="8:9" x14ac:dyDescent="0.2">
      <c r="H588" s="80"/>
      <c r="I588" s="80"/>
    </row>
    <row r="589" spans="8:9" x14ac:dyDescent="0.2">
      <c r="H589" s="80"/>
      <c r="I589" s="80"/>
    </row>
    <row r="590" spans="8:9" x14ac:dyDescent="0.2">
      <c r="H590" s="80"/>
      <c r="I590" s="80"/>
    </row>
    <row r="591" spans="8:9" x14ac:dyDescent="0.2">
      <c r="H591" s="80"/>
      <c r="I591" s="80"/>
    </row>
    <row r="592" spans="8:9" x14ac:dyDescent="0.2">
      <c r="H592" s="80"/>
      <c r="I592" s="80"/>
    </row>
    <row r="593" spans="8:9" x14ac:dyDescent="0.2">
      <c r="H593" s="80"/>
      <c r="I593" s="80"/>
    </row>
    <row r="594" spans="8:9" x14ac:dyDescent="0.2">
      <c r="H594" s="80"/>
      <c r="I594" s="80"/>
    </row>
    <row r="595" spans="8:9" x14ac:dyDescent="0.2">
      <c r="H595" s="80"/>
      <c r="I595" s="80"/>
    </row>
    <row r="596" spans="8:9" x14ac:dyDescent="0.2">
      <c r="H596" s="80"/>
      <c r="I596" s="80"/>
    </row>
    <row r="597" spans="8:9" x14ac:dyDescent="0.2">
      <c r="H597" s="80"/>
      <c r="I597" s="80"/>
    </row>
    <row r="598" spans="8:9" x14ac:dyDescent="0.2">
      <c r="H598" s="80"/>
      <c r="I598" s="80"/>
    </row>
    <row r="599" spans="8:9" x14ac:dyDescent="0.2">
      <c r="H599" s="80"/>
      <c r="I599" s="80"/>
    </row>
    <row r="600" spans="8:9" x14ac:dyDescent="0.2">
      <c r="H600" s="80"/>
      <c r="I600" s="80"/>
    </row>
    <row r="601" spans="8:9" x14ac:dyDescent="0.2">
      <c r="H601" s="80"/>
      <c r="I601" s="80"/>
    </row>
    <row r="602" spans="8:9" x14ac:dyDescent="0.2">
      <c r="H602" s="80"/>
      <c r="I602" s="80"/>
    </row>
    <row r="603" spans="8:9" x14ac:dyDescent="0.2">
      <c r="H603" s="80"/>
      <c r="I603" s="80"/>
    </row>
    <row r="604" spans="8:9" x14ac:dyDescent="0.2">
      <c r="H604" s="80"/>
      <c r="I604" s="80"/>
    </row>
    <row r="605" spans="8:9" x14ac:dyDescent="0.2">
      <c r="H605" s="80"/>
      <c r="I605" s="80"/>
    </row>
    <row r="606" spans="8:9" x14ac:dyDescent="0.2">
      <c r="H606" s="80"/>
      <c r="I606" s="80"/>
    </row>
    <row r="607" spans="8:9" x14ac:dyDescent="0.2">
      <c r="H607" s="80"/>
      <c r="I607" s="80"/>
    </row>
    <row r="608" spans="8:9" x14ac:dyDescent="0.2">
      <c r="H608" s="80"/>
      <c r="I608" s="80"/>
    </row>
    <row r="609" spans="8:9" x14ac:dyDescent="0.2">
      <c r="H609" s="80"/>
      <c r="I609" s="80"/>
    </row>
    <row r="610" spans="8:9" x14ac:dyDescent="0.2">
      <c r="H610" s="80"/>
      <c r="I610" s="80"/>
    </row>
    <row r="611" spans="8:9" x14ac:dyDescent="0.2">
      <c r="H611" s="80"/>
      <c r="I611" s="80"/>
    </row>
    <row r="612" spans="8:9" x14ac:dyDescent="0.2">
      <c r="H612" s="80"/>
      <c r="I612" s="80"/>
    </row>
    <row r="613" spans="8:9" x14ac:dyDescent="0.2">
      <c r="H613" s="80"/>
      <c r="I613" s="80"/>
    </row>
    <row r="614" spans="8:9" x14ac:dyDescent="0.2">
      <c r="H614" s="80"/>
      <c r="I614" s="80"/>
    </row>
    <row r="615" spans="8:9" x14ac:dyDescent="0.2">
      <c r="H615" s="80"/>
      <c r="I615" s="80"/>
    </row>
    <row r="616" spans="8:9" x14ac:dyDescent="0.2">
      <c r="H616" s="80"/>
      <c r="I616" s="80"/>
    </row>
    <row r="617" spans="8:9" x14ac:dyDescent="0.2">
      <c r="H617" s="80"/>
      <c r="I617" s="80"/>
    </row>
    <row r="618" spans="8:9" x14ac:dyDescent="0.2">
      <c r="H618" s="80"/>
      <c r="I618" s="80"/>
    </row>
    <row r="619" spans="8:9" x14ac:dyDescent="0.2">
      <c r="H619" s="80"/>
      <c r="I619" s="80"/>
    </row>
    <row r="620" spans="8:9" x14ac:dyDescent="0.2">
      <c r="H620" s="80"/>
      <c r="I620" s="80"/>
    </row>
    <row r="621" spans="8:9" x14ac:dyDescent="0.2">
      <c r="H621" s="80"/>
      <c r="I621" s="80"/>
    </row>
    <row r="622" spans="8:9" x14ac:dyDescent="0.2">
      <c r="H622" s="80"/>
      <c r="I622" s="80"/>
    </row>
    <row r="623" spans="8:9" x14ac:dyDescent="0.2">
      <c r="H623" s="80"/>
      <c r="I623" s="80"/>
    </row>
    <row r="624" spans="8:9" x14ac:dyDescent="0.2">
      <c r="H624" s="80"/>
      <c r="I624" s="80"/>
    </row>
    <row r="625" spans="8:9" x14ac:dyDescent="0.2">
      <c r="H625" s="80"/>
      <c r="I625" s="80"/>
    </row>
    <row r="626" spans="8:9" x14ac:dyDescent="0.2">
      <c r="H626" s="80"/>
      <c r="I626" s="80"/>
    </row>
    <row r="627" spans="8:9" x14ac:dyDescent="0.2">
      <c r="H627" s="80"/>
      <c r="I627" s="80"/>
    </row>
    <row r="628" spans="8:9" x14ac:dyDescent="0.2">
      <c r="H628" s="80"/>
      <c r="I628" s="80"/>
    </row>
    <row r="629" spans="8:9" x14ac:dyDescent="0.2">
      <c r="H629" s="80"/>
      <c r="I629" s="80"/>
    </row>
    <row r="630" spans="8:9" x14ac:dyDescent="0.2">
      <c r="H630" s="80"/>
      <c r="I630" s="80"/>
    </row>
    <row r="631" spans="8:9" x14ac:dyDescent="0.2">
      <c r="H631" s="80"/>
      <c r="I631" s="80"/>
    </row>
    <row r="632" spans="8:9" x14ac:dyDescent="0.2">
      <c r="H632" s="80"/>
      <c r="I632" s="80"/>
    </row>
    <row r="633" spans="8:9" x14ac:dyDescent="0.2">
      <c r="H633" s="80"/>
      <c r="I633" s="80"/>
    </row>
    <row r="634" spans="8:9" x14ac:dyDescent="0.2">
      <c r="H634" s="80"/>
      <c r="I634" s="80"/>
    </row>
    <row r="635" spans="8:9" x14ac:dyDescent="0.2">
      <c r="H635" s="80"/>
      <c r="I635" s="80"/>
    </row>
    <row r="636" spans="8:9" x14ac:dyDescent="0.2">
      <c r="H636" s="80"/>
      <c r="I636" s="80"/>
    </row>
    <row r="637" spans="8:9" x14ac:dyDescent="0.2">
      <c r="H637" s="80"/>
      <c r="I637" s="80"/>
    </row>
    <row r="638" spans="8:9" x14ac:dyDescent="0.2">
      <c r="H638" s="80"/>
      <c r="I638" s="80"/>
    </row>
    <row r="639" spans="8:9" x14ac:dyDescent="0.2">
      <c r="H639" s="80"/>
      <c r="I639" s="80"/>
    </row>
    <row r="640" spans="8:9" x14ac:dyDescent="0.2">
      <c r="H640" s="80"/>
      <c r="I640" s="80"/>
    </row>
    <row r="641" spans="8:9" x14ac:dyDescent="0.2">
      <c r="H641" s="80"/>
      <c r="I641" s="80"/>
    </row>
    <row r="642" spans="8:9" x14ac:dyDescent="0.2">
      <c r="H642" s="80"/>
      <c r="I642" s="80"/>
    </row>
    <row r="643" spans="8:9" x14ac:dyDescent="0.2">
      <c r="H643" s="80"/>
      <c r="I643" s="80"/>
    </row>
    <row r="644" spans="8:9" x14ac:dyDescent="0.2">
      <c r="H644" s="80"/>
      <c r="I644" s="80"/>
    </row>
    <row r="645" spans="8:9" x14ac:dyDescent="0.2">
      <c r="H645" s="80"/>
      <c r="I645" s="80"/>
    </row>
    <row r="646" spans="8:9" x14ac:dyDescent="0.2">
      <c r="H646" s="80"/>
      <c r="I646" s="80"/>
    </row>
    <row r="647" spans="8:9" x14ac:dyDescent="0.2">
      <c r="H647" s="80"/>
      <c r="I647" s="80"/>
    </row>
    <row r="648" spans="8:9" x14ac:dyDescent="0.2">
      <c r="H648" s="80"/>
      <c r="I648" s="80"/>
    </row>
    <row r="649" spans="8:9" x14ac:dyDescent="0.2">
      <c r="H649" s="80"/>
      <c r="I649" s="80"/>
    </row>
    <row r="650" spans="8:9" x14ac:dyDescent="0.2">
      <c r="H650" s="80"/>
      <c r="I650" s="80"/>
    </row>
    <row r="651" spans="8:9" x14ac:dyDescent="0.2">
      <c r="H651" s="80"/>
      <c r="I651" s="80"/>
    </row>
    <row r="652" spans="8:9" x14ac:dyDescent="0.2">
      <c r="H652" s="80"/>
      <c r="I652" s="80"/>
    </row>
    <row r="653" spans="8:9" x14ac:dyDescent="0.2">
      <c r="H653" s="80"/>
      <c r="I653" s="80"/>
    </row>
    <row r="654" spans="8:9" x14ac:dyDescent="0.2">
      <c r="H654" s="80"/>
      <c r="I654" s="80"/>
    </row>
    <row r="655" spans="8:9" x14ac:dyDescent="0.2">
      <c r="H655" s="80"/>
      <c r="I655" s="80"/>
    </row>
    <row r="656" spans="8:9" x14ac:dyDescent="0.2">
      <c r="H656" s="80"/>
      <c r="I656" s="80"/>
    </row>
    <row r="657" spans="8:9" x14ac:dyDescent="0.2">
      <c r="H657" s="80"/>
      <c r="I657" s="80"/>
    </row>
    <row r="658" spans="8:9" x14ac:dyDescent="0.2">
      <c r="H658" s="80"/>
      <c r="I658" s="80"/>
    </row>
    <row r="659" spans="8:9" x14ac:dyDescent="0.2">
      <c r="H659" s="80"/>
      <c r="I659" s="80"/>
    </row>
    <row r="660" spans="8:9" x14ac:dyDescent="0.2">
      <c r="H660" s="80"/>
      <c r="I660" s="80"/>
    </row>
    <row r="661" spans="8:9" x14ac:dyDescent="0.2">
      <c r="H661" s="80"/>
      <c r="I661" s="80"/>
    </row>
    <row r="662" spans="8:9" x14ac:dyDescent="0.2">
      <c r="H662" s="80"/>
      <c r="I662" s="80"/>
    </row>
    <row r="663" spans="8:9" x14ac:dyDescent="0.2">
      <c r="H663" s="80"/>
      <c r="I663" s="80"/>
    </row>
    <row r="664" spans="8:9" x14ac:dyDescent="0.2">
      <c r="H664" s="80"/>
      <c r="I664" s="80"/>
    </row>
    <row r="665" spans="8:9" x14ac:dyDescent="0.2">
      <c r="H665" s="80"/>
      <c r="I665" s="80"/>
    </row>
    <row r="666" spans="8:9" x14ac:dyDescent="0.2">
      <c r="H666" s="80"/>
      <c r="I666" s="80"/>
    </row>
    <row r="667" spans="8:9" x14ac:dyDescent="0.2">
      <c r="H667" s="80"/>
      <c r="I667" s="80"/>
    </row>
    <row r="668" spans="8:9" x14ac:dyDescent="0.2">
      <c r="H668" s="80"/>
      <c r="I668" s="80"/>
    </row>
    <row r="669" spans="8:9" x14ac:dyDescent="0.2">
      <c r="H669" s="80"/>
      <c r="I669" s="80"/>
    </row>
    <row r="670" spans="8:9" x14ac:dyDescent="0.2">
      <c r="H670" s="80"/>
      <c r="I670" s="80"/>
    </row>
    <row r="671" spans="8:9" x14ac:dyDescent="0.2">
      <c r="H671" s="80"/>
      <c r="I671" s="80"/>
    </row>
    <row r="672" spans="8:9" x14ac:dyDescent="0.2">
      <c r="H672" s="80"/>
      <c r="I672" s="80"/>
    </row>
    <row r="673" spans="8:9" x14ac:dyDescent="0.2">
      <c r="H673" s="80"/>
      <c r="I673" s="80"/>
    </row>
    <row r="674" spans="8:9" x14ac:dyDescent="0.2">
      <c r="H674" s="80"/>
      <c r="I674" s="80"/>
    </row>
    <row r="675" spans="8:9" x14ac:dyDescent="0.2">
      <c r="H675" s="80"/>
      <c r="I675" s="80"/>
    </row>
    <row r="676" spans="8:9" x14ac:dyDescent="0.2">
      <c r="H676" s="80"/>
      <c r="I676" s="80"/>
    </row>
    <row r="677" spans="8:9" x14ac:dyDescent="0.2">
      <c r="H677" s="80"/>
      <c r="I677" s="80"/>
    </row>
    <row r="678" spans="8:9" x14ac:dyDescent="0.2">
      <c r="H678" s="80"/>
      <c r="I678" s="80"/>
    </row>
    <row r="679" spans="8:9" x14ac:dyDescent="0.2">
      <c r="H679" s="80"/>
      <c r="I679" s="80"/>
    </row>
    <row r="680" spans="8:9" x14ac:dyDescent="0.2">
      <c r="H680" s="80"/>
      <c r="I680" s="80"/>
    </row>
    <row r="681" spans="8:9" x14ac:dyDescent="0.2">
      <c r="H681" s="80"/>
      <c r="I681" s="80"/>
    </row>
    <row r="682" spans="8:9" x14ac:dyDescent="0.2">
      <c r="H682" s="80"/>
      <c r="I682" s="80"/>
    </row>
    <row r="683" spans="8:9" x14ac:dyDescent="0.2">
      <c r="H683" s="80"/>
      <c r="I683" s="80"/>
    </row>
    <row r="684" spans="8:9" x14ac:dyDescent="0.2">
      <c r="H684" s="80"/>
      <c r="I684" s="80"/>
    </row>
    <row r="685" spans="8:9" x14ac:dyDescent="0.2">
      <c r="H685" s="80"/>
      <c r="I685" s="80"/>
    </row>
    <row r="686" spans="8:9" x14ac:dyDescent="0.2">
      <c r="H686" s="80"/>
      <c r="I686" s="80"/>
    </row>
    <row r="687" spans="8:9" x14ac:dyDescent="0.2">
      <c r="H687" s="80"/>
      <c r="I687" s="80"/>
    </row>
    <row r="688" spans="8:9" x14ac:dyDescent="0.2">
      <c r="H688" s="80"/>
      <c r="I688" s="80"/>
    </row>
    <row r="689" spans="8:9" x14ac:dyDescent="0.2">
      <c r="H689" s="80"/>
      <c r="I689" s="80"/>
    </row>
    <row r="690" spans="8:9" x14ac:dyDescent="0.2">
      <c r="H690" s="80"/>
      <c r="I690" s="80"/>
    </row>
    <row r="691" spans="8:9" x14ac:dyDescent="0.2">
      <c r="H691" s="80"/>
      <c r="I691" s="80"/>
    </row>
    <row r="692" spans="8:9" x14ac:dyDescent="0.2">
      <c r="H692" s="80"/>
      <c r="I692" s="80"/>
    </row>
    <row r="693" spans="8:9" x14ac:dyDescent="0.2">
      <c r="H693" s="80"/>
      <c r="I693" s="80"/>
    </row>
    <row r="694" spans="8:9" x14ac:dyDescent="0.2">
      <c r="H694" s="80"/>
      <c r="I694" s="80"/>
    </row>
    <row r="695" spans="8:9" x14ac:dyDescent="0.2">
      <c r="H695" s="80"/>
      <c r="I695" s="80"/>
    </row>
    <row r="696" spans="8:9" x14ac:dyDescent="0.2">
      <c r="H696" s="80"/>
      <c r="I696" s="80"/>
    </row>
    <row r="697" spans="8:9" x14ac:dyDescent="0.2">
      <c r="H697" s="80"/>
      <c r="I697" s="80"/>
    </row>
    <row r="698" spans="8:9" x14ac:dyDescent="0.2">
      <c r="H698" s="80"/>
      <c r="I698" s="80"/>
    </row>
    <row r="699" spans="8:9" x14ac:dyDescent="0.2">
      <c r="H699" s="80"/>
      <c r="I699" s="80"/>
    </row>
    <row r="700" spans="8:9" x14ac:dyDescent="0.2">
      <c r="H700" s="80"/>
      <c r="I700" s="80"/>
    </row>
    <row r="701" spans="8:9" x14ac:dyDescent="0.2">
      <c r="H701" s="80"/>
      <c r="I701" s="80"/>
    </row>
    <row r="702" spans="8:9" x14ac:dyDescent="0.2">
      <c r="H702" s="80"/>
      <c r="I702" s="80"/>
    </row>
    <row r="703" spans="8:9" x14ac:dyDescent="0.2">
      <c r="H703" s="80"/>
      <c r="I703" s="80"/>
    </row>
    <row r="704" spans="8:9" x14ac:dyDescent="0.2">
      <c r="H704" s="80"/>
      <c r="I704" s="80"/>
    </row>
    <row r="705" spans="8:9" x14ac:dyDescent="0.2">
      <c r="H705" s="80"/>
      <c r="I705" s="80"/>
    </row>
    <row r="706" spans="8:9" x14ac:dyDescent="0.2">
      <c r="H706" s="80"/>
      <c r="I706" s="80"/>
    </row>
    <row r="707" spans="8:9" x14ac:dyDescent="0.2">
      <c r="H707" s="80"/>
      <c r="I707" s="80"/>
    </row>
    <row r="708" spans="8:9" x14ac:dyDescent="0.2">
      <c r="H708" s="80"/>
      <c r="I708" s="80"/>
    </row>
    <row r="709" spans="8:9" x14ac:dyDescent="0.2">
      <c r="H709" s="80"/>
      <c r="I709" s="80"/>
    </row>
    <row r="710" spans="8:9" x14ac:dyDescent="0.2">
      <c r="H710" s="80"/>
      <c r="I710" s="80"/>
    </row>
    <row r="711" spans="8:9" x14ac:dyDescent="0.2">
      <c r="H711" s="80"/>
      <c r="I711" s="80"/>
    </row>
    <row r="712" spans="8:9" x14ac:dyDescent="0.2">
      <c r="H712" s="80"/>
      <c r="I712" s="80"/>
    </row>
    <row r="713" spans="8:9" x14ac:dyDescent="0.2">
      <c r="H713" s="80"/>
      <c r="I713" s="80"/>
    </row>
    <row r="714" spans="8:9" x14ac:dyDescent="0.2">
      <c r="H714" s="80"/>
      <c r="I714" s="80"/>
    </row>
    <row r="715" spans="8:9" x14ac:dyDescent="0.2">
      <c r="H715" s="80"/>
      <c r="I715" s="80"/>
    </row>
    <row r="716" spans="8:9" x14ac:dyDescent="0.2">
      <c r="H716" s="80"/>
      <c r="I716" s="80"/>
    </row>
    <row r="717" spans="8:9" x14ac:dyDescent="0.2">
      <c r="H717" s="80"/>
      <c r="I717" s="80"/>
    </row>
    <row r="718" spans="8:9" x14ac:dyDescent="0.2">
      <c r="H718" s="80"/>
      <c r="I718" s="80"/>
    </row>
    <row r="719" spans="8:9" x14ac:dyDescent="0.2">
      <c r="H719" s="80"/>
      <c r="I719" s="80"/>
    </row>
    <row r="720" spans="8:9" x14ac:dyDescent="0.2">
      <c r="H720" s="80"/>
      <c r="I720" s="80"/>
    </row>
    <row r="721" spans="8:9" x14ac:dyDescent="0.2">
      <c r="H721" s="80"/>
      <c r="I721" s="80"/>
    </row>
    <row r="722" spans="8:9" x14ac:dyDescent="0.2">
      <c r="H722" s="80"/>
      <c r="I722" s="80"/>
    </row>
    <row r="723" spans="8:9" x14ac:dyDescent="0.2">
      <c r="H723" s="80"/>
      <c r="I723" s="80"/>
    </row>
    <row r="724" spans="8:9" x14ac:dyDescent="0.2">
      <c r="H724" s="80"/>
      <c r="I724" s="80"/>
    </row>
    <row r="725" spans="8:9" x14ac:dyDescent="0.2">
      <c r="H725" s="80"/>
      <c r="I725" s="80"/>
    </row>
    <row r="726" spans="8:9" x14ac:dyDescent="0.2">
      <c r="H726" s="80"/>
      <c r="I726" s="80"/>
    </row>
    <row r="727" spans="8:9" x14ac:dyDescent="0.2">
      <c r="H727" s="80"/>
      <c r="I727" s="80"/>
    </row>
    <row r="728" spans="8:9" x14ac:dyDescent="0.2">
      <c r="H728" s="80"/>
      <c r="I728" s="80"/>
    </row>
    <row r="729" spans="8:9" x14ac:dyDescent="0.2">
      <c r="H729" s="80"/>
      <c r="I729" s="80"/>
    </row>
    <row r="730" spans="8:9" x14ac:dyDescent="0.2">
      <c r="H730" s="80"/>
      <c r="I730" s="80"/>
    </row>
    <row r="731" spans="8:9" x14ac:dyDescent="0.2">
      <c r="H731" s="80"/>
      <c r="I731" s="80"/>
    </row>
    <row r="732" spans="8:9" x14ac:dyDescent="0.2">
      <c r="H732" s="80"/>
      <c r="I732" s="80"/>
    </row>
    <row r="733" spans="8:9" x14ac:dyDescent="0.2">
      <c r="H733" s="80"/>
      <c r="I733" s="80"/>
    </row>
    <row r="734" spans="8:9" x14ac:dyDescent="0.2">
      <c r="H734" s="80"/>
      <c r="I734" s="80"/>
    </row>
    <row r="735" spans="8:9" x14ac:dyDescent="0.2">
      <c r="H735" s="80"/>
      <c r="I735" s="80"/>
    </row>
    <row r="736" spans="8:9" x14ac:dyDescent="0.2">
      <c r="H736" s="80"/>
      <c r="I736" s="80"/>
    </row>
    <row r="737" spans="8:9" x14ac:dyDescent="0.2">
      <c r="H737" s="80"/>
      <c r="I737" s="80"/>
    </row>
    <row r="738" spans="8:9" x14ac:dyDescent="0.2">
      <c r="H738" s="80"/>
      <c r="I738" s="80"/>
    </row>
    <row r="739" spans="8:9" x14ac:dyDescent="0.2">
      <c r="H739" s="80"/>
      <c r="I739" s="80"/>
    </row>
    <row r="740" spans="8:9" x14ac:dyDescent="0.2">
      <c r="H740" s="80"/>
      <c r="I740" s="80"/>
    </row>
    <row r="741" spans="8:9" x14ac:dyDescent="0.2">
      <c r="H741" s="80"/>
      <c r="I741" s="80"/>
    </row>
    <row r="742" spans="8:9" x14ac:dyDescent="0.2">
      <c r="H742" s="80"/>
      <c r="I742" s="80"/>
    </row>
    <row r="743" spans="8:9" x14ac:dyDescent="0.2">
      <c r="H743" s="80"/>
      <c r="I743" s="80"/>
    </row>
    <row r="744" spans="8:9" x14ac:dyDescent="0.2">
      <c r="H744" s="80"/>
      <c r="I744" s="80"/>
    </row>
    <row r="745" spans="8:9" x14ac:dyDescent="0.2">
      <c r="H745" s="80"/>
      <c r="I745" s="80"/>
    </row>
    <row r="746" spans="8:9" x14ac:dyDescent="0.2">
      <c r="H746" s="80"/>
      <c r="I746" s="80"/>
    </row>
    <row r="747" spans="8:9" x14ac:dyDescent="0.2">
      <c r="H747" s="80"/>
      <c r="I747" s="80"/>
    </row>
    <row r="748" spans="8:9" x14ac:dyDescent="0.2">
      <c r="H748" s="80"/>
      <c r="I748" s="80"/>
    </row>
    <row r="749" spans="8:9" x14ac:dyDescent="0.2">
      <c r="H749" s="80"/>
      <c r="I749" s="80"/>
    </row>
    <row r="750" spans="8:9" x14ac:dyDescent="0.2">
      <c r="H750" s="80"/>
      <c r="I750" s="80"/>
    </row>
    <row r="751" spans="8:9" x14ac:dyDescent="0.2">
      <c r="H751" s="80"/>
      <c r="I751" s="80"/>
    </row>
    <row r="752" spans="8:9" x14ac:dyDescent="0.2">
      <c r="H752" s="80"/>
      <c r="I752" s="80"/>
    </row>
    <row r="753" spans="8:9" x14ac:dyDescent="0.2">
      <c r="H753" s="80"/>
      <c r="I753" s="80"/>
    </row>
    <row r="754" spans="8:9" x14ac:dyDescent="0.2">
      <c r="H754" s="80"/>
      <c r="I754" s="80"/>
    </row>
    <row r="755" spans="8:9" x14ac:dyDescent="0.2">
      <c r="H755" s="80"/>
      <c r="I755" s="80"/>
    </row>
    <row r="756" spans="8:9" x14ac:dyDescent="0.2">
      <c r="H756" s="80"/>
      <c r="I756" s="80"/>
    </row>
    <row r="757" spans="8:9" x14ac:dyDescent="0.2">
      <c r="H757" s="80"/>
      <c r="I757" s="80"/>
    </row>
    <row r="758" spans="8:9" x14ac:dyDescent="0.2">
      <c r="H758" s="80"/>
      <c r="I758" s="80"/>
    </row>
    <row r="759" spans="8:9" x14ac:dyDescent="0.2">
      <c r="H759" s="80"/>
      <c r="I759" s="80"/>
    </row>
    <row r="760" spans="8:9" x14ac:dyDescent="0.2">
      <c r="H760" s="80"/>
      <c r="I760" s="80"/>
    </row>
    <row r="761" spans="8:9" x14ac:dyDescent="0.2">
      <c r="H761" s="80"/>
      <c r="I761" s="80"/>
    </row>
    <row r="762" spans="8:9" x14ac:dyDescent="0.2">
      <c r="H762" s="80"/>
      <c r="I762" s="80"/>
    </row>
    <row r="763" spans="8:9" x14ac:dyDescent="0.2">
      <c r="H763" s="80"/>
      <c r="I763" s="80"/>
    </row>
    <row r="764" spans="8:9" x14ac:dyDescent="0.2">
      <c r="H764" s="80"/>
      <c r="I764" s="80"/>
    </row>
    <row r="765" spans="8:9" x14ac:dyDescent="0.2">
      <c r="H765" s="80"/>
      <c r="I765" s="80"/>
    </row>
    <row r="766" spans="8:9" x14ac:dyDescent="0.2">
      <c r="H766" s="80"/>
      <c r="I766" s="80"/>
    </row>
    <row r="767" spans="8:9" x14ac:dyDescent="0.2">
      <c r="H767" s="80"/>
      <c r="I767" s="80"/>
    </row>
    <row r="768" spans="8:9" x14ac:dyDescent="0.2">
      <c r="H768" s="80"/>
      <c r="I768" s="80"/>
    </row>
    <row r="769" spans="8:9" x14ac:dyDescent="0.2">
      <c r="H769" s="80"/>
      <c r="I769" s="80"/>
    </row>
    <row r="770" spans="8:9" x14ac:dyDescent="0.2">
      <c r="H770" s="80"/>
      <c r="I770" s="80"/>
    </row>
    <row r="771" spans="8:9" x14ac:dyDescent="0.2">
      <c r="H771" s="80"/>
      <c r="I771" s="80"/>
    </row>
    <row r="772" spans="8:9" x14ac:dyDescent="0.2">
      <c r="H772" s="80"/>
      <c r="I772" s="80"/>
    </row>
    <row r="773" spans="8:9" x14ac:dyDescent="0.2">
      <c r="H773" s="80"/>
      <c r="I773" s="80"/>
    </row>
    <row r="774" spans="8:9" x14ac:dyDescent="0.2">
      <c r="H774" s="80"/>
      <c r="I774" s="80"/>
    </row>
    <row r="775" spans="8:9" x14ac:dyDescent="0.2">
      <c r="H775" s="80"/>
      <c r="I775" s="80"/>
    </row>
    <row r="776" spans="8:9" x14ac:dyDescent="0.2">
      <c r="H776" s="80"/>
      <c r="I776" s="80"/>
    </row>
    <row r="777" spans="8:9" x14ac:dyDescent="0.2">
      <c r="H777" s="80"/>
      <c r="I777" s="80"/>
    </row>
    <row r="778" spans="8:9" x14ac:dyDescent="0.2">
      <c r="H778" s="80"/>
      <c r="I778" s="80"/>
    </row>
    <row r="779" spans="8:9" x14ac:dyDescent="0.2">
      <c r="H779" s="80"/>
      <c r="I779" s="80"/>
    </row>
    <row r="780" spans="8:9" x14ac:dyDescent="0.2">
      <c r="H780" s="80"/>
      <c r="I780" s="80"/>
    </row>
    <row r="781" spans="8:9" x14ac:dyDescent="0.2">
      <c r="H781" s="80"/>
      <c r="I781" s="80"/>
    </row>
    <row r="782" spans="8:9" x14ac:dyDescent="0.2">
      <c r="H782" s="80"/>
      <c r="I782" s="80"/>
    </row>
    <row r="783" spans="8:9" x14ac:dyDescent="0.2">
      <c r="H783" s="80"/>
      <c r="I783" s="80"/>
    </row>
    <row r="784" spans="8:9" x14ac:dyDescent="0.2">
      <c r="H784" s="80"/>
      <c r="I784" s="80"/>
    </row>
    <row r="785" spans="8:9" x14ac:dyDescent="0.2">
      <c r="H785" s="80"/>
      <c r="I785" s="80"/>
    </row>
    <row r="786" spans="8:9" x14ac:dyDescent="0.2">
      <c r="H786" s="80"/>
      <c r="I786" s="80"/>
    </row>
    <row r="787" spans="8:9" x14ac:dyDescent="0.2">
      <c r="H787" s="80"/>
      <c r="I787" s="80"/>
    </row>
    <row r="788" spans="8:9" x14ac:dyDescent="0.2">
      <c r="H788" s="80"/>
      <c r="I788" s="80"/>
    </row>
    <row r="789" spans="8:9" x14ac:dyDescent="0.2">
      <c r="H789" s="80"/>
      <c r="I789" s="80"/>
    </row>
    <row r="790" spans="8:9" x14ac:dyDescent="0.2">
      <c r="H790" s="80"/>
      <c r="I790" s="80"/>
    </row>
    <row r="791" spans="8:9" x14ac:dyDescent="0.2">
      <c r="H791" s="80"/>
      <c r="I791" s="80"/>
    </row>
    <row r="792" spans="8:9" x14ac:dyDescent="0.2">
      <c r="H792" s="80"/>
      <c r="I792" s="80"/>
    </row>
    <row r="793" spans="8:9" x14ac:dyDescent="0.2">
      <c r="H793" s="80"/>
      <c r="I793" s="80"/>
    </row>
    <row r="794" spans="8:9" x14ac:dyDescent="0.2">
      <c r="H794" s="80"/>
      <c r="I794" s="80"/>
    </row>
    <row r="795" spans="8:9" x14ac:dyDescent="0.2">
      <c r="H795" s="80"/>
      <c r="I795" s="80"/>
    </row>
    <row r="796" spans="8:9" x14ac:dyDescent="0.2">
      <c r="H796" s="80"/>
      <c r="I796" s="80"/>
    </row>
    <row r="797" spans="8:9" x14ac:dyDescent="0.2">
      <c r="H797" s="80"/>
      <c r="I797" s="80"/>
    </row>
    <row r="798" spans="8:9" x14ac:dyDescent="0.2">
      <c r="H798" s="80"/>
      <c r="I798" s="80"/>
    </row>
    <row r="799" spans="8:9" x14ac:dyDescent="0.2">
      <c r="H799" s="80"/>
      <c r="I799" s="80"/>
    </row>
    <row r="800" spans="8:9" x14ac:dyDescent="0.2">
      <c r="H800" s="80"/>
      <c r="I800" s="80"/>
    </row>
    <row r="801" spans="8:9" x14ac:dyDescent="0.2">
      <c r="H801" s="80"/>
      <c r="I801" s="80"/>
    </row>
    <row r="802" spans="8:9" x14ac:dyDescent="0.2">
      <c r="H802" s="80"/>
      <c r="I802" s="80"/>
    </row>
    <row r="803" spans="8:9" x14ac:dyDescent="0.2">
      <c r="H803" s="80"/>
      <c r="I803" s="80"/>
    </row>
    <row r="804" spans="8:9" x14ac:dyDescent="0.2">
      <c r="H804" s="80"/>
      <c r="I804" s="80"/>
    </row>
    <row r="805" spans="8:9" x14ac:dyDescent="0.2">
      <c r="H805" s="80"/>
      <c r="I805" s="80"/>
    </row>
    <row r="806" spans="8:9" x14ac:dyDescent="0.2">
      <c r="H806" s="80"/>
      <c r="I806" s="80"/>
    </row>
    <row r="807" spans="8:9" x14ac:dyDescent="0.2">
      <c r="H807" s="80"/>
      <c r="I807" s="80"/>
    </row>
    <row r="808" spans="8:9" x14ac:dyDescent="0.2">
      <c r="H808" s="80"/>
      <c r="I808" s="80"/>
    </row>
    <row r="809" spans="8:9" x14ac:dyDescent="0.2">
      <c r="H809" s="80"/>
      <c r="I809" s="80"/>
    </row>
    <row r="810" spans="8:9" x14ac:dyDescent="0.2">
      <c r="H810" s="80"/>
      <c r="I810" s="80"/>
    </row>
    <row r="811" spans="8:9" x14ac:dyDescent="0.2">
      <c r="H811" s="80"/>
      <c r="I811" s="80"/>
    </row>
    <row r="812" spans="8:9" x14ac:dyDescent="0.2">
      <c r="H812" s="80"/>
      <c r="I812" s="80"/>
    </row>
    <row r="813" spans="8:9" x14ac:dyDescent="0.2">
      <c r="H813" s="80"/>
      <c r="I813" s="80"/>
    </row>
    <row r="814" spans="8:9" x14ac:dyDescent="0.2">
      <c r="H814" s="80"/>
      <c r="I814" s="80"/>
    </row>
    <row r="815" spans="8:9" x14ac:dyDescent="0.2">
      <c r="H815" s="80"/>
      <c r="I815" s="80"/>
    </row>
    <row r="816" spans="8:9" x14ac:dyDescent="0.2">
      <c r="H816" s="80"/>
      <c r="I816" s="80"/>
    </row>
    <row r="817" spans="8:9" x14ac:dyDescent="0.2">
      <c r="H817" s="80"/>
      <c r="I817" s="80"/>
    </row>
    <row r="818" spans="8:9" x14ac:dyDescent="0.2">
      <c r="H818" s="80"/>
      <c r="I818" s="80"/>
    </row>
    <row r="819" spans="8:9" x14ac:dyDescent="0.2">
      <c r="H819" s="80"/>
      <c r="I819" s="80"/>
    </row>
    <row r="820" spans="8:9" x14ac:dyDescent="0.2">
      <c r="H820" s="80"/>
      <c r="I820" s="80"/>
    </row>
    <row r="821" spans="8:9" x14ac:dyDescent="0.2">
      <c r="H821" s="80"/>
      <c r="I821" s="80"/>
    </row>
    <row r="822" spans="8:9" x14ac:dyDescent="0.2">
      <c r="H822" s="80"/>
      <c r="I822" s="80"/>
    </row>
    <row r="823" spans="8:9" x14ac:dyDescent="0.2">
      <c r="H823" s="80"/>
      <c r="I823" s="80"/>
    </row>
    <row r="824" spans="8:9" x14ac:dyDescent="0.2">
      <c r="H824" s="80"/>
      <c r="I824" s="80"/>
    </row>
    <row r="825" spans="8:9" x14ac:dyDescent="0.2">
      <c r="H825" s="80"/>
      <c r="I825" s="80"/>
    </row>
    <row r="826" spans="8:9" x14ac:dyDescent="0.2">
      <c r="H826" s="80"/>
      <c r="I826" s="80"/>
    </row>
    <row r="827" spans="8:9" x14ac:dyDescent="0.2">
      <c r="H827" s="80"/>
      <c r="I827" s="80"/>
    </row>
    <row r="828" spans="8:9" x14ac:dyDescent="0.2">
      <c r="H828" s="80"/>
      <c r="I828" s="80"/>
    </row>
    <row r="829" spans="8:9" x14ac:dyDescent="0.2">
      <c r="H829" s="80"/>
      <c r="I829" s="80"/>
    </row>
    <row r="830" spans="8:9" x14ac:dyDescent="0.2">
      <c r="H830" s="80"/>
      <c r="I830" s="80"/>
    </row>
    <row r="831" spans="8:9" x14ac:dyDescent="0.2">
      <c r="H831" s="80"/>
      <c r="I831" s="80"/>
    </row>
    <row r="832" spans="8:9" x14ac:dyDescent="0.2">
      <c r="H832" s="80"/>
      <c r="I832" s="80"/>
    </row>
    <row r="833" spans="8:9" x14ac:dyDescent="0.2">
      <c r="H833" s="80"/>
      <c r="I833" s="80"/>
    </row>
    <row r="834" spans="8:9" x14ac:dyDescent="0.2">
      <c r="H834" s="80"/>
      <c r="I834" s="80"/>
    </row>
    <row r="835" spans="8:9" x14ac:dyDescent="0.2">
      <c r="H835" s="80"/>
      <c r="I835" s="80"/>
    </row>
    <row r="836" spans="8:9" x14ac:dyDescent="0.2">
      <c r="H836" s="80"/>
      <c r="I836" s="80"/>
    </row>
    <row r="837" spans="8:9" x14ac:dyDescent="0.2">
      <c r="H837" s="80"/>
      <c r="I837" s="80"/>
    </row>
    <row r="838" spans="8:9" x14ac:dyDescent="0.2">
      <c r="H838" s="80"/>
      <c r="I838" s="80"/>
    </row>
    <row r="839" spans="8:9" x14ac:dyDescent="0.2">
      <c r="H839" s="80"/>
      <c r="I839" s="80"/>
    </row>
    <row r="840" spans="8:9" x14ac:dyDescent="0.2">
      <c r="H840" s="80"/>
      <c r="I840" s="80"/>
    </row>
    <row r="841" spans="8:9" x14ac:dyDescent="0.2">
      <c r="H841" s="80"/>
      <c r="I841" s="80"/>
    </row>
    <row r="842" spans="8:9" x14ac:dyDescent="0.2">
      <c r="H842" s="80"/>
      <c r="I842" s="80"/>
    </row>
    <row r="843" spans="8:9" x14ac:dyDescent="0.2">
      <c r="H843" s="80"/>
      <c r="I843" s="80"/>
    </row>
    <row r="844" spans="8:9" x14ac:dyDescent="0.2">
      <c r="H844" s="80"/>
      <c r="I844" s="80"/>
    </row>
    <row r="845" spans="8:9" x14ac:dyDescent="0.2">
      <c r="H845" s="80"/>
      <c r="I845" s="80"/>
    </row>
    <row r="846" spans="8:9" x14ac:dyDescent="0.2">
      <c r="H846" s="80"/>
      <c r="I846" s="80"/>
    </row>
    <row r="847" spans="8:9" x14ac:dyDescent="0.2">
      <c r="H847" s="80"/>
      <c r="I847" s="80"/>
    </row>
    <row r="848" spans="8:9" x14ac:dyDescent="0.2">
      <c r="H848" s="80"/>
      <c r="I848" s="80"/>
    </row>
    <row r="849" spans="8:9" x14ac:dyDescent="0.2">
      <c r="H849" s="80"/>
      <c r="I849" s="80"/>
    </row>
    <row r="850" spans="8:9" x14ac:dyDescent="0.2">
      <c r="H850" s="80"/>
      <c r="I850" s="80"/>
    </row>
    <row r="851" spans="8:9" x14ac:dyDescent="0.2">
      <c r="H851" s="80"/>
      <c r="I851" s="80"/>
    </row>
    <row r="852" spans="8:9" x14ac:dyDescent="0.2">
      <c r="H852" s="80"/>
      <c r="I852" s="80"/>
    </row>
    <row r="853" spans="8:9" x14ac:dyDescent="0.2">
      <c r="H853" s="80"/>
      <c r="I853" s="80"/>
    </row>
    <row r="854" spans="8:9" x14ac:dyDescent="0.2">
      <c r="H854" s="80"/>
      <c r="I854" s="80"/>
    </row>
    <row r="855" spans="8:9" x14ac:dyDescent="0.2">
      <c r="H855" s="80"/>
      <c r="I855" s="80"/>
    </row>
    <row r="856" spans="8:9" x14ac:dyDescent="0.2">
      <c r="H856" s="80"/>
      <c r="I856" s="80"/>
    </row>
    <row r="857" spans="8:9" x14ac:dyDescent="0.2">
      <c r="H857" s="80"/>
      <c r="I857" s="80"/>
    </row>
    <row r="858" spans="8:9" x14ac:dyDescent="0.2">
      <c r="H858" s="80"/>
      <c r="I858" s="80"/>
    </row>
    <row r="859" spans="8:9" x14ac:dyDescent="0.2">
      <c r="H859" s="80"/>
      <c r="I859" s="80"/>
    </row>
    <row r="860" spans="8:9" x14ac:dyDescent="0.2">
      <c r="H860" s="80"/>
      <c r="I860" s="80"/>
    </row>
    <row r="861" spans="8:9" x14ac:dyDescent="0.2">
      <c r="H861" s="80"/>
      <c r="I861" s="80"/>
    </row>
    <row r="862" spans="8:9" x14ac:dyDescent="0.2">
      <c r="H862" s="80"/>
      <c r="I862" s="80"/>
    </row>
    <row r="863" spans="8:9" x14ac:dyDescent="0.2">
      <c r="H863" s="80"/>
      <c r="I863" s="80"/>
    </row>
    <row r="864" spans="8:9" x14ac:dyDescent="0.2">
      <c r="H864" s="80"/>
      <c r="I864" s="80"/>
    </row>
    <row r="865" spans="8:9" x14ac:dyDescent="0.2">
      <c r="H865" s="80"/>
      <c r="I865" s="80"/>
    </row>
    <row r="866" spans="8:9" x14ac:dyDescent="0.2">
      <c r="H866" s="80"/>
      <c r="I866" s="80"/>
    </row>
    <row r="867" spans="8:9" x14ac:dyDescent="0.2">
      <c r="H867" s="80"/>
      <c r="I867" s="80"/>
    </row>
    <row r="868" spans="8:9" x14ac:dyDescent="0.2">
      <c r="H868" s="80"/>
      <c r="I868" s="80"/>
    </row>
    <row r="869" spans="8:9" x14ac:dyDescent="0.2">
      <c r="H869" s="80"/>
      <c r="I869" s="80"/>
    </row>
    <row r="870" spans="8:9" x14ac:dyDescent="0.2">
      <c r="H870" s="80"/>
      <c r="I870" s="80"/>
    </row>
    <row r="871" spans="8:9" x14ac:dyDescent="0.2">
      <c r="H871" s="80"/>
      <c r="I871" s="80"/>
    </row>
    <row r="872" spans="8:9" x14ac:dyDescent="0.2">
      <c r="H872" s="80"/>
      <c r="I872" s="80"/>
    </row>
    <row r="873" spans="8:9" x14ac:dyDescent="0.2">
      <c r="H873" s="80"/>
      <c r="I873" s="80"/>
    </row>
    <row r="874" spans="8:9" x14ac:dyDescent="0.2">
      <c r="H874" s="80"/>
      <c r="I874" s="80"/>
    </row>
    <row r="875" spans="8:9" x14ac:dyDescent="0.2">
      <c r="H875" s="80"/>
      <c r="I875" s="80"/>
    </row>
    <row r="876" spans="8:9" x14ac:dyDescent="0.2">
      <c r="H876" s="80"/>
      <c r="I876" s="80"/>
    </row>
    <row r="877" spans="8:9" x14ac:dyDescent="0.2">
      <c r="H877" s="80"/>
      <c r="I877" s="80"/>
    </row>
    <row r="878" spans="8:9" x14ac:dyDescent="0.2">
      <c r="H878" s="80"/>
      <c r="I878" s="80"/>
    </row>
    <row r="879" spans="8:9" x14ac:dyDescent="0.2">
      <c r="H879" s="80"/>
      <c r="I879" s="80"/>
    </row>
    <row r="880" spans="8:9" x14ac:dyDescent="0.2">
      <c r="H880" s="80"/>
      <c r="I880" s="80"/>
    </row>
    <row r="881" spans="8:9" x14ac:dyDescent="0.2">
      <c r="H881" s="80"/>
      <c r="I881" s="80"/>
    </row>
    <row r="882" spans="8:9" x14ac:dyDescent="0.2">
      <c r="H882" s="80"/>
      <c r="I882" s="80"/>
    </row>
    <row r="883" spans="8:9" x14ac:dyDescent="0.2">
      <c r="H883" s="80"/>
      <c r="I883" s="80"/>
    </row>
    <row r="884" spans="8:9" x14ac:dyDescent="0.2">
      <c r="H884" s="80"/>
      <c r="I884" s="80"/>
    </row>
    <row r="885" spans="8:9" x14ac:dyDescent="0.2">
      <c r="H885" s="80"/>
      <c r="I885" s="80"/>
    </row>
    <row r="886" spans="8:9" x14ac:dyDescent="0.2">
      <c r="H886" s="80"/>
      <c r="I886" s="80"/>
    </row>
    <row r="887" spans="8:9" x14ac:dyDescent="0.2">
      <c r="H887" s="80"/>
      <c r="I887" s="80"/>
    </row>
    <row r="888" spans="8:9" x14ac:dyDescent="0.2">
      <c r="H888" s="80"/>
      <c r="I888" s="80"/>
    </row>
    <row r="889" spans="8:9" x14ac:dyDescent="0.2">
      <c r="H889" s="80"/>
      <c r="I889" s="80"/>
    </row>
    <row r="890" spans="8:9" x14ac:dyDescent="0.2">
      <c r="H890" s="80"/>
      <c r="I890" s="80"/>
    </row>
    <row r="891" spans="8:9" x14ac:dyDescent="0.2">
      <c r="H891" s="80"/>
      <c r="I891" s="80"/>
    </row>
    <row r="892" spans="8:9" x14ac:dyDescent="0.2">
      <c r="H892" s="80"/>
      <c r="I892" s="80"/>
    </row>
    <row r="893" spans="8:9" x14ac:dyDescent="0.2">
      <c r="H893" s="80"/>
      <c r="I893" s="80"/>
    </row>
    <row r="894" spans="8:9" x14ac:dyDescent="0.2">
      <c r="H894" s="80"/>
      <c r="I894" s="80"/>
    </row>
    <row r="895" spans="8:9" x14ac:dyDescent="0.2">
      <c r="H895" s="80"/>
      <c r="I895" s="80"/>
    </row>
    <row r="896" spans="8:9" x14ac:dyDescent="0.2">
      <c r="H896" s="80"/>
      <c r="I896" s="80"/>
    </row>
    <row r="897" spans="8:9" x14ac:dyDescent="0.2">
      <c r="H897" s="80"/>
      <c r="I897" s="80"/>
    </row>
    <row r="898" spans="8:9" x14ac:dyDescent="0.2">
      <c r="H898" s="80"/>
      <c r="I898" s="80"/>
    </row>
    <row r="899" spans="8:9" x14ac:dyDescent="0.2">
      <c r="H899" s="80"/>
      <c r="I899" s="80"/>
    </row>
    <row r="900" spans="8:9" x14ac:dyDescent="0.2">
      <c r="H900" s="80"/>
      <c r="I900" s="80"/>
    </row>
    <row r="901" spans="8:9" x14ac:dyDescent="0.2">
      <c r="H901" s="80"/>
      <c r="I901" s="80"/>
    </row>
    <row r="902" spans="8:9" x14ac:dyDescent="0.2">
      <c r="H902" s="80"/>
      <c r="I902" s="80"/>
    </row>
    <row r="903" spans="8:9" x14ac:dyDescent="0.2">
      <c r="H903" s="80"/>
      <c r="I903" s="80"/>
    </row>
    <row r="904" spans="8:9" x14ac:dyDescent="0.2">
      <c r="H904" s="80"/>
      <c r="I904" s="80"/>
    </row>
    <row r="905" spans="8:9" x14ac:dyDescent="0.2">
      <c r="H905" s="80"/>
      <c r="I905" s="80"/>
    </row>
    <row r="906" spans="8:9" x14ac:dyDescent="0.2">
      <c r="H906" s="80"/>
      <c r="I906" s="80"/>
    </row>
    <row r="907" spans="8:9" x14ac:dyDescent="0.2">
      <c r="H907" s="80"/>
      <c r="I907" s="80"/>
    </row>
    <row r="908" spans="8:9" x14ac:dyDescent="0.2">
      <c r="H908" s="80"/>
      <c r="I908" s="80"/>
    </row>
    <row r="909" spans="8:9" x14ac:dyDescent="0.2">
      <c r="H909" s="80"/>
      <c r="I909" s="80"/>
    </row>
    <row r="910" spans="8:9" x14ac:dyDescent="0.2">
      <c r="H910" s="80"/>
      <c r="I910" s="80"/>
    </row>
    <row r="911" spans="8:9" x14ac:dyDescent="0.2">
      <c r="H911" s="80"/>
      <c r="I911" s="80"/>
    </row>
    <row r="912" spans="8:9" x14ac:dyDescent="0.2">
      <c r="H912" s="80"/>
      <c r="I912" s="80"/>
    </row>
    <row r="913" spans="8:9" x14ac:dyDescent="0.2">
      <c r="H913" s="80"/>
      <c r="I913" s="80"/>
    </row>
    <row r="914" spans="8:9" x14ac:dyDescent="0.2">
      <c r="H914" s="80"/>
      <c r="I914" s="80"/>
    </row>
    <row r="915" spans="8:9" x14ac:dyDescent="0.2">
      <c r="H915" s="80"/>
      <c r="I915" s="80"/>
    </row>
    <row r="916" spans="8:9" x14ac:dyDescent="0.2">
      <c r="H916" s="80"/>
      <c r="I916" s="80"/>
    </row>
    <row r="917" spans="8:9" x14ac:dyDescent="0.2">
      <c r="H917" s="80"/>
      <c r="I917" s="80"/>
    </row>
    <row r="918" spans="8:9" x14ac:dyDescent="0.2">
      <c r="H918" s="80"/>
      <c r="I918" s="80"/>
    </row>
    <row r="919" spans="8:9" x14ac:dyDescent="0.2">
      <c r="H919" s="80"/>
      <c r="I919" s="80"/>
    </row>
    <row r="920" spans="8:9" x14ac:dyDescent="0.2">
      <c r="H920" s="80"/>
      <c r="I920" s="80"/>
    </row>
    <row r="921" spans="8:9" x14ac:dyDescent="0.2">
      <c r="H921" s="80"/>
      <c r="I921" s="80"/>
    </row>
    <row r="922" spans="8:9" x14ac:dyDescent="0.2">
      <c r="H922" s="80"/>
      <c r="I922" s="80"/>
    </row>
    <row r="923" spans="8:9" x14ac:dyDescent="0.2">
      <c r="H923" s="80"/>
      <c r="I923" s="80"/>
    </row>
    <row r="924" spans="8:9" x14ac:dyDescent="0.2">
      <c r="H924" s="80"/>
      <c r="I924" s="80"/>
    </row>
    <row r="925" spans="8:9" x14ac:dyDescent="0.2">
      <c r="H925" s="80"/>
      <c r="I925" s="80"/>
    </row>
    <row r="926" spans="8:9" x14ac:dyDescent="0.2">
      <c r="H926" s="80"/>
      <c r="I926" s="80"/>
    </row>
    <row r="927" spans="8:9" x14ac:dyDescent="0.2">
      <c r="H927" s="80"/>
      <c r="I927" s="80"/>
    </row>
    <row r="928" spans="8:9" x14ac:dyDescent="0.2">
      <c r="H928" s="80"/>
      <c r="I928" s="80"/>
    </row>
    <row r="929" spans="8:9" x14ac:dyDescent="0.2">
      <c r="H929" s="80"/>
      <c r="I929" s="80"/>
    </row>
    <row r="930" spans="8:9" x14ac:dyDescent="0.2">
      <c r="H930" s="80"/>
      <c r="I930" s="80"/>
    </row>
    <row r="931" spans="8:9" x14ac:dyDescent="0.2">
      <c r="H931" s="80"/>
      <c r="I931" s="80"/>
    </row>
    <row r="932" spans="8:9" x14ac:dyDescent="0.2">
      <c r="H932" s="80"/>
      <c r="I932" s="80"/>
    </row>
    <row r="933" spans="8:9" x14ac:dyDescent="0.2">
      <c r="H933" s="80"/>
      <c r="I933" s="80"/>
    </row>
    <row r="934" spans="8:9" x14ac:dyDescent="0.2">
      <c r="H934" s="80"/>
      <c r="I934" s="80"/>
    </row>
    <row r="935" spans="8:9" x14ac:dyDescent="0.2">
      <c r="H935" s="80"/>
      <c r="I935" s="80"/>
    </row>
    <row r="936" spans="8:9" x14ac:dyDescent="0.2">
      <c r="H936" s="80"/>
      <c r="I936" s="80"/>
    </row>
    <row r="937" spans="8:9" x14ac:dyDescent="0.2">
      <c r="H937" s="80"/>
      <c r="I937" s="80"/>
    </row>
    <row r="938" spans="8:9" x14ac:dyDescent="0.2">
      <c r="H938" s="80"/>
      <c r="I938" s="80"/>
    </row>
    <row r="939" spans="8:9" x14ac:dyDescent="0.2">
      <c r="H939" s="80"/>
      <c r="I939" s="80"/>
    </row>
    <row r="940" spans="8:9" x14ac:dyDescent="0.2">
      <c r="H940" s="80"/>
      <c r="I940" s="80"/>
    </row>
    <row r="941" spans="8:9" x14ac:dyDescent="0.2">
      <c r="H941" s="80"/>
      <c r="I941" s="80"/>
    </row>
    <row r="942" spans="8:9" x14ac:dyDescent="0.2">
      <c r="H942" s="80"/>
      <c r="I942" s="80"/>
    </row>
    <row r="943" spans="8:9" x14ac:dyDescent="0.2">
      <c r="H943" s="80"/>
      <c r="I943" s="80"/>
    </row>
    <row r="944" spans="8:9" x14ac:dyDescent="0.2">
      <c r="H944" s="80"/>
      <c r="I944" s="80"/>
    </row>
    <row r="945" spans="8:9" x14ac:dyDescent="0.2">
      <c r="H945" s="80"/>
      <c r="I945" s="80"/>
    </row>
    <row r="946" spans="8:9" x14ac:dyDescent="0.2">
      <c r="H946" s="80"/>
      <c r="I946" s="80"/>
    </row>
    <row r="947" spans="8:9" x14ac:dyDescent="0.2">
      <c r="H947" s="80"/>
      <c r="I947" s="80"/>
    </row>
    <row r="948" spans="8:9" x14ac:dyDescent="0.2">
      <c r="H948" s="80"/>
      <c r="I948" s="80"/>
    </row>
    <row r="949" spans="8:9" x14ac:dyDescent="0.2">
      <c r="H949" s="80"/>
      <c r="I949" s="80"/>
    </row>
    <row r="950" spans="8:9" x14ac:dyDescent="0.2">
      <c r="H950" s="80"/>
      <c r="I950" s="80"/>
    </row>
    <row r="951" spans="8:9" x14ac:dyDescent="0.2">
      <c r="H951" s="80"/>
      <c r="I951" s="80"/>
    </row>
    <row r="952" spans="8:9" x14ac:dyDescent="0.2">
      <c r="H952" s="80"/>
      <c r="I952" s="80"/>
    </row>
    <row r="953" spans="8:9" x14ac:dyDescent="0.2">
      <c r="H953" s="80"/>
      <c r="I953" s="80"/>
    </row>
    <row r="954" spans="8:9" x14ac:dyDescent="0.2">
      <c r="H954" s="80"/>
      <c r="I954" s="80"/>
    </row>
    <row r="955" spans="8:9" x14ac:dyDescent="0.2">
      <c r="H955" s="80"/>
      <c r="I955" s="80"/>
    </row>
    <row r="956" spans="8:9" x14ac:dyDescent="0.2">
      <c r="H956" s="80"/>
      <c r="I956" s="80"/>
    </row>
    <row r="957" spans="8:9" x14ac:dyDescent="0.2">
      <c r="H957" s="80"/>
      <c r="I957" s="80"/>
    </row>
    <row r="958" spans="8:9" x14ac:dyDescent="0.2">
      <c r="H958" s="80"/>
      <c r="I958" s="80"/>
    </row>
    <row r="959" spans="8:9" x14ac:dyDescent="0.2">
      <c r="H959" s="80"/>
      <c r="I959" s="80"/>
    </row>
    <row r="960" spans="8:9" x14ac:dyDescent="0.2">
      <c r="H960" s="80"/>
      <c r="I960" s="80"/>
    </row>
    <row r="961" spans="8:9" x14ac:dyDescent="0.2">
      <c r="H961" s="80"/>
      <c r="I961" s="80"/>
    </row>
    <row r="962" spans="8:9" x14ac:dyDescent="0.2">
      <c r="H962" s="80"/>
      <c r="I962" s="80"/>
    </row>
    <row r="963" spans="8:9" x14ac:dyDescent="0.2">
      <c r="H963" s="80"/>
      <c r="I963" s="80"/>
    </row>
    <row r="964" spans="8:9" x14ac:dyDescent="0.2">
      <c r="H964" s="80"/>
      <c r="I964" s="80"/>
    </row>
    <row r="965" spans="8:9" x14ac:dyDescent="0.2">
      <c r="H965" s="80"/>
      <c r="I965" s="80"/>
    </row>
    <row r="966" spans="8:9" x14ac:dyDescent="0.2">
      <c r="H966" s="80"/>
      <c r="I966" s="80"/>
    </row>
    <row r="967" spans="8:9" x14ac:dyDescent="0.2">
      <c r="H967" s="80"/>
      <c r="I967" s="80"/>
    </row>
    <row r="968" spans="8:9" x14ac:dyDescent="0.2">
      <c r="H968" s="80"/>
      <c r="I968" s="80"/>
    </row>
    <row r="969" spans="8:9" x14ac:dyDescent="0.2">
      <c r="H969" s="80"/>
      <c r="I969" s="80"/>
    </row>
    <row r="970" spans="8:9" x14ac:dyDescent="0.2">
      <c r="H970" s="80"/>
      <c r="I970" s="80"/>
    </row>
    <row r="971" spans="8:9" x14ac:dyDescent="0.2">
      <c r="H971" s="80"/>
      <c r="I971" s="80"/>
    </row>
    <row r="972" spans="8:9" x14ac:dyDescent="0.2">
      <c r="H972" s="80"/>
      <c r="I972" s="80"/>
    </row>
    <row r="973" spans="8:9" x14ac:dyDescent="0.2">
      <c r="H973" s="80"/>
      <c r="I973" s="80"/>
    </row>
    <row r="974" spans="8:9" x14ac:dyDescent="0.2">
      <c r="H974" s="80"/>
      <c r="I974" s="80"/>
    </row>
    <row r="975" spans="8:9" x14ac:dyDescent="0.2">
      <c r="H975" s="80"/>
      <c r="I975" s="80"/>
    </row>
    <row r="976" spans="8:9" x14ac:dyDescent="0.2">
      <c r="H976" s="80"/>
      <c r="I976" s="80"/>
    </row>
    <row r="977" spans="8:9" x14ac:dyDescent="0.2">
      <c r="H977" s="80"/>
      <c r="I977" s="80"/>
    </row>
    <row r="978" spans="8:9" x14ac:dyDescent="0.2">
      <c r="H978" s="80"/>
      <c r="I978" s="80"/>
    </row>
    <row r="979" spans="8:9" x14ac:dyDescent="0.2">
      <c r="H979" s="80"/>
      <c r="I979" s="80"/>
    </row>
    <row r="980" spans="8:9" x14ac:dyDescent="0.2">
      <c r="H980" s="80"/>
      <c r="I980" s="80"/>
    </row>
    <row r="981" spans="8:9" x14ac:dyDescent="0.2">
      <c r="H981" s="80"/>
      <c r="I981" s="80"/>
    </row>
    <row r="982" spans="8:9" x14ac:dyDescent="0.2">
      <c r="H982" s="80"/>
      <c r="I982" s="80"/>
    </row>
    <row r="983" spans="8:9" x14ac:dyDescent="0.2">
      <c r="H983" s="80"/>
      <c r="I983" s="80"/>
    </row>
    <row r="984" spans="8:9" x14ac:dyDescent="0.2">
      <c r="H984" s="80"/>
      <c r="I984" s="80"/>
    </row>
    <row r="985" spans="8:9" x14ac:dyDescent="0.2">
      <c r="H985" s="80"/>
      <c r="I985" s="80"/>
    </row>
    <row r="986" spans="8:9" x14ac:dyDescent="0.2">
      <c r="H986" s="80"/>
      <c r="I986" s="80"/>
    </row>
    <row r="987" spans="8:9" x14ac:dyDescent="0.2">
      <c r="H987" s="80"/>
      <c r="I987" s="80"/>
    </row>
    <row r="988" spans="8:9" x14ac:dyDescent="0.2">
      <c r="H988" s="80"/>
      <c r="I988" s="80"/>
    </row>
    <row r="989" spans="8:9" x14ac:dyDescent="0.2">
      <c r="H989" s="80"/>
      <c r="I989" s="80"/>
    </row>
    <row r="990" spans="8:9" x14ac:dyDescent="0.2">
      <c r="H990" s="80"/>
      <c r="I990" s="80"/>
    </row>
    <row r="991" spans="8:9" x14ac:dyDescent="0.2">
      <c r="H991" s="80"/>
      <c r="I991" s="80"/>
    </row>
    <row r="992" spans="8:9" x14ac:dyDescent="0.2">
      <c r="H992" s="80"/>
      <c r="I992" s="80"/>
    </row>
    <row r="993" spans="8:9" x14ac:dyDescent="0.2">
      <c r="H993" s="80"/>
      <c r="I993" s="80"/>
    </row>
    <row r="994" spans="8:9" x14ac:dyDescent="0.2">
      <c r="H994" s="80"/>
      <c r="I994" s="80"/>
    </row>
    <row r="995" spans="8:9" x14ac:dyDescent="0.2">
      <c r="H995" s="80"/>
      <c r="I995" s="80"/>
    </row>
    <row r="996" spans="8:9" x14ac:dyDescent="0.2">
      <c r="H996" s="80"/>
      <c r="I996" s="80"/>
    </row>
    <row r="997" spans="8:9" x14ac:dyDescent="0.2">
      <c r="H997" s="80"/>
      <c r="I997" s="80"/>
    </row>
    <row r="998" spans="8:9" x14ac:dyDescent="0.2">
      <c r="H998" s="80"/>
      <c r="I998" s="80"/>
    </row>
    <row r="999" spans="8:9" x14ac:dyDescent="0.2">
      <c r="H999" s="80"/>
      <c r="I999" s="80"/>
    </row>
    <row r="1000" spans="8:9" x14ac:dyDescent="0.2">
      <c r="H1000" s="80"/>
      <c r="I1000" s="80"/>
    </row>
    <row r="1001" spans="8:9" x14ac:dyDescent="0.2">
      <c r="H1001" s="80"/>
      <c r="I1001" s="80"/>
    </row>
    <row r="1002" spans="8:9" x14ac:dyDescent="0.2">
      <c r="H1002" s="80"/>
      <c r="I1002" s="80"/>
    </row>
    <row r="1003" spans="8:9" x14ac:dyDescent="0.2">
      <c r="H1003" s="80"/>
      <c r="I1003" s="80"/>
    </row>
    <row r="1004" spans="8:9" x14ac:dyDescent="0.2">
      <c r="H1004" s="80"/>
      <c r="I1004" s="80"/>
    </row>
    <row r="1005" spans="8:9" x14ac:dyDescent="0.2">
      <c r="H1005" s="80"/>
      <c r="I1005" s="80"/>
    </row>
    <row r="1006" spans="8:9" x14ac:dyDescent="0.2">
      <c r="H1006" s="80"/>
      <c r="I1006" s="80"/>
    </row>
    <row r="1007" spans="8:9" x14ac:dyDescent="0.2">
      <c r="H1007" s="80"/>
      <c r="I1007" s="80"/>
    </row>
    <row r="1008" spans="8:9" x14ac:dyDescent="0.2">
      <c r="H1008" s="80"/>
      <c r="I1008" s="80"/>
    </row>
    <row r="1009" spans="8:9" x14ac:dyDescent="0.2">
      <c r="H1009" s="80"/>
      <c r="I1009" s="80"/>
    </row>
    <row r="1010" spans="8:9" x14ac:dyDescent="0.2">
      <c r="H1010" s="80"/>
      <c r="I1010" s="80"/>
    </row>
    <row r="1011" spans="8:9" x14ac:dyDescent="0.2">
      <c r="H1011" s="80"/>
      <c r="I1011" s="80"/>
    </row>
    <row r="1012" spans="8:9" x14ac:dyDescent="0.2">
      <c r="H1012" s="80"/>
      <c r="I1012" s="80"/>
    </row>
    <row r="1013" spans="8:9" x14ac:dyDescent="0.2">
      <c r="H1013" s="80"/>
      <c r="I1013" s="80"/>
    </row>
    <row r="1014" spans="8:9" x14ac:dyDescent="0.2">
      <c r="H1014" s="80"/>
      <c r="I1014" s="80"/>
    </row>
    <row r="1015" spans="8:9" x14ac:dyDescent="0.2">
      <c r="H1015" s="80"/>
      <c r="I1015" s="80"/>
    </row>
    <row r="1016" spans="8:9" x14ac:dyDescent="0.2">
      <c r="H1016" s="80"/>
      <c r="I1016" s="80"/>
    </row>
    <row r="1017" spans="8:9" x14ac:dyDescent="0.2">
      <c r="H1017" s="80"/>
      <c r="I1017" s="80"/>
    </row>
    <row r="1018" spans="8:9" x14ac:dyDescent="0.2">
      <c r="H1018" s="80"/>
      <c r="I1018" s="80"/>
    </row>
    <row r="1019" spans="8:9" x14ac:dyDescent="0.2">
      <c r="H1019" s="80"/>
      <c r="I1019" s="80"/>
    </row>
    <row r="1020" spans="8:9" x14ac:dyDescent="0.2">
      <c r="H1020" s="80"/>
      <c r="I1020" s="80"/>
    </row>
    <row r="1021" spans="8:9" x14ac:dyDescent="0.2">
      <c r="H1021" s="80"/>
      <c r="I1021" s="80"/>
    </row>
    <row r="1022" spans="8:9" x14ac:dyDescent="0.2">
      <c r="H1022" s="80"/>
      <c r="I1022" s="80"/>
    </row>
    <row r="1023" spans="8:9" x14ac:dyDescent="0.2">
      <c r="H1023" s="80"/>
      <c r="I1023" s="80"/>
    </row>
    <row r="1024" spans="8:9" x14ac:dyDescent="0.2">
      <c r="H1024" s="80"/>
      <c r="I1024" s="80"/>
    </row>
    <row r="1025" spans="8:9" x14ac:dyDescent="0.2">
      <c r="H1025" s="80"/>
      <c r="I1025" s="80"/>
    </row>
    <row r="1026" spans="8:9" x14ac:dyDescent="0.2">
      <c r="H1026" s="80"/>
      <c r="I1026" s="80"/>
    </row>
    <row r="1027" spans="8:9" x14ac:dyDescent="0.2">
      <c r="H1027" s="80"/>
      <c r="I1027" s="80"/>
    </row>
    <row r="1028" spans="8:9" x14ac:dyDescent="0.2">
      <c r="H1028" s="80"/>
      <c r="I1028" s="80"/>
    </row>
    <row r="1029" spans="8:9" x14ac:dyDescent="0.2">
      <c r="H1029" s="80"/>
      <c r="I1029" s="80"/>
    </row>
    <row r="1030" spans="8:9" x14ac:dyDescent="0.2">
      <c r="H1030" s="80"/>
      <c r="I1030" s="80"/>
    </row>
    <row r="1031" spans="8:9" x14ac:dyDescent="0.2">
      <c r="H1031" s="80"/>
      <c r="I1031" s="80"/>
    </row>
    <row r="1032" spans="8:9" x14ac:dyDescent="0.2">
      <c r="H1032" s="80"/>
      <c r="I1032" s="80"/>
    </row>
    <row r="1033" spans="8:9" x14ac:dyDescent="0.2">
      <c r="H1033" s="80"/>
      <c r="I1033" s="80"/>
    </row>
    <row r="1034" spans="8:9" x14ac:dyDescent="0.2">
      <c r="H1034" s="80"/>
      <c r="I1034" s="80"/>
    </row>
    <row r="1035" spans="8:9" x14ac:dyDescent="0.2">
      <c r="H1035" s="80"/>
      <c r="I1035" s="80"/>
    </row>
    <row r="1036" spans="8:9" x14ac:dyDescent="0.2">
      <c r="H1036" s="80"/>
      <c r="I1036" s="80"/>
    </row>
    <row r="1037" spans="8:9" x14ac:dyDescent="0.2">
      <c r="H1037" s="80"/>
      <c r="I1037" s="80"/>
    </row>
    <row r="1038" spans="8:9" x14ac:dyDescent="0.2">
      <c r="H1038" s="80"/>
      <c r="I1038" s="80"/>
    </row>
    <row r="1039" spans="8:9" x14ac:dyDescent="0.2">
      <c r="H1039" s="80"/>
      <c r="I1039" s="80"/>
    </row>
    <row r="1040" spans="8:9" x14ac:dyDescent="0.2">
      <c r="H1040" s="80"/>
      <c r="I1040" s="80"/>
    </row>
    <row r="1041" spans="8:9" x14ac:dyDescent="0.2">
      <c r="H1041" s="80"/>
      <c r="I1041" s="80"/>
    </row>
    <row r="1042" spans="8:9" x14ac:dyDescent="0.2">
      <c r="H1042" s="80"/>
      <c r="I1042" s="80"/>
    </row>
    <row r="1043" spans="8:9" x14ac:dyDescent="0.2">
      <c r="H1043" s="80"/>
      <c r="I1043" s="80"/>
    </row>
    <row r="1044" spans="8:9" x14ac:dyDescent="0.2">
      <c r="H1044" s="80"/>
      <c r="I1044" s="80"/>
    </row>
    <row r="1045" spans="8:9" x14ac:dyDescent="0.2">
      <c r="H1045" s="80"/>
      <c r="I1045" s="80"/>
    </row>
    <row r="1046" spans="8:9" x14ac:dyDescent="0.2">
      <c r="H1046" s="80"/>
      <c r="I1046" s="80"/>
    </row>
    <row r="1047" spans="8:9" x14ac:dyDescent="0.2">
      <c r="H1047" s="80"/>
      <c r="I1047" s="80"/>
    </row>
    <row r="1048" spans="8:9" x14ac:dyDescent="0.2">
      <c r="H1048" s="80"/>
      <c r="I1048" s="80"/>
    </row>
    <row r="1049" spans="8:9" x14ac:dyDescent="0.2">
      <c r="H1049" s="80"/>
      <c r="I1049" s="80"/>
    </row>
    <row r="1050" spans="8:9" x14ac:dyDescent="0.2">
      <c r="H1050" s="80"/>
      <c r="I1050" s="80"/>
    </row>
    <row r="1051" spans="8:9" x14ac:dyDescent="0.2">
      <c r="H1051" s="80"/>
      <c r="I1051" s="80"/>
    </row>
    <row r="1052" spans="8:9" x14ac:dyDescent="0.2">
      <c r="H1052" s="80"/>
      <c r="I1052" s="80"/>
    </row>
    <row r="1053" spans="8:9" x14ac:dyDescent="0.2">
      <c r="H1053" s="80"/>
      <c r="I1053" s="80"/>
    </row>
    <row r="1054" spans="8:9" x14ac:dyDescent="0.2">
      <c r="H1054" s="80"/>
      <c r="I1054" s="80"/>
    </row>
    <row r="1055" spans="8:9" x14ac:dyDescent="0.2">
      <c r="H1055" s="80"/>
      <c r="I1055" s="80"/>
    </row>
    <row r="1056" spans="8:9" x14ac:dyDescent="0.2">
      <c r="H1056" s="80"/>
      <c r="I1056" s="80"/>
    </row>
    <row r="1057" spans="8:9" x14ac:dyDescent="0.2">
      <c r="H1057" s="80"/>
      <c r="I1057" s="80"/>
    </row>
    <row r="1058" spans="8:9" x14ac:dyDescent="0.2">
      <c r="H1058" s="80"/>
      <c r="I1058" s="80"/>
    </row>
    <row r="1059" spans="8:9" x14ac:dyDescent="0.2">
      <c r="H1059" s="80"/>
      <c r="I1059" s="80"/>
    </row>
    <row r="1060" spans="8:9" x14ac:dyDescent="0.2">
      <c r="H1060" s="80"/>
      <c r="I1060" s="80"/>
    </row>
    <row r="1061" spans="8:9" x14ac:dyDescent="0.2">
      <c r="H1061" s="80"/>
      <c r="I1061" s="80"/>
    </row>
    <row r="1062" spans="8:9" x14ac:dyDescent="0.2">
      <c r="H1062" s="80"/>
      <c r="I1062" s="80"/>
    </row>
    <row r="1063" spans="8:9" x14ac:dyDescent="0.2">
      <c r="H1063" s="80"/>
      <c r="I1063" s="80"/>
    </row>
    <row r="1064" spans="8:9" x14ac:dyDescent="0.2">
      <c r="H1064" s="80"/>
      <c r="I1064" s="80"/>
    </row>
    <row r="1065" spans="8:9" x14ac:dyDescent="0.2">
      <c r="H1065" s="80"/>
      <c r="I1065" s="80"/>
    </row>
    <row r="1066" spans="8:9" x14ac:dyDescent="0.2">
      <c r="H1066" s="80"/>
      <c r="I1066" s="80"/>
    </row>
    <row r="1067" spans="8:9" x14ac:dyDescent="0.2">
      <c r="H1067" s="80"/>
      <c r="I1067" s="80"/>
    </row>
    <row r="1068" spans="8:9" x14ac:dyDescent="0.2">
      <c r="H1068" s="80"/>
      <c r="I1068" s="80"/>
    </row>
    <row r="1069" spans="8:9" x14ac:dyDescent="0.2">
      <c r="H1069" s="80"/>
      <c r="I1069" s="80"/>
    </row>
    <row r="1070" spans="8:9" x14ac:dyDescent="0.2">
      <c r="H1070" s="80"/>
      <c r="I1070" s="80"/>
    </row>
    <row r="1071" spans="8:9" x14ac:dyDescent="0.2">
      <c r="H1071" s="80"/>
      <c r="I1071" s="80"/>
    </row>
    <row r="1072" spans="8:9" x14ac:dyDescent="0.2">
      <c r="H1072" s="80"/>
      <c r="I1072" s="80"/>
    </row>
    <row r="1073" spans="8:9" x14ac:dyDescent="0.2">
      <c r="H1073" s="80"/>
      <c r="I1073" s="80"/>
    </row>
    <row r="1074" spans="8:9" x14ac:dyDescent="0.2">
      <c r="H1074" s="80"/>
      <c r="I1074" s="80"/>
    </row>
    <row r="1075" spans="8:9" x14ac:dyDescent="0.2">
      <c r="H1075" s="80"/>
      <c r="I1075" s="80"/>
    </row>
    <row r="1076" spans="8:9" x14ac:dyDescent="0.2">
      <c r="H1076" s="80"/>
      <c r="I1076" s="80"/>
    </row>
    <row r="1077" spans="8:9" x14ac:dyDescent="0.2">
      <c r="H1077" s="80"/>
      <c r="I1077" s="80"/>
    </row>
    <row r="1078" spans="8:9" x14ac:dyDescent="0.2">
      <c r="H1078" s="80"/>
      <c r="I1078" s="80"/>
    </row>
    <row r="1079" spans="8:9" x14ac:dyDescent="0.2">
      <c r="H1079" s="80"/>
      <c r="I1079" s="80"/>
    </row>
    <row r="1080" spans="8:9" x14ac:dyDescent="0.2">
      <c r="H1080" s="80"/>
      <c r="I1080" s="80"/>
    </row>
    <row r="1081" spans="8:9" x14ac:dyDescent="0.2">
      <c r="H1081" s="80"/>
      <c r="I1081" s="80"/>
    </row>
    <row r="1082" spans="8:9" x14ac:dyDescent="0.2">
      <c r="H1082" s="80"/>
      <c r="I1082" s="80"/>
    </row>
    <row r="1083" spans="8:9" x14ac:dyDescent="0.2">
      <c r="H1083" s="80"/>
      <c r="I1083" s="80"/>
    </row>
    <row r="1084" spans="8:9" x14ac:dyDescent="0.2">
      <c r="H1084" s="80"/>
      <c r="I1084" s="80"/>
    </row>
    <row r="1085" spans="8:9" x14ac:dyDescent="0.2">
      <c r="H1085" s="80"/>
      <c r="I1085" s="80"/>
    </row>
    <row r="1086" spans="8:9" x14ac:dyDescent="0.2">
      <c r="H1086" s="80"/>
      <c r="I1086" s="80"/>
    </row>
    <row r="1087" spans="8:9" x14ac:dyDescent="0.2">
      <c r="H1087" s="80"/>
      <c r="I1087" s="80"/>
    </row>
    <row r="1088" spans="8:9" x14ac:dyDescent="0.2">
      <c r="H1088" s="80"/>
      <c r="I1088" s="80"/>
    </row>
    <row r="1089" spans="8:9" x14ac:dyDescent="0.2">
      <c r="H1089" s="80"/>
      <c r="I1089" s="80"/>
    </row>
    <row r="1090" spans="8:9" x14ac:dyDescent="0.2">
      <c r="H1090" s="80"/>
      <c r="I1090" s="80"/>
    </row>
    <row r="1091" spans="8:9" x14ac:dyDescent="0.2">
      <c r="H1091" s="80"/>
      <c r="I1091" s="80"/>
    </row>
    <row r="1092" spans="8:9" x14ac:dyDescent="0.2">
      <c r="H1092" s="80"/>
      <c r="I1092" s="80"/>
    </row>
    <row r="1093" spans="8:9" x14ac:dyDescent="0.2">
      <c r="H1093" s="80"/>
      <c r="I1093" s="80"/>
    </row>
    <row r="1094" spans="8:9" x14ac:dyDescent="0.2">
      <c r="H1094" s="80"/>
      <c r="I1094" s="80"/>
    </row>
    <row r="1095" spans="8:9" x14ac:dyDescent="0.2">
      <c r="H1095" s="80"/>
      <c r="I1095" s="80"/>
    </row>
    <row r="1096" spans="8:9" x14ac:dyDescent="0.2">
      <c r="H1096" s="80"/>
      <c r="I1096" s="80"/>
    </row>
    <row r="1097" spans="8:9" x14ac:dyDescent="0.2">
      <c r="H1097" s="80"/>
      <c r="I1097" s="80"/>
    </row>
    <row r="1098" spans="8:9" x14ac:dyDescent="0.2">
      <c r="H1098" s="80"/>
      <c r="I1098" s="80"/>
    </row>
    <row r="1099" spans="8:9" x14ac:dyDescent="0.2">
      <c r="H1099" s="80"/>
      <c r="I1099" s="80"/>
    </row>
    <row r="1100" spans="8:9" x14ac:dyDescent="0.2">
      <c r="H1100" s="80"/>
      <c r="I1100" s="80"/>
    </row>
    <row r="1101" spans="8:9" x14ac:dyDescent="0.2">
      <c r="H1101" s="80"/>
      <c r="I1101" s="80"/>
    </row>
    <row r="1102" spans="8:9" x14ac:dyDescent="0.2">
      <c r="H1102" s="80"/>
      <c r="I1102" s="80"/>
    </row>
    <row r="1103" spans="8:9" x14ac:dyDescent="0.2">
      <c r="H1103" s="80"/>
      <c r="I1103" s="80"/>
    </row>
    <row r="1104" spans="8:9" x14ac:dyDescent="0.2">
      <c r="H1104" s="80"/>
      <c r="I1104" s="80"/>
    </row>
    <row r="1105" spans="8:9" x14ac:dyDescent="0.2">
      <c r="H1105" s="80"/>
      <c r="I1105" s="80"/>
    </row>
    <row r="1106" spans="8:9" x14ac:dyDescent="0.2">
      <c r="H1106" s="80"/>
      <c r="I1106" s="80"/>
    </row>
    <row r="1107" spans="8:9" x14ac:dyDescent="0.2">
      <c r="H1107" s="80"/>
      <c r="I1107" s="80"/>
    </row>
    <row r="1108" spans="8:9" x14ac:dyDescent="0.2">
      <c r="H1108" s="80"/>
      <c r="I1108" s="80"/>
    </row>
    <row r="1109" spans="8:9" x14ac:dyDescent="0.2">
      <c r="H1109" s="80"/>
      <c r="I1109" s="80"/>
    </row>
    <row r="1110" spans="8:9" x14ac:dyDescent="0.2">
      <c r="H1110" s="80"/>
      <c r="I1110" s="80"/>
    </row>
    <row r="1111" spans="8:9" x14ac:dyDescent="0.2">
      <c r="H1111" s="80"/>
      <c r="I1111" s="80"/>
    </row>
    <row r="1112" spans="8:9" x14ac:dyDescent="0.2">
      <c r="H1112" s="80"/>
      <c r="I1112" s="80"/>
    </row>
    <row r="1113" spans="8:9" x14ac:dyDescent="0.2">
      <c r="H1113" s="80"/>
      <c r="I1113" s="80"/>
    </row>
    <row r="1114" spans="8:9" x14ac:dyDescent="0.2">
      <c r="H1114" s="80"/>
      <c r="I1114" s="80"/>
    </row>
    <row r="1115" spans="8:9" x14ac:dyDescent="0.2">
      <c r="H1115" s="80"/>
      <c r="I1115" s="80"/>
    </row>
    <row r="1116" spans="8:9" x14ac:dyDescent="0.2">
      <c r="H1116" s="80"/>
      <c r="I1116" s="80"/>
    </row>
    <row r="1117" spans="8:9" x14ac:dyDescent="0.2">
      <c r="H1117" s="80"/>
      <c r="I1117" s="80"/>
    </row>
    <row r="1118" spans="8:9" x14ac:dyDescent="0.2">
      <c r="H1118" s="80"/>
      <c r="I1118" s="80"/>
    </row>
    <row r="1119" spans="8:9" x14ac:dyDescent="0.2">
      <c r="H1119" s="80"/>
      <c r="I1119" s="80"/>
    </row>
    <row r="1120" spans="8:9" x14ac:dyDescent="0.2">
      <c r="H1120" s="80"/>
      <c r="I1120" s="80"/>
    </row>
    <row r="1121" spans="8:9" x14ac:dyDescent="0.2">
      <c r="H1121" s="80"/>
      <c r="I1121" s="80"/>
    </row>
    <row r="1122" spans="8:9" x14ac:dyDescent="0.2">
      <c r="H1122" s="80"/>
      <c r="I1122" s="80"/>
    </row>
    <row r="1123" spans="8:9" x14ac:dyDescent="0.2">
      <c r="H1123" s="80"/>
      <c r="I1123" s="80"/>
    </row>
    <row r="1124" spans="8:9" x14ac:dyDescent="0.2">
      <c r="H1124" s="80"/>
      <c r="I1124" s="80"/>
    </row>
    <row r="1125" spans="8:9" x14ac:dyDescent="0.2">
      <c r="H1125" s="80"/>
      <c r="I1125" s="80"/>
    </row>
    <row r="1126" spans="8:9" x14ac:dyDescent="0.2">
      <c r="H1126" s="80"/>
      <c r="I1126" s="80"/>
    </row>
    <row r="1127" spans="8:9" x14ac:dyDescent="0.2">
      <c r="H1127" s="80"/>
      <c r="I1127" s="80"/>
    </row>
    <row r="1128" spans="8:9" x14ac:dyDescent="0.2">
      <c r="H1128" s="80"/>
      <c r="I1128" s="80"/>
    </row>
    <row r="1129" spans="8:9" x14ac:dyDescent="0.2">
      <c r="H1129" s="80"/>
      <c r="I1129" s="80"/>
    </row>
    <row r="1130" spans="8:9" x14ac:dyDescent="0.2">
      <c r="H1130" s="80"/>
      <c r="I1130" s="80"/>
    </row>
    <row r="1131" spans="8:9" x14ac:dyDescent="0.2">
      <c r="H1131" s="80"/>
      <c r="I1131" s="80"/>
    </row>
    <row r="1132" spans="8:9" x14ac:dyDescent="0.2">
      <c r="H1132" s="80"/>
      <c r="I1132" s="80"/>
    </row>
    <row r="1133" spans="8:9" x14ac:dyDescent="0.2">
      <c r="H1133" s="80"/>
      <c r="I1133" s="80"/>
    </row>
    <row r="1134" spans="8:9" x14ac:dyDescent="0.2">
      <c r="H1134" s="80"/>
      <c r="I1134" s="80"/>
    </row>
    <row r="1135" spans="8:9" x14ac:dyDescent="0.2">
      <c r="H1135" s="80"/>
      <c r="I1135" s="80"/>
    </row>
    <row r="1136" spans="8:9" x14ac:dyDescent="0.2">
      <c r="H1136" s="80"/>
      <c r="I1136" s="80"/>
    </row>
    <row r="1137" spans="8:9" x14ac:dyDescent="0.2">
      <c r="H1137" s="80"/>
      <c r="I1137" s="80"/>
    </row>
    <row r="1138" spans="8:9" x14ac:dyDescent="0.2">
      <c r="H1138" s="80"/>
      <c r="I1138" s="80"/>
    </row>
    <row r="1139" spans="8:9" x14ac:dyDescent="0.2">
      <c r="H1139" s="80"/>
      <c r="I1139" s="80"/>
    </row>
    <row r="1140" spans="8:9" x14ac:dyDescent="0.2">
      <c r="H1140" s="80"/>
      <c r="I1140" s="80"/>
    </row>
    <row r="1141" spans="8:9" x14ac:dyDescent="0.2">
      <c r="H1141" s="80"/>
      <c r="I1141" s="80"/>
    </row>
    <row r="1142" spans="8:9" x14ac:dyDescent="0.2">
      <c r="H1142" s="80"/>
      <c r="I1142" s="80"/>
    </row>
    <row r="1143" spans="8:9" x14ac:dyDescent="0.2">
      <c r="H1143" s="80"/>
      <c r="I1143" s="80"/>
    </row>
    <row r="1144" spans="8:9" x14ac:dyDescent="0.2">
      <c r="H1144" s="80"/>
      <c r="I1144" s="80"/>
    </row>
    <row r="1145" spans="8:9" x14ac:dyDescent="0.2">
      <c r="H1145" s="80"/>
      <c r="I1145" s="80"/>
    </row>
    <row r="1146" spans="8:9" x14ac:dyDescent="0.2">
      <c r="H1146" s="80"/>
      <c r="I1146" s="80"/>
    </row>
    <row r="1147" spans="8:9" x14ac:dyDescent="0.2">
      <c r="H1147" s="80"/>
      <c r="I1147" s="80"/>
    </row>
    <row r="1148" spans="8:9" x14ac:dyDescent="0.2">
      <c r="H1148" s="80"/>
      <c r="I1148" s="80"/>
    </row>
    <row r="1149" spans="8:9" x14ac:dyDescent="0.2">
      <c r="H1149" s="80"/>
      <c r="I1149" s="80"/>
    </row>
    <row r="1150" spans="8:9" x14ac:dyDescent="0.2">
      <c r="H1150" s="80"/>
      <c r="I1150" s="80"/>
    </row>
    <row r="1151" spans="8:9" x14ac:dyDescent="0.2">
      <c r="H1151" s="80"/>
      <c r="I1151" s="80"/>
    </row>
    <row r="1152" spans="8:9" x14ac:dyDescent="0.2">
      <c r="H1152" s="80"/>
      <c r="I1152" s="80"/>
    </row>
    <row r="1153" spans="8:9" x14ac:dyDescent="0.2">
      <c r="H1153" s="80"/>
      <c r="I1153" s="80"/>
    </row>
    <row r="1154" spans="8:9" x14ac:dyDescent="0.2">
      <c r="H1154" s="80"/>
      <c r="I1154" s="80"/>
    </row>
    <row r="1155" spans="8:9" x14ac:dyDescent="0.2">
      <c r="H1155" s="80"/>
      <c r="I1155" s="80"/>
    </row>
    <row r="1156" spans="8:9" x14ac:dyDescent="0.2">
      <c r="H1156" s="80"/>
      <c r="I1156" s="80"/>
    </row>
    <row r="1157" spans="8:9" x14ac:dyDescent="0.2">
      <c r="H1157" s="80"/>
      <c r="I1157" s="80"/>
    </row>
    <row r="1158" spans="8:9" x14ac:dyDescent="0.2">
      <c r="H1158" s="80"/>
      <c r="I1158" s="80"/>
    </row>
    <row r="1159" spans="8:9" x14ac:dyDescent="0.2">
      <c r="H1159" s="80"/>
      <c r="I1159" s="80"/>
    </row>
    <row r="1160" spans="8:9" x14ac:dyDescent="0.2">
      <c r="H1160" s="80"/>
      <c r="I1160" s="80"/>
    </row>
    <row r="1161" spans="8:9" x14ac:dyDescent="0.2">
      <c r="H1161" s="80"/>
      <c r="I1161" s="80"/>
    </row>
    <row r="1162" spans="8:9" x14ac:dyDescent="0.2">
      <c r="H1162" s="80"/>
      <c r="I1162" s="80"/>
    </row>
    <row r="1163" spans="8:9" x14ac:dyDescent="0.2">
      <c r="H1163" s="80"/>
      <c r="I1163" s="80"/>
    </row>
    <row r="1164" spans="8:9" x14ac:dyDescent="0.2">
      <c r="H1164" s="80"/>
      <c r="I1164" s="80"/>
    </row>
    <row r="1165" spans="8:9" x14ac:dyDescent="0.2">
      <c r="H1165" s="80"/>
      <c r="I1165" s="80"/>
    </row>
    <row r="1166" spans="8:9" x14ac:dyDescent="0.2">
      <c r="H1166" s="80"/>
      <c r="I1166" s="80"/>
    </row>
    <row r="1167" spans="8:9" x14ac:dyDescent="0.2">
      <c r="H1167" s="80"/>
      <c r="I1167" s="80"/>
    </row>
    <row r="1168" spans="8:9" x14ac:dyDescent="0.2">
      <c r="H1168" s="80"/>
      <c r="I1168" s="80"/>
    </row>
    <row r="1169" spans="8:9" x14ac:dyDescent="0.2">
      <c r="H1169" s="80"/>
      <c r="I1169" s="80"/>
    </row>
    <row r="1170" spans="8:9" x14ac:dyDescent="0.2">
      <c r="H1170" s="80"/>
      <c r="I1170" s="80"/>
    </row>
    <row r="1171" spans="8:9" x14ac:dyDescent="0.2">
      <c r="H1171" s="80"/>
      <c r="I1171" s="80"/>
    </row>
    <row r="1172" spans="8:9" x14ac:dyDescent="0.2">
      <c r="H1172" s="80"/>
      <c r="I1172" s="80"/>
    </row>
    <row r="1173" spans="8:9" x14ac:dyDescent="0.2">
      <c r="H1173" s="80"/>
      <c r="I1173" s="80"/>
    </row>
    <row r="1174" spans="8:9" x14ac:dyDescent="0.2">
      <c r="H1174" s="80"/>
      <c r="I1174" s="80"/>
    </row>
    <row r="1175" spans="8:9" x14ac:dyDescent="0.2">
      <c r="H1175" s="80"/>
      <c r="I1175" s="80"/>
    </row>
    <row r="1176" spans="8:9" x14ac:dyDescent="0.2">
      <c r="H1176" s="80"/>
      <c r="I1176" s="80"/>
    </row>
    <row r="1177" spans="8:9" x14ac:dyDescent="0.2">
      <c r="H1177" s="80"/>
      <c r="I1177" s="80"/>
    </row>
    <row r="1178" spans="8:9" x14ac:dyDescent="0.2">
      <c r="H1178" s="80"/>
      <c r="I1178" s="80"/>
    </row>
    <row r="1179" spans="8:9" x14ac:dyDescent="0.2">
      <c r="H1179" s="80"/>
      <c r="I1179" s="80"/>
    </row>
    <row r="1180" spans="8:9" x14ac:dyDescent="0.2">
      <c r="H1180" s="80"/>
      <c r="I1180" s="80"/>
    </row>
    <row r="1181" spans="8:9" x14ac:dyDescent="0.2">
      <c r="H1181" s="80"/>
      <c r="I1181" s="80"/>
    </row>
    <row r="1182" spans="8:9" x14ac:dyDescent="0.2">
      <c r="H1182" s="80"/>
      <c r="I1182" s="80"/>
    </row>
    <row r="1183" spans="8:9" x14ac:dyDescent="0.2">
      <c r="H1183" s="80"/>
      <c r="I1183" s="80"/>
    </row>
    <row r="1184" spans="8:9" x14ac:dyDescent="0.2">
      <c r="H1184" s="80"/>
      <c r="I1184" s="80"/>
    </row>
    <row r="1185" spans="8:9" x14ac:dyDescent="0.2">
      <c r="H1185" s="80"/>
      <c r="I1185" s="80"/>
    </row>
    <row r="1186" spans="8:9" x14ac:dyDescent="0.2">
      <c r="H1186" s="80"/>
      <c r="I1186" s="80"/>
    </row>
    <row r="1187" spans="8:9" x14ac:dyDescent="0.2">
      <c r="H1187" s="80"/>
      <c r="I1187" s="80"/>
    </row>
    <row r="1188" spans="8:9" x14ac:dyDescent="0.2">
      <c r="H1188" s="80"/>
      <c r="I1188" s="80"/>
    </row>
    <row r="1189" spans="8:9" x14ac:dyDescent="0.2">
      <c r="H1189" s="80"/>
      <c r="I1189" s="80"/>
    </row>
    <row r="1190" spans="8:9" x14ac:dyDescent="0.2">
      <c r="H1190" s="80"/>
      <c r="I1190" s="80"/>
    </row>
    <row r="1191" spans="8:9" x14ac:dyDescent="0.2">
      <c r="H1191" s="80"/>
      <c r="I1191" s="80"/>
    </row>
    <row r="1192" spans="8:9" x14ac:dyDescent="0.2">
      <c r="H1192" s="80"/>
      <c r="I1192" s="80"/>
    </row>
    <row r="1193" spans="8:9" x14ac:dyDescent="0.2">
      <c r="H1193" s="80"/>
      <c r="I1193" s="80"/>
    </row>
    <row r="1194" spans="8:9" x14ac:dyDescent="0.2">
      <c r="H1194" s="80"/>
      <c r="I1194" s="80"/>
    </row>
    <row r="1195" spans="8:9" x14ac:dyDescent="0.2">
      <c r="H1195" s="80"/>
      <c r="I1195" s="80"/>
    </row>
    <row r="1196" spans="8:9" x14ac:dyDescent="0.2">
      <c r="H1196" s="80"/>
      <c r="I1196" s="80"/>
    </row>
    <row r="1197" spans="8:9" x14ac:dyDescent="0.2">
      <c r="H1197" s="80"/>
      <c r="I1197" s="80"/>
    </row>
    <row r="1198" spans="8:9" x14ac:dyDescent="0.2">
      <c r="H1198" s="80"/>
      <c r="I1198" s="80"/>
    </row>
    <row r="1199" spans="8:9" x14ac:dyDescent="0.2">
      <c r="H1199" s="80"/>
      <c r="I1199" s="80"/>
    </row>
    <row r="1200" spans="8:9" x14ac:dyDescent="0.2">
      <c r="H1200" s="80"/>
      <c r="I1200" s="80"/>
    </row>
    <row r="1201" spans="8:9" x14ac:dyDescent="0.2">
      <c r="H1201" s="80"/>
      <c r="I1201" s="80"/>
    </row>
    <row r="1202" spans="8:9" x14ac:dyDescent="0.2">
      <c r="H1202" s="80"/>
      <c r="I1202" s="80"/>
    </row>
    <row r="1203" spans="8:9" x14ac:dyDescent="0.2">
      <c r="H1203" s="80"/>
      <c r="I1203" s="80"/>
    </row>
    <row r="1204" spans="8:9" x14ac:dyDescent="0.2">
      <c r="H1204" s="80"/>
      <c r="I1204" s="80"/>
    </row>
    <row r="1205" spans="8:9" x14ac:dyDescent="0.2">
      <c r="H1205" s="80"/>
      <c r="I1205" s="80"/>
    </row>
    <row r="1206" spans="8:9" x14ac:dyDescent="0.2">
      <c r="H1206" s="80"/>
      <c r="I1206" s="80"/>
    </row>
    <row r="1207" spans="8:9" x14ac:dyDescent="0.2">
      <c r="H1207" s="80"/>
      <c r="I1207" s="80"/>
    </row>
    <row r="1208" spans="8:9" x14ac:dyDescent="0.2">
      <c r="H1208" s="80"/>
      <c r="I1208" s="80"/>
    </row>
    <row r="1209" spans="8:9" x14ac:dyDescent="0.2">
      <c r="H1209" s="80"/>
      <c r="I1209" s="80"/>
    </row>
    <row r="1210" spans="8:9" x14ac:dyDescent="0.2">
      <c r="H1210" s="80"/>
      <c r="I1210" s="80"/>
    </row>
    <row r="1211" spans="8:9" x14ac:dyDescent="0.2">
      <c r="H1211" s="80"/>
      <c r="I1211" s="80"/>
    </row>
    <row r="1212" spans="8:9" x14ac:dyDescent="0.2">
      <c r="H1212" s="80"/>
      <c r="I1212" s="80"/>
    </row>
    <row r="1213" spans="8:9" x14ac:dyDescent="0.2">
      <c r="H1213" s="80"/>
      <c r="I1213" s="80"/>
    </row>
    <row r="1214" spans="8:9" x14ac:dyDescent="0.2">
      <c r="H1214" s="80"/>
      <c r="I1214" s="80"/>
    </row>
    <row r="1215" spans="8:9" x14ac:dyDescent="0.2">
      <c r="H1215" s="80"/>
      <c r="I1215" s="80"/>
    </row>
    <row r="1216" spans="8:9" x14ac:dyDescent="0.2">
      <c r="H1216" s="80"/>
      <c r="I1216" s="80"/>
    </row>
    <row r="1217" spans="8:9" x14ac:dyDescent="0.2">
      <c r="H1217" s="80"/>
      <c r="I1217" s="80"/>
    </row>
    <row r="1218" spans="8:9" x14ac:dyDescent="0.2">
      <c r="H1218" s="80"/>
      <c r="I1218" s="80"/>
    </row>
    <row r="1219" spans="8:9" x14ac:dyDescent="0.2">
      <c r="H1219" s="80"/>
      <c r="I1219" s="80"/>
    </row>
    <row r="1220" spans="8:9" x14ac:dyDescent="0.2">
      <c r="H1220" s="80"/>
      <c r="I1220" s="80"/>
    </row>
    <row r="1221" spans="8:9" x14ac:dyDescent="0.2">
      <c r="H1221" s="80"/>
      <c r="I1221" s="80"/>
    </row>
    <row r="1222" spans="8:9" x14ac:dyDescent="0.2">
      <c r="H1222" s="80"/>
      <c r="I1222" s="80"/>
    </row>
    <row r="1223" spans="8:9" x14ac:dyDescent="0.2">
      <c r="H1223" s="80"/>
      <c r="I1223" s="80"/>
    </row>
    <row r="1224" spans="8:9" x14ac:dyDescent="0.2">
      <c r="H1224" s="80"/>
      <c r="I1224" s="80"/>
    </row>
    <row r="1225" spans="8:9" x14ac:dyDescent="0.2">
      <c r="H1225" s="80"/>
      <c r="I1225" s="80"/>
    </row>
    <row r="1226" spans="8:9" x14ac:dyDescent="0.2">
      <c r="H1226" s="80"/>
      <c r="I1226" s="80"/>
    </row>
    <row r="1227" spans="8:9" x14ac:dyDescent="0.2">
      <c r="H1227" s="80"/>
      <c r="I1227" s="80"/>
    </row>
    <row r="1228" spans="8:9" x14ac:dyDescent="0.2">
      <c r="H1228" s="80"/>
      <c r="I1228" s="80"/>
    </row>
    <row r="1229" spans="8:9" x14ac:dyDescent="0.2">
      <c r="H1229" s="80"/>
      <c r="I1229" s="80"/>
    </row>
    <row r="1230" spans="8:9" x14ac:dyDescent="0.2">
      <c r="H1230" s="80"/>
      <c r="I1230" s="80"/>
    </row>
    <row r="1231" spans="8:9" x14ac:dyDescent="0.2">
      <c r="H1231" s="80"/>
      <c r="I1231" s="80"/>
    </row>
    <row r="1232" spans="8:9" x14ac:dyDescent="0.2">
      <c r="H1232" s="80"/>
      <c r="I1232" s="80"/>
    </row>
    <row r="1233" spans="8:9" x14ac:dyDescent="0.2">
      <c r="H1233" s="80"/>
      <c r="I1233" s="80"/>
    </row>
    <row r="1234" spans="8:9" x14ac:dyDescent="0.2">
      <c r="H1234" s="80"/>
      <c r="I1234" s="80"/>
    </row>
    <row r="1235" spans="8:9" x14ac:dyDescent="0.2">
      <c r="H1235" s="80"/>
      <c r="I1235" s="80"/>
    </row>
    <row r="1236" spans="8:9" x14ac:dyDescent="0.2">
      <c r="H1236" s="80"/>
      <c r="I1236" s="80"/>
    </row>
    <row r="1237" spans="8:9" x14ac:dyDescent="0.2">
      <c r="H1237" s="80"/>
      <c r="I1237" s="80"/>
    </row>
    <row r="1238" spans="8:9" x14ac:dyDescent="0.2">
      <c r="H1238" s="80"/>
      <c r="I1238" s="80"/>
    </row>
    <row r="1239" spans="8:9" x14ac:dyDescent="0.2">
      <c r="H1239" s="80"/>
      <c r="I1239" s="80"/>
    </row>
    <row r="1240" spans="8:9" x14ac:dyDescent="0.2">
      <c r="H1240" s="80"/>
      <c r="I1240" s="80"/>
    </row>
    <row r="1241" spans="8:9" x14ac:dyDescent="0.2">
      <c r="H1241" s="80"/>
      <c r="I1241" s="80"/>
    </row>
    <row r="1242" spans="8:9" x14ac:dyDescent="0.2">
      <c r="H1242" s="80"/>
      <c r="I1242" s="80"/>
    </row>
    <row r="1243" spans="8:9" x14ac:dyDescent="0.2">
      <c r="H1243" s="80"/>
      <c r="I1243" s="80"/>
    </row>
    <row r="1244" spans="8:9" x14ac:dyDescent="0.2">
      <c r="H1244" s="80"/>
      <c r="I1244" s="80"/>
    </row>
    <row r="1245" spans="8:9" x14ac:dyDescent="0.2">
      <c r="H1245" s="80"/>
      <c r="I1245" s="80"/>
    </row>
    <row r="1246" spans="8:9" x14ac:dyDescent="0.2">
      <c r="H1246" s="80"/>
      <c r="I1246" s="80"/>
    </row>
    <row r="1247" spans="8:9" x14ac:dyDescent="0.2">
      <c r="H1247" s="80"/>
      <c r="I1247" s="80"/>
    </row>
    <row r="1248" spans="8:9" x14ac:dyDescent="0.2">
      <c r="H1248" s="80"/>
      <c r="I1248" s="80"/>
    </row>
    <row r="1249" spans="8:9" x14ac:dyDescent="0.2">
      <c r="H1249" s="80"/>
      <c r="I1249" s="80"/>
    </row>
    <row r="1250" spans="8:9" x14ac:dyDescent="0.2">
      <c r="H1250" s="80"/>
      <c r="I1250" s="80"/>
    </row>
    <row r="1251" spans="8:9" x14ac:dyDescent="0.2">
      <c r="H1251" s="80"/>
      <c r="I1251" s="80"/>
    </row>
    <row r="1252" spans="8:9" x14ac:dyDescent="0.2">
      <c r="H1252" s="80"/>
      <c r="I1252" s="80"/>
    </row>
    <row r="1253" spans="8:9" x14ac:dyDescent="0.2">
      <c r="H1253" s="80"/>
      <c r="I1253" s="80"/>
    </row>
    <row r="1254" spans="8:9" x14ac:dyDescent="0.2">
      <c r="H1254" s="80"/>
      <c r="I1254" s="80"/>
    </row>
    <row r="1255" spans="8:9" x14ac:dyDescent="0.2">
      <c r="H1255" s="80"/>
      <c r="I1255" s="80"/>
    </row>
    <row r="1256" spans="8:9" x14ac:dyDescent="0.2">
      <c r="H1256" s="80"/>
      <c r="I1256" s="80"/>
    </row>
    <row r="1257" spans="8:9" x14ac:dyDescent="0.2">
      <c r="H1257" s="80"/>
      <c r="I1257" s="80"/>
    </row>
    <row r="1258" spans="8:9" x14ac:dyDescent="0.2">
      <c r="H1258" s="80"/>
      <c r="I1258" s="80"/>
    </row>
    <row r="1259" spans="8:9" x14ac:dyDescent="0.2">
      <c r="H1259" s="80"/>
      <c r="I1259" s="80"/>
    </row>
    <row r="1260" spans="8:9" x14ac:dyDescent="0.2">
      <c r="H1260" s="80"/>
      <c r="I1260" s="80"/>
    </row>
    <row r="1261" spans="8:9" x14ac:dyDescent="0.2">
      <c r="H1261" s="80"/>
      <c r="I1261" s="80"/>
    </row>
    <row r="1262" spans="8:9" x14ac:dyDescent="0.2">
      <c r="H1262" s="80"/>
      <c r="I1262" s="80"/>
    </row>
    <row r="1263" spans="8:9" x14ac:dyDescent="0.2">
      <c r="H1263" s="80"/>
      <c r="I1263" s="80"/>
    </row>
    <row r="1264" spans="8:9" x14ac:dyDescent="0.2">
      <c r="H1264" s="80"/>
      <c r="I1264" s="80"/>
    </row>
    <row r="1265" spans="8:9" x14ac:dyDescent="0.2">
      <c r="H1265" s="80"/>
      <c r="I1265" s="80"/>
    </row>
    <row r="1266" spans="8:9" x14ac:dyDescent="0.2">
      <c r="H1266" s="80"/>
      <c r="I1266" s="80"/>
    </row>
    <row r="1267" spans="8:9" x14ac:dyDescent="0.2">
      <c r="H1267" s="80"/>
      <c r="I1267" s="80"/>
    </row>
    <row r="1268" spans="8:9" x14ac:dyDescent="0.2">
      <c r="H1268" s="80"/>
      <c r="I1268" s="80"/>
    </row>
    <row r="1269" spans="8:9" x14ac:dyDescent="0.2">
      <c r="H1269" s="80"/>
      <c r="I1269" s="80"/>
    </row>
    <row r="1270" spans="8:9" x14ac:dyDescent="0.2">
      <c r="H1270" s="80"/>
      <c r="I1270" s="80"/>
    </row>
    <row r="1271" spans="8:9" x14ac:dyDescent="0.2">
      <c r="H1271" s="80"/>
      <c r="I1271" s="80"/>
    </row>
    <row r="1272" spans="8:9" x14ac:dyDescent="0.2">
      <c r="H1272" s="80"/>
      <c r="I1272" s="80"/>
    </row>
    <row r="1273" spans="8:9" x14ac:dyDescent="0.2">
      <c r="H1273" s="80"/>
      <c r="I1273" s="80"/>
    </row>
    <row r="1274" spans="8:9" x14ac:dyDescent="0.2">
      <c r="H1274" s="80"/>
      <c r="I1274" s="80"/>
    </row>
    <row r="1275" spans="8:9" x14ac:dyDescent="0.2">
      <c r="H1275" s="80"/>
      <c r="I1275" s="80"/>
    </row>
    <row r="1276" spans="8:9" x14ac:dyDescent="0.2">
      <c r="H1276" s="80"/>
      <c r="I1276" s="80"/>
    </row>
    <row r="1277" spans="8:9" x14ac:dyDescent="0.2">
      <c r="H1277" s="80"/>
      <c r="I1277" s="80"/>
    </row>
    <row r="1278" spans="8:9" x14ac:dyDescent="0.2">
      <c r="H1278" s="80"/>
      <c r="I1278" s="80"/>
    </row>
    <row r="1279" spans="8:9" x14ac:dyDescent="0.2">
      <c r="H1279" s="80"/>
      <c r="I1279" s="80"/>
    </row>
    <row r="1280" spans="8:9" x14ac:dyDescent="0.2">
      <c r="H1280" s="80"/>
      <c r="I1280" s="80"/>
    </row>
    <row r="1281" spans="8:9" x14ac:dyDescent="0.2">
      <c r="H1281" s="80"/>
      <c r="I1281" s="80"/>
    </row>
    <row r="1282" spans="8:9" x14ac:dyDescent="0.2">
      <c r="H1282" s="80"/>
      <c r="I1282" s="80"/>
    </row>
    <row r="1283" spans="8:9" x14ac:dyDescent="0.2">
      <c r="H1283" s="80"/>
      <c r="I1283" s="80"/>
    </row>
    <row r="1284" spans="8:9" x14ac:dyDescent="0.2">
      <c r="H1284" s="80"/>
      <c r="I1284" s="80"/>
    </row>
    <row r="1285" spans="8:9" x14ac:dyDescent="0.2">
      <c r="H1285" s="80"/>
      <c r="I1285" s="80"/>
    </row>
    <row r="1286" spans="8:9" x14ac:dyDescent="0.2">
      <c r="H1286" s="80"/>
      <c r="I1286" s="80"/>
    </row>
    <row r="1287" spans="8:9" x14ac:dyDescent="0.2">
      <c r="H1287" s="80"/>
      <c r="I1287" s="80"/>
    </row>
    <row r="1288" spans="8:9" x14ac:dyDescent="0.2">
      <c r="H1288" s="80"/>
      <c r="I1288" s="80"/>
    </row>
    <row r="1289" spans="8:9" x14ac:dyDescent="0.2">
      <c r="H1289" s="80"/>
      <c r="I1289" s="80"/>
    </row>
    <row r="1290" spans="8:9" x14ac:dyDescent="0.2">
      <c r="H1290" s="80"/>
      <c r="I1290" s="80"/>
    </row>
    <row r="1291" spans="8:9" x14ac:dyDescent="0.2">
      <c r="H1291" s="80"/>
      <c r="I1291" s="80"/>
    </row>
    <row r="1292" spans="8:9" x14ac:dyDescent="0.2">
      <c r="H1292" s="80"/>
      <c r="I1292" s="80"/>
    </row>
    <row r="1293" spans="8:9" x14ac:dyDescent="0.2">
      <c r="H1293" s="80"/>
      <c r="I1293" s="80"/>
    </row>
    <row r="1294" spans="8:9" x14ac:dyDescent="0.2">
      <c r="H1294" s="80"/>
      <c r="I1294" s="80"/>
    </row>
    <row r="1295" spans="8:9" x14ac:dyDescent="0.2">
      <c r="H1295" s="80"/>
      <c r="I1295" s="80"/>
    </row>
    <row r="1296" spans="8:9" x14ac:dyDescent="0.2">
      <c r="H1296" s="80"/>
      <c r="I1296" s="80"/>
    </row>
    <row r="1297" spans="8:9" x14ac:dyDescent="0.2">
      <c r="H1297" s="80"/>
      <c r="I1297" s="80"/>
    </row>
    <row r="1298" spans="8:9" x14ac:dyDescent="0.2">
      <c r="H1298" s="80"/>
      <c r="I1298" s="80"/>
    </row>
    <row r="1299" spans="8:9" x14ac:dyDescent="0.2">
      <c r="H1299" s="80"/>
      <c r="I1299" s="80"/>
    </row>
    <row r="1300" spans="8:9" x14ac:dyDescent="0.2">
      <c r="H1300" s="80"/>
      <c r="I1300" s="80"/>
    </row>
    <row r="1301" spans="8:9" x14ac:dyDescent="0.2">
      <c r="H1301" s="80"/>
      <c r="I1301" s="80"/>
    </row>
    <row r="1302" spans="8:9" x14ac:dyDescent="0.2">
      <c r="H1302" s="80"/>
      <c r="I1302" s="80"/>
    </row>
    <row r="1303" spans="8:9" x14ac:dyDescent="0.2">
      <c r="H1303" s="80"/>
      <c r="I1303" s="80"/>
    </row>
    <row r="1304" spans="8:9" x14ac:dyDescent="0.2">
      <c r="H1304" s="80"/>
      <c r="I1304" s="80"/>
    </row>
    <row r="1305" spans="8:9" x14ac:dyDescent="0.2">
      <c r="H1305" s="80"/>
      <c r="I1305" s="80"/>
    </row>
    <row r="1306" spans="8:9" x14ac:dyDescent="0.2">
      <c r="H1306" s="80"/>
      <c r="I1306" s="80"/>
    </row>
    <row r="1307" spans="8:9" x14ac:dyDescent="0.2">
      <c r="H1307" s="80"/>
      <c r="I1307" s="80"/>
    </row>
    <row r="1308" spans="8:9" x14ac:dyDescent="0.2">
      <c r="H1308" s="80"/>
      <c r="I1308" s="80"/>
    </row>
    <row r="1309" spans="8:9" x14ac:dyDescent="0.2">
      <c r="H1309" s="80"/>
      <c r="I1309" s="80"/>
    </row>
    <row r="1310" spans="8:9" x14ac:dyDescent="0.2">
      <c r="H1310" s="80"/>
      <c r="I1310" s="80"/>
    </row>
    <row r="1311" spans="8:9" x14ac:dyDescent="0.2">
      <c r="H1311" s="80"/>
      <c r="I1311" s="80"/>
    </row>
    <row r="1312" spans="8:9" x14ac:dyDescent="0.2">
      <c r="H1312" s="80"/>
      <c r="I1312" s="80"/>
    </row>
    <row r="1313" spans="8:9" x14ac:dyDescent="0.2">
      <c r="H1313" s="80"/>
      <c r="I1313" s="80"/>
    </row>
    <row r="1314" spans="8:9" x14ac:dyDescent="0.2">
      <c r="H1314" s="80"/>
      <c r="I1314" s="80"/>
    </row>
    <row r="1315" spans="8:9" x14ac:dyDescent="0.2">
      <c r="H1315" s="80"/>
      <c r="I1315" s="80"/>
    </row>
    <row r="1316" spans="8:9" x14ac:dyDescent="0.2">
      <c r="H1316" s="80"/>
      <c r="I1316" s="80"/>
    </row>
    <row r="1317" spans="8:9" x14ac:dyDescent="0.2">
      <c r="H1317" s="80"/>
      <c r="I1317" s="80"/>
    </row>
    <row r="1318" spans="8:9" x14ac:dyDescent="0.2">
      <c r="H1318" s="80"/>
      <c r="I1318" s="80"/>
    </row>
    <row r="1319" spans="8:9" x14ac:dyDescent="0.2">
      <c r="H1319" s="80"/>
      <c r="I1319" s="80"/>
    </row>
    <row r="1320" spans="8:9" x14ac:dyDescent="0.2">
      <c r="H1320" s="80"/>
      <c r="I1320" s="80"/>
    </row>
    <row r="1321" spans="8:9" x14ac:dyDescent="0.2">
      <c r="H1321" s="80"/>
      <c r="I1321" s="80"/>
    </row>
    <row r="1322" spans="8:9" x14ac:dyDescent="0.2">
      <c r="H1322" s="80"/>
      <c r="I1322" s="80"/>
    </row>
    <row r="1323" spans="8:9" x14ac:dyDescent="0.2">
      <c r="H1323" s="80"/>
      <c r="I1323" s="80"/>
    </row>
    <row r="1324" spans="8:9" x14ac:dyDescent="0.2">
      <c r="H1324" s="80"/>
      <c r="I1324" s="80"/>
    </row>
    <row r="1325" spans="8:9" x14ac:dyDescent="0.2">
      <c r="H1325" s="80"/>
      <c r="I1325" s="80"/>
    </row>
    <row r="1326" spans="8:9" x14ac:dyDescent="0.2">
      <c r="H1326" s="80"/>
      <c r="I1326" s="80"/>
    </row>
    <row r="1327" spans="8:9" x14ac:dyDescent="0.2">
      <c r="H1327" s="80"/>
      <c r="I1327" s="80"/>
    </row>
    <row r="1328" spans="8:9" x14ac:dyDescent="0.2">
      <c r="H1328" s="80"/>
      <c r="I1328" s="80"/>
    </row>
    <row r="1329" spans="8:9" x14ac:dyDescent="0.2">
      <c r="H1329" s="80"/>
      <c r="I1329" s="80"/>
    </row>
    <row r="1330" spans="8:9" x14ac:dyDescent="0.2">
      <c r="H1330" s="80"/>
      <c r="I1330" s="80"/>
    </row>
    <row r="1331" spans="8:9" x14ac:dyDescent="0.2">
      <c r="H1331" s="80"/>
      <c r="I1331" s="80"/>
    </row>
    <row r="1332" spans="8:9" x14ac:dyDescent="0.2">
      <c r="H1332" s="80"/>
      <c r="I1332" s="80"/>
    </row>
    <row r="1333" spans="8:9" x14ac:dyDescent="0.2">
      <c r="H1333" s="80"/>
      <c r="I1333" s="80"/>
    </row>
    <row r="1334" spans="8:9" x14ac:dyDescent="0.2">
      <c r="H1334" s="80"/>
      <c r="I1334" s="80"/>
    </row>
    <row r="1335" spans="8:9" x14ac:dyDescent="0.2">
      <c r="H1335" s="80"/>
      <c r="I1335" s="80"/>
    </row>
    <row r="1336" spans="8:9" x14ac:dyDescent="0.2">
      <c r="H1336" s="80"/>
      <c r="I1336" s="80"/>
    </row>
    <row r="1337" spans="8:9" x14ac:dyDescent="0.2">
      <c r="H1337" s="80"/>
      <c r="I1337" s="80"/>
    </row>
    <row r="1338" spans="8:9" x14ac:dyDescent="0.2">
      <c r="H1338" s="80"/>
      <c r="I1338" s="80"/>
    </row>
    <row r="1339" spans="8:9" x14ac:dyDescent="0.2">
      <c r="H1339" s="80"/>
      <c r="I1339" s="80"/>
    </row>
    <row r="1340" spans="8:9" x14ac:dyDescent="0.2">
      <c r="H1340" s="80"/>
      <c r="I1340" s="80"/>
    </row>
    <row r="1341" spans="8:9" x14ac:dyDescent="0.2">
      <c r="H1341" s="80"/>
      <c r="I1341" s="80"/>
    </row>
    <row r="1342" spans="8:9" x14ac:dyDescent="0.2">
      <c r="H1342" s="80"/>
      <c r="I1342" s="80"/>
    </row>
    <row r="1343" spans="8:9" x14ac:dyDescent="0.2">
      <c r="H1343" s="80"/>
      <c r="I1343" s="80"/>
    </row>
    <row r="1344" spans="8:9" x14ac:dyDescent="0.2">
      <c r="H1344" s="80"/>
      <c r="I1344" s="80"/>
    </row>
    <row r="1345" spans="8:9" x14ac:dyDescent="0.2">
      <c r="H1345" s="80"/>
      <c r="I1345" s="80"/>
    </row>
    <row r="1346" spans="8:9" x14ac:dyDescent="0.2">
      <c r="H1346" s="80"/>
      <c r="I1346" s="80"/>
    </row>
    <row r="1347" spans="8:9" x14ac:dyDescent="0.2">
      <c r="H1347" s="80"/>
      <c r="I1347" s="80"/>
    </row>
    <row r="1348" spans="8:9" x14ac:dyDescent="0.2">
      <c r="H1348" s="80"/>
      <c r="I1348" s="80"/>
    </row>
    <row r="1349" spans="8:9" x14ac:dyDescent="0.2">
      <c r="H1349" s="80"/>
      <c r="I1349" s="80"/>
    </row>
    <row r="1350" spans="8:9" x14ac:dyDescent="0.2">
      <c r="H1350" s="80"/>
      <c r="I1350" s="80"/>
    </row>
    <row r="1351" spans="8:9" x14ac:dyDescent="0.2">
      <c r="H1351" s="80"/>
      <c r="I1351" s="80"/>
    </row>
    <row r="1352" spans="8:9" x14ac:dyDescent="0.2">
      <c r="H1352" s="80"/>
      <c r="I1352" s="80"/>
    </row>
    <row r="1353" spans="8:9" x14ac:dyDescent="0.2">
      <c r="H1353" s="80"/>
      <c r="I1353" s="80"/>
    </row>
    <row r="1354" spans="8:9" x14ac:dyDescent="0.2">
      <c r="H1354" s="80"/>
      <c r="I1354" s="80"/>
    </row>
    <row r="1355" spans="8:9" x14ac:dyDescent="0.2">
      <c r="H1355" s="80"/>
      <c r="I1355" s="80"/>
    </row>
    <row r="1356" spans="8:9" x14ac:dyDescent="0.2">
      <c r="H1356" s="80"/>
      <c r="I1356" s="80"/>
    </row>
    <row r="1357" spans="8:9" x14ac:dyDescent="0.2">
      <c r="H1357" s="80"/>
      <c r="I1357" s="80"/>
    </row>
    <row r="1358" spans="8:9" x14ac:dyDescent="0.2">
      <c r="H1358" s="80"/>
      <c r="I1358" s="80"/>
    </row>
    <row r="1359" spans="8:9" x14ac:dyDescent="0.2">
      <c r="H1359" s="80"/>
      <c r="I1359" s="80"/>
    </row>
    <row r="1360" spans="8:9" x14ac:dyDescent="0.2">
      <c r="H1360" s="80"/>
      <c r="I1360" s="80"/>
    </row>
    <row r="1361" spans="8:9" x14ac:dyDescent="0.2">
      <c r="H1361" s="80"/>
      <c r="I1361" s="80"/>
    </row>
    <row r="1362" spans="8:9" x14ac:dyDescent="0.2">
      <c r="H1362" s="80"/>
      <c r="I1362" s="80"/>
    </row>
    <row r="1363" spans="8:9" x14ac:dyDescent="0.2">
      <c r="H1363" s="80"/>
      <c r="I1363" s="80"/>
    </row>
    <row r="1364" spans="8:9" x14ac:dyDescent="0.2">
      <c r="H1364" s="80"/>
      <c r="I1364" s="80"/>
    </row>
    <row r="1365" spans="8:9" x14ac:dyDescent="0.2">
      <c r="H1365" s="80"/>
      <c r="I1365" s="80"/>
    </row>
    <row r="1366" spans="8:9" x14ac:dyDescent="0.2">
      <c r="H1366" s="80"/>
      <c r="I1366" s="80"/>
    </row>
    <row r="1367" spans="8:9" x14ac:dyDescent="0.2">
      <c r="H1367" s="80"/>
      <c r="I1367" s="80"/>
    </row>
    <row r="1368" spans="8:9" x14ac:dyDescent="0.2">
      <c r="H1368" s="80"/>
      <c r="I1368" s="80"/>
    </row>
    <row r="1369" spans="8:9" x14ac:dyDescent="0.2">
      <c r="H1369" s="80"/>
      <c r="I1369" s="80"/>
    </row>
    <row r="1370" spans="8:9" x14ac:dyDescent="0.2">
      <c r="H1370" s="80"/>
      <c r="I1370" s="80"/>
    </row>
    <row r="1371" spans="8:9" x14ac:dyDescent="0.2">
      <c r="H1371" s="80"/>
      <c r="I1371" s="80"/>
    </row>
    <row r="1372" spans="8:9" x14ac:dyDescent="0.2">
      <c r="H1372" s="80"/>
      <c r="I1372" s="80"/>
    </row>
    <row r="1373" spans="8:9" x14ac:dyDescent="0.2">
      <c r="H1373" s="80"/>
      <c r="I1373" s="80"/>
    </row>
    <row r="1374" spans="8:9" x14ac:dyDescent="0.2">
      <c r="H1374" s="80"/>
      <c r="I1374" s="80"/>
    </row>
    <row r="1375" spans="8:9" x14ac:dyDescent="0.2">
      <c r="H1375" s="80"/>
      <c r="I1375" s="80"/>
    </row>
    <row r="1376" spans="8:9" x14ac:dyDescent="0.2">
      <c r="H1376" s="80"/>
      <c r="I1376" s="80"/>
    </row>
    <row r="1377" spans="8:9" x14ac:dyDescent="0.2">
      <c r="H1377" s="80"/>
      <c r="I1377" s="80"/>
    </row>
    <row r="1378" spans="8:9" x14ac:dyDescent="0.2">
      <c r="H1378" s="80"/>
      <c r="I1378" s="80"/>
    </row>
    <row r="1379" spans="8:9" x14ac:dyDescent="0.2">
      <c r="H1379" s="80"/>
      <c r="I1379" s="80"/>
    </row>
    <row r="1380" spans="8:9" x14ac:dyDescent="0.2">
      <c r="H1380" s="80"/>
      <c r="I1380" s="80"/>
    </row>
    <row r="1381" spans="8:9" x14ac:dyDescent="0.2">
      <c r="H1381" s="80"/>
      <c r="I1381" s="80"/>
    </row>
    <row r="1382" spans="8:9" x14ac:dyDescent="0.2">
      <c r="H1382" s="80"/>
      <c r="I1382" s="80"/>
    </row>
    <row r="1383" spans="8:9" x14ac:dyDescent="0.2">
      <c r="H1383" s="80"/>
      <c r="I1383" s="80"/>
    </row>
    <row r="1384" spans="8:9" x14ac:dyDescent="0.2">
      <c r="H1384" s="80"/>
      <c r="I1384" s="80"/>
    </row>
    <row r="1385" spans="8:9" x14ac:dyDescent="0.2">
      <c r="H1385" s="80"/>
      <c r="I1385" s="80"/>
    </row>
    <row r="1386" spans="8:9" x14ac:dyDescent="0.2">
      <c r="H1386" s="80"/>
      <c r="I1386" s="80"/>
    </row>
    <row r="1387" spans="8:9" x14ac:dyDescent="0.2">
      <c r="H1387" s="80"/>
      <c r="I1387" s="80"/>
    </row>
    <row r="1388" spans="8:9" x14ac:dyDescent="0.2">
      <c r="H1388" s="80"/>
      <c r="I1388" s="80"/>
    </row>
    <row r="1389" spans="8:9" x14ac:dyDescent="0.2">
      <c r="H1389" s="80"/>
      <c r="I1389" s="80"/>
    </row>
    <row r="1390" spans="8:9" x14ac:dyDescent="0.2">
      <c r="H1390" s="80"/>
      <c r="I1390" s="80"/>
    </row>
    <row r="1391" spans="8:9" x14ac:dyDescent="0.2">
      <c r="H1391" s="80"/>
      <c r="I1391" s="80"/>
    </row>
    <row r="1392" spans="8:9" x14ac:dyDescent="0.2">
      <c r="H1392" s="80"/>
      <c r="I1392" s="80"/>
    </row>
    <row r="1393" spans="8:9" x14ac:dyDescent="0.2">
      <c r="H1393" s="80"/>
      <c r="I1393" s="80"/>
    </row>
    <row r="1394" spans="8:9" x14ac:dyDescent="0.2">
      <c r="H1394" s="80"/>
      <c r="I1394" s="80"/>
    </row>
    <row r="1395" spans="8:9" x14ac:dyDescent="0.2">
      <c r="H1395" s="80"/>
      <c r="I1395" s="80"/>
    </row>
    <row r="1396" spans="8:9" x14ac:dyDescent="0.2">
      <c r="H1396" s="80"/>
      <c r="I1396" s="80"/>
    </row>
    <row r="1397" spans="8:9" x14ac:dyDescent="0.2">
      <c r="H1397" s="80"/>
      <c r="I1397" s="80"/>
    </row>
    <row r="1398" spans="8:9" x14ac:dyDescent="0.2">
      <c r="H1398" s="80"/>
      <c r="I1398" s="80"/>
    </row>
    <row r="1399" spans="8:9" x14ac:dyDescent="0.2">
      <c r="H1399" s="80"/>
      <c r="I1399" s="80"/>
    </row>
    <row r="1400" spans="8:9" x14ac:dyDescent="0.2">
      <c r="H1400" s="80"/>
      <c r="I1400" s="80"/>
    </row>
    <row r="1401" spans="8:9" x14ac:dyDescent="0.2">
      <c r="H1401" s="80"/>
      <c r="I1401" s="80"/>
    </row>
    <row r="1402" spans="8:9" x14ac:dyDescent="0.2">
      <c r="H1402" s="80"/>
      <c r="I1402" s="80"/>
    </row>
    <row r="1403" spans="8:9" x14ac:dyDescent="0.2">
      <c r="H1403" s="80"/>
      <c r="I1403" s="80"/>
    </row>
    <row r="1404" spans="8:9" x14ac:dyDescent="0.2">
      <c r="H1404" s="80"/>
      <c r="I1404" s="80"/>
    </row>
    <row r="1405" spans="8:9" x14ac:dyDescent="0.2">
      <c r="H1405" s="80"/>
      <c r="I1405" s="80"/>
    </row>
    <row r="1406" spans="8:9" x14ac:dyDescent="0.2">
      <c r="H1406" s="80"/>
      <c r="I1406" s="80"/>
    </row>
    <row r="1407" spans="8:9" x14ac:dyDescent="0.2">
      <c r="H1407" s="80"/>
      <c r="I1407" s="80"/>
    </row>
    <row r="1408" spans="8:9" x14ac:dyDescent="0.2">
      <c r="H1408" s="80"/>
      <c r="I1408" s="80"/>
    </row>
    <row r="1409" spans="8:9" x14ac:dyDescent="0.2">
      <c r="H1409" s="80"/>
      <c r="I1409" s="80"/>
    </row>
    <row r="1410" spans="8:9" x14ac:dyDescent="0.2">
      <c r="H1410" s="80"/>
      <c r="I1410" s="80"/>
    </row>
    <row r="1411" spans="8:9" x14ac:dyDescent="0.2">
      <c r="H1411" s="80"/>
      <c r="I1411" s="80"/>
    </row>
    <row r="1412" spans="8:9" x14ac:dyDescent="0.2">
      <c r="H1412" s="80"/>
      <c r="I1412" s="80"/>
    </row>
    <row r="1413" spans="8:9" x14ac:dyDescent="0.2">
      <c r="H1413" s="80"/>
      <c r="I1413" s="80"/>
    </row>
    <row r="1414" spans="8:9" x14ac:dyDescent="0.2">
      <c r="H1414" s="80"/>
      <c r="I1414" s="80"/>
    </row>
    <row r="1415" spans="8:9" x14ac:dyDescent="0.2">
      <c r="H1415" s="80"/>
      <c r="I1415" s="80"/>
    </row>
    <row r="1416" spans="8:9" x14ac:dyDescent="0.2">
      <c r="H1416" s="80"/>
      <c r="I1416" s="80"/>
    </row>
    <row r="1417" spans="8:9" x14ac:dyDescent="0.2">
      <c r="H1417" s="80"/>
      <c r="I1417" s="80"/>
    </row>
    <row r="1418" spans="8:9" x14ac:dyDescent="0.2">
      <c r="H1418" s="80"/>
      <c r="I1418" s="80"/>
    </row>
    <row r="1419" spans="8:9" x14ac:dyDescent="0.2">
      <c r="H1419" s="80"/>
      <c r="I1419" s="80"/>
    </row>
    <row r="1420" spans="8:9" x14ac:dyDescent="0.2">
      <c r="H1420" s="80"/>
      <c r="I1420" s="80"/>
    </row>
    <row r="1421" spans="8:9" x14ac:dyDescent="0.2">
      <c r="H1421" s="80"/>
      <c r="I1421" s="80"/>
    </row>
    <row r="1422" spans="8:9" x14ac:dyDescent="0.2">
      <c r="H1422" s="80"/>
      <c r="I1422" s="80"/>
    </row>
    <row r="1423" spans="8:9" x14ac:dyDescent="0.2">
      <c r="H1423" s="80"/>
      <c r="I1423" s="80"/>
    </row>
    <row r="1424" spans="8:9" x14ac:dyDescent="0.2">
      <c r="H1424" s="80"/>
      <c r="I1424" s="80"/>
    </row>
    <row r="1425" spans="8:9" x14ac:dyDescent="0.2">
      <c r="H1425" s="80"/>
      <c r="I1425" s="80"/>
    </row>
    <row r="1426" spans="8:9" x14ac:dyDescent="0.2">
      <c r="H1426" s="80"/>
      <c r="I1426" s="80"/>
    </row>
    <row r="1427" spans="8:9" x14ac:dyDescent="0.2">
      <c r="H1427" s="80"/>
      <c r="I1427" s="80"/>
    </row>
    <row r="1428" spans="8:9" x14ac:dyDescent="0.2">
      <c r="H1428" s="80"/>
      <c r="I1428" s="80"/>
    </row>
    <row r="1429" spans="8:9" x14ac:dyDescent="0.2">
      <c r="H1429" s="80"/>
      <c r="I1429" s="80"/>
    </row>
    <row r="1430" spans="8:9" x14ac:dyDescent="0.2">
      <c r="H1430" s="80"/>
      <c r="I1430" s="80"/>
    </row>
    <row r="1431" spans="8:9" x14ac:dyDescent="0.2">
      <c r="H1431" s="80"/>
      <c r="I1431" s="80"/>
    </row>
    <row r="1432" spans="8:9" x14ac:dyDescent="0.2">
      <c r="H1432" s="80"/>
      <c r="I1432" s="80"/>
    </row>
    <row r="1433" spans="8:9" x14ac:dyDescent="0.2">
      <c r="H1433" s="80"/>
      <c r="I1433" s="80"/>
    </row>
    <row r="1434" spans="8:9" x14ac:dyDescent="0.2">
      <c r="H1434" s="80"/>
      <c r="I1434" s="80"/>
    </row>
    <row r="1435" spans="8:9" x14ac:dyDescent="0.2">
      <c r="H1435" s="80"/>
      <c r="I1435" s="80"/>
    </row>
    <row r="1436" spans="8:9" x14ac:dyDescent="0.2">
      <c r="H1436" s="80"/>
      <c r="I1436" s="80"/>
    </row>
    <row r="1437" spans="8:9" x14ac:dyDescent="0.2">
      <c r="H1437" s="80"/>
      <c r="I1437" s="80"/>
    </row>
    <row r="1438" spans="8:9" x14ac:dyDescent="0.2">
      <c r="H1438" s="80"/>
      <c r="I1438" s="80"/>
    </row>
    <row r="1439" spans="8:9" x14ac:dyDescent="0.2">
      <c r="H1439" s="80"/>
      <c r="I1439" s="80"/>
    </row>
    <row r="1440" spans="8:9" x14ac:dyDescent="0.2">
      <c r="H1440" s="80"/>
      <c r="I1440" s="80"/>
    </row>
    <row r="1441" spans="8:9" x14ac:dyDescent="0.2">
      <c r="H1441" s="80"/>
      <c r="I1441" s="80"/>
    </row>
    <row r="1442" spans="8:9" x14ac:dyDescent="0.2">
      <c r="H1442" s="80"/>
      <c r="I1442" s="80"/>
    </row>
    <row r="1443" spans="8:9" x14ac:dyDescent="0.2">
      <c r="H1443" s="80"/>
      <c r="I1443" s="80"/>
    </row>
    <row r="1444" spans="8:9" x14ac:dyDescent="0.2">
      <c r="H1444" s="80"/>
      <c r="I1444" s="80"/>
    </row>
    <row r="1445" spans="8:9" x14ac:dyDescent="0.2">
      <c r="H1445" s="80"/>
      <c r="I1445" s="80"/>
    </row>
    <row r="1446" spans="8:9" x14ac:dyDescent="0.2">
      <c r="H1446" s="80"/>
      <c r="I1446" s="80"/>
    </row>
    <row r="1447" spans="8:9" x14ac:dyDescent="0.2">
      <c r="H1447" s="80"/>
      <c r="I1447" s="80"/>
    </row>
    <row r="1448" spans="8:9" x14ac:dyDescent="0.2">
      <c r="H1448" s="80"/>
      <c r="I1448" s="80"/>
    </row>
    <row r="1449" spans="8:9" x14ac:dyDescent="0.2">
      <c r="H1449" s="80"/>
      <c r="I1449" s="80"/>
    </row>
    <row r="1450" spans="8:9" x14ac:dyDescent="0.2">
      <c r="H1450" s="80"/>
      <c r="I1450" s="80"/>
    </row>
    <row r="1451" spans="8:9" x14ac:dyDescent="0.2">
      <c r="H1451" s="80"/>
      <c r="I1451" s="80"/>
    </row>
    <row r="1452" spans="8:9" x14ac:dyDescent="0.2">
      <c r="H1452" s="80"/>
      <c r="I1452" s="80"/>
    </row>
    <row r="1453" spans="8:9" x14ac:dyDescent="0.2">
      <c r="H1453" s="80"/>
      <c r="I1453" s="80"/>
    </row>
    <row r="1454" spans="8:9" x14ac:dyDescent="0.2">
      <c r="H1454" s="80"/>
      <c r="I1454" s="80"/>
    </row>
    <row r="1455" spans="8:9" x14ac:dyDescent="0.2">
      <c r="H1455" s="80"/>
      <c r="I1455" s="80"/>
    </row>
    <row r="1456" spans="8:9" x14ac:dyDescent="0.2">
      <c r="H1456" s="80"/>
      <c r="I1456" s="80"/>
    </row>
    <row r="1457" spans="8:9" x14ac:dyDescent="0.2">
      <c r="H1457" s="80"/>
      <c r="I1457" s="80"/>
    </row>
    <row r="1458" spans="8:9" x14ac:dyDescent="0.2">
      <c r="H1458" s="80"/>
      <c r="I1458" s="80"/>
    </row>
    <row r="1459" spans="8:9" x14ac:dyDescent="0.2">
      <c r="H1459" s="80"/>
      <c r="I1459" s="80"/>
    </row>
    <row r="1460" spans="8:9" x14ac:dyDescent="0.2">
      <c r="H1460" s="80"/>
      <c r="I1460" s="80"/>
    </row>
    <row r="1461" spans="8:9" x14ac:dyDescent="0.2">
      <c r="H1461" s="80"/>
      <c r="I1461" s="80"/>
    </row>
    <row r="1462" spans="8:9" x14ac:dyDescent="0.2">
      <c r="H1462" s="80"/>
      <c r="I1462" s="80"/>
    </row>
    <row r="1463" spans="8:9" x14ac:dyDescent="0.2">
      <c r="H1463" s="80"/>
      <c r="I1463" s="80"/>
    </row>
    <row r="1464" spans="8:9" x14ac:dyDescent="0.2">
      <c r="H1464" s="80"/>
      <c r="I1464" s="80"/>
    </row>
    <row r="1465" spans="8:9" x14ac:dyDescent="0.2">
      <c r="H1465" s="80"/>
      <c r="I1465" s="80"/>
    </row>
    <row r="1466" spans="8:9" x14ac:dyDescent="0.2">
      <c r="H1466" s="80"/>
      <c r="I1466" s="80"/>
    </row>
    <row r="1467" spans="8:9" x14ac:dyDescent="0.2">
      <c r="H1467" s="80"/>
      <c r="I1467" s="80"/>
    </row>
    <row r="1468" spans="8:9" x14ac:dyDescent="0.2">
      <c r="H1468" s="80"/>
      <c r="I1468" s="80"/>
    </row>
    <row r="1469" spans="8:9" x14ac:dyDescent="0.2">
      <c r="H1469" s="80"/>
      <c r="I1469" s="80"/>
    </row>
    <row r="1470" spans="8:9" x14ac:dyDescent="0.2">
      <c r="H1470" s="80"/>
      <c r="I1470" s="80"/>
    </row>
    <row r="1471" spans="8:9" x14ac:dyDescent="0.2">
      <c r="H1471" s="80"/>
      <c r="I1471" s="80"/>
    </row>
    <row r="1472" spans="8:9" x14ac:dyDescent="0.2">
      <c r="H1472" s="80"/>
      <c r="I1472" s="80"/>
    </row>
    <row r="1473" spans="8:9" x14ac:dyDescent="0.2">
      <c r="H1473" s="80"/>
      <c r="I1473" s="80"/>
    </row>
    <row r="1474" spans="8:9" x14ac:dyDescent="0.2">
      <c r="H1474" s="80"/>
      <c r="I1474" s="80"/>
    </row>
    <row r="1475" spans="8:9" x14ac:dyDescent="0.2">
      <c r="H1475" s="80"/>
      <c r="I1475" s="80"/>
    </row>
    <row r="1476" spans="8:9" x14ac:dyDescent="0.2">
      <c r="H1476" s="80"/>
      <c r="I1476" s="80"/>
    </row>
    <row r="1477" spans="8:9" x14ac:dyDescent="0.2">
      <c r="H1477" s="80"/>
      <c r="I1477" s="80"/>
    </row>
    <row r="1478" spans="8:9" x14ac:dyDescent="0.2">
      <c r="H1478" s="80"/>
      <c r="I1478" s="80"/>
    </row>
    <row r="1479" spans="8:9" x14ac:dyDescent="0.2">
      <c r="H1479" s="80"/>
      <c r="I1479" s="80"/>
    </row>
    <row r="1480" spans="8:9" x14ac:dyDescent="0.2">
      <c r="H1480" s="80"/>
      <c r="I1480" s="80"/>
    </row>
    <row r="1481" spans="8:9" x14ac:dyDescent="0.2">
      <c r="H1481" s="80"/>
      <c r="I1481" s="80"/>
    </row>
    <row r="1482" spans="8:9" x14ac:dyDescent="0.2">
      <c r="H1482" s="80"/>
      <c r="I1482" s="80"/>
    </row>
    <row r="1483" spans="8:9" x14ac:dyDescent="0.2">
      <c r="H1483" s="80"/>
      <c r="I1483" s="80"/>
    </row>
    <row r="1484" spans="8:9" x14ac:dyDescent="0.2">
      <c r="H1484" s="80"/>
      <c r="I1484" s="80"/>
    </row>
    <row r="1485" spans="8:9" x14ac:dyDescent="0.2">
      <c r="H1485" s="80"/>
      <c r="I1485" s="80"/>
    </row>
    <row r="1486" spans="8:9" x14ac:dyDescent="0.2">
      <c r="H1486" s="80"/>
      <c r="I1486" s="80"/>
    </row>
    <row r="1487" spans="8:9" x14ac:dyDescent="0.2">
      <c r="H1487" s="80"/>
      <c r="I1487" s="80"/>
    </row>
    <row r="1488" spans="8:9" x14ac:dyDescent="0.2">
      <c r="H1488" s="80"/>
      <c r="I1488" s="80"/>
    </row>
    <row r="1489" spans="8:9" x14ac:dyDescent="0.2">
      <c r="H1489" s="80"/>
      <c r="I1489" s="80"/>
    </row>
    <row r="1490" spans="8:9" x14ac:dyDescent="0.2">
      <c r="H1490" s="80"/>
      <c r="I1490" s="80"/>
    </row>
    <row r="1491" spans="8:9" x14ac:dyDescent="0.2">
      <c r="H1491" s="80"/>
      <c r="I1491" s="80"/>
    </row>
    <row r="1492" spans="8:9" x14ac:dyDescent="0.2">
      <c r="H1492" s="80"/>
      <c r="I1492" s="80"/>
    </row>
    <row r="1493" spans="8:9" x14ac:dyDescent="0.2">
      <c r="H1493" s="80"/>
      <c r="I1493" s="80"/>
    </row>
    <row r="1494" spans="8:9" x14ac:dyDescent="0.2">
      <c r="H1494" s="80"/>
      <c r="I1494" s="80"/>
    </row>
    <row r="1495" spans="8:9" x14ac:dyDescent="0.2">
      <c r="H1495" s="80"/>
      <c r="I1495" s="80"/>
    </row>
    <row r="1496" spans="8:9" x14ac:dyDescent="0.2">
      <c r="H1496" s="80"/>
      <c r="I1496" s="80"/>
    </row>
    <row r="1497" spans="8:9" x14ac:dyDescent="0.2">
      <c r="H1497" s="80"/>
      <c r="I1497" s="80"/>
    </row>
    <row r="1498" spans="8:9" x14ac:dyDescent="0.2">
      <c r="H1498" s="80"/>
      <c r="I1498" s="80"/>
    </row>
    <row r="1499" spans="8:9" x14ac:dyDescent="0.2">
      <c r="H1499" s="80"/>
      <c r="I1499" s="80"/>
    </row>
    <row r="1500" spans="8:9" x14ac:dyDescent="0.2">
      <c r="H1500" s="80"/>
      <c r="I1500" s="80"/>
    </row>
    <row r="1501" spans="8:9" x14ac:dyDescent="0.2">
      <c r="H1501" s="80"/>
      <c r="I1501" s="80"/>
    </row>
    <row r="1502" spans="8:9" x14ac:dyDescent="0.2">
      <c r="H1502" s="80"/>
      <c r="I1502" s="80"/>
    </row>
    <row r="1503" spans="8:9" x14ac:dyDescent="0.2">
      <c r="H1503" s="80"/>
      <c r="I1503" s="80"/>
    </row>
    <row r="1504" spans="8:9" x14ac:dyDescent="0.2">
      <c r="H1504" s="80"/>
      <c r="I1504" s="80"/>
    </row>
    <row r="1505" spans="8:9" x14ac:dyDescent="0.2">
      <c r="H1505" s="80"/>
      <c r="I1505" s="80"/>
    </row>
    <row r="1506" spans="8:9" x14ac:dyDescent="0.2">
      <c r="H1506" s="80"/>
      <c r="I1506" s="80"/>
    </row>
    <row r="1507" spans="8:9" x14ac:dyDescent="0.2">
      <c r="H1507" s="80"/>
      <c r="I1507" s="80"/>
    </row>
    <row r="1508" spans="8:9" x14ac:dyDescent="0.2">
      <c r="H1508" s="80"/>
      <c r="I1508" s="80"/>
    </row>
    <row r="1509" spans="8:9" x14ac:dyDescent="0.2">
      <c r="H1509" s="80"/>
      <c r="I1509" s="80"/>
    </row>
    <row r="1510" spans="8:9" x14ac:dyDescent="0.2">
      <c r="H1510" s="80"/>
      <c r="I1510" s="80"/>
    </row>
    <row r="1511" spans="8:9" x14ac:dyDescent="0.2">
      <c r="H1511" s="80"/>
      <c r="I1511" s="80"/>
    </row>
    <row r="1512" spans="8:9" x14ac:dyDescent="0.2">
      <c r="H1512" s="80"/>
      <c r="I1512" s="80"/>
    </row>
    <row r="1513" spans="8:9" x14ac:dyDescent="0.2">
      <c r="H1513" s="80"/>
      <c r="I1513" s="80"/>
    </row>
    <row r="1514" spans="8:9" x14ac:dyDescent="0.2">
      <c r="H1514" s="80"/>
      <c r="I1514" s="80"/>
    </row>
    <row r="1515" spans="8:9" x14ac:dyDescent="0.2">
      <c r="H1515" s="80"/>
      <c r="I1515" s="80"/>
    </row>
    <row r="1516" spans="8:9" x14ac:dyDescent="0.2">
      <c r="H1516" s="80"/>
      <c r="I1516" s="80"/>
    </row>
    <row r="1517" spans="8:9" x14ac:dyDescent="0.2">
      <c r="H1517" s="80"/>
      <c r="I1517" s="80"/>
    </row>
    <row r="1518" spans="8:9" x14ac:dyDescent="0.2">
      <c r="H1518" s="80"/>
      <c r="I1518" s="80"/>
    </row>
    <row r="1519" spans="8:9" x14ac:dyDescent="0.2">
      <c r="H1519" s="80"/>
      <c r="I1519" s="80"/>
    </row>
    <row r="1520" spans="8:9" x14ac:dyDescent="0.2">
      <c r="H1520" s="80"/>
      <c r="I1520" s="80"/>
    </row>
    <row r="1521" spans="8:9" x14ac:dyDescent="0.2">
      <c r="H1521" s="80"/>
      <c r="I1521" s="80"/>
    </row>
    <row r="1522" spans="8:9" x14ac:dyDescent="0.2">
      <c r="H1522" s="80"/>
      <c r="I1522" s="80"/>
    </row>
    <row r="1523" spans="8:9" x14ac:dyDescent="0.2">
      <c r="H1523" s="80"/>
      <c r="I1523" s="80"/>
    </row>
    <row r="1524" spans="8:9" x14ac:dyDescent="0.2">
      <c r="H1524" s="80"/>
      <c r="I1524" s="80"/>
    </row>
    <row r="1525" spans="8:9" x14ac:dyDescent="0.2">
      <c r="H1525" s="80"/>
      <c r="I1525" s="80"/>
    </row>
    <row r="1526" spans="8:9" x14ac:dyDescent="0.2">
      <c r="H1526" s="80"/>
      <c r="I1526" s="80"/>
    </row>
    <row r="1527" spans="8:9" x14ac:dyDescent="0.2">
      <c r="H1527" s="80"/>
      <c r="I1527" s="80"/>
    </row>
    <row r="1528" spans="8:9" x14ac:dyDescent="0.2">
      <c r="H1528" s="80"/>
      <c r="I1528" s="80"/>
    </row>
    <row r="1529" spans="8:9" x14ac:dyDescent="0.2">
      <c r="H1529" s="80"/>
      <c r="I1529" s="80"/>
    </row>
    <row r="1530" spans="8:9" x14ac:dyDescent="0.2">
      <c r="H1530" s="80"/>
      <c r="I1530" s="80"/>
    </row>
    <row r="1531" spans="8:9" x14ac:dyDescent="0.2">
      <c r="H1531" s="80"/>
      <c r="I1531" s="80"/>
    </row>
    <row r="1532" spans="8:9" x14ac:dyDescent="0.2">
      <c r="H1532" s="80"/>
      <c r="I1532" s="80"/>
    </row>
    <row r="1533" spans="8:9" x14ac:dyDescent="0.2">
      <c r="H1533" s="80"/>
      <c r="I1533" s="80"/>
    </row>
    <row r="1534" spans="8:9" x14ac:dyDescent="0.2">
      <c r="H1534" s="80"/>
      <c r="I1534" s="80"/>
    </row>
    <row r="1535" spans="8:9" x14ac:dyDescent="0.2">
      <c r="H1535" s="80"/>
      <c r="I1535" s="80"/>
    </row>
    <row r="1536" spans="8:9" x14ac:dyDescent="0.2">
      <c r="H1536" s="80"/>
      <c r="I1536" s="80"/>
    </row>
    <row r="1537" spans="8:9" x14ac:dyDescent="0.2">
      <c r="H1537" s="80"/>
      <c r="I1537" s="80"/>
    </row>
    <row r="1538" spans="8:9" x14ac:dyDescent="0.2">
      <c r="H1538" s="80"/>
      <c r="I1538" s="80"/>
    </row>
    <row r="1539" spans="8:9" x14ac:dyDescent="0.2">
      <c r="H1539" s="80"/>
      <c r="I1539" s="80"/>
    </row>
    <row r="1540" spans="8:9" x14ac:dyDescent="0.2">
      <c r="H1540" s="80"/>
      <c r="I1540" s="80"/>
    </row>
    <row r="1541" spans="8:9" x14ac:dyDescent="0.2">
      <c r="H1541" s="80"/>
      <c r="I1541" s="80"/>
    </row>
    <row r="1542" spans="8:9" x14ac:dyDescent="0.2">
      <c r="H1542" s="80"/>
      <c r="I1542" s="80"/>
    </row>
    <row r="1543" spans="8:9" x14ac:dyDescent="0.2">
      <c r="H1543" s="80"/>
      <c r="I1543" s="80"/>
    </row>
    <row r="1544" spans="8:9" x14ac:dyDescent="0.2">
      <c r="H1544" s="80"/>
      <c r="I1544" s="80"/>
    </row>
    <row r="1545" spans="8:9" x14ac:dyDescent="0.2">
      <c r="H1545" s="80"/>
      <c r="I1545" s="80"/>
    </row>
    <row r="1546" spans="8:9" x14ac:dyDescent="0.2">
      <c r="H1546" s="80"/>
      <c r="I1546" s="80"/>
    </row>
    <row r="1547" spans="8:9" x14ac:dyDescent="0.2">
      <c r="H1547" s="80"/>
      <c r="I1547" s="80"/>
    </row>
    <row r="1548" spans="8:9" x14ac:dyDescent="0.2">
      <c r="H1548" s="80"/>
      <c r="I1548" s="80"/>
    </row>
    <row r="1549" spans="8:9" x14ac:dyDescent="0.2">
      <c r="H1549" s="80"/>
      <c r="I1549" s="80"/>
    </row>
    <row r="1550" spans="8:9" x14ac:dyDescent="0.2">
      <c r="H1550" s="80"/>
      <c r="I1550" s="80"/>
    </row>
    <row r="1551" spans="8:9" x14ac:dyDescent="0.2">
      <c r="H1551" s="80"/>
      <c r="I1551" s="80"/>
    </row>
    <row r="1552" spans="8:9" x14ac:dyDescent="0.2">
      <c r="H1552" s="80"/>
      <c r="I1552" s="80"/>
    </row>
    <row r="1553" spans="8:9" x14ac:dyDescent="0.2">
      <c r="H1553" s="80"/>
      <c r="I1553" s="80"/>
    </row>
    <row r="1554" spans="8:9" x14ac:dyDescent="0.2">
      <c r="H1554" s="80"/>
      <c r="I1554" s="80"/>
    </row>
    <row r="1555" spans="8:9" x14ac:dyDescent="0.2">
      <c r="H1555" s="80"/>
      <c r="I1555" s="80"/>
    </row>
    <row r="1556" spans="8:9" x14ac:dyDescent="0.2">
      <c r="H1556" s="80"/>
      <c r="I1556" s="80"/>
    </row>
    <row r="1557" spans="8:9" x14ac:dyDescent="0.2">
      <c r="H1557" s="80"/>
      <c r="I1557" s="80"/>
    </row>
    <row r="1558" spans="8:9" x14ac:dyDescent="0.2">
      <c r="H1558" s="80"/>
      <c r="I1558" s="80"/>
    </row>
    <row r="1559" spans="8:9" x14ac:dyDescent="0.2">
      <c r="H1559" s="80"/>
      <c r="I1559" s="80"/>
    </row>
    <row r="1560" spans="8:9" x14ac:dyDescent="0.2">
      <c r="H1560" s="80"/>
      <c r="I1560" s="80"/>
    </row>
    <row r="1561" spans="8:9" x14ac:dyDescent="0.2">
      <c r="H1561" s="80"/>
      <c r="I1561" s="80"/>
    </row>
    <row r="1562" spans="8:9" x14ac:dyDescent="0.2">
      <c r="H1562" s="80"/>
      <c r="I1562" s="80"/>
    </row>
    <row r="1563" spans="8:9" x14ac:dyDescent="0.2">
      <c r="H1563" s="80"/>
      <c r="I1563" s="80"/>
    </row>
    <row r="1564" spans="8:9" x14ac:dyDescent="0.2">
      <c r="H1564" s="80"/>
      <c r="I1564" s="80"/>
    </row>
    <row r="1565" spans="8:9" x14ac:dyDescent="0.2">
      <c r="H1565" s="80"/>
      <c r="I1565" s="80"/>
    </row>
    <row r="1566" spans="8:9" x14ac:dyDescent="0.2">
      <c r="H1566" s="80"/>
      <c r="I1566" s="80"/>
    </row>
    <row r="1567" spans="8:9" x14ac:dyDescent="0.2">
      <c r="H1567" s="80"/>
      <c r="I1567" s="80"/>
    </row>
    <row r="1568" spans="8:9" x14ac:dyDescent="0.2">
      <c r="H1568" s="80"/>
      <c r="I1568" s="80"/>
    </row>
    <row r="1569" spans="8:9" x14ac:dyDescent="0.2">
      <c r="H1569" s="80"/>
      <c r="I1569" s="80"/>
    </row>
    <row r="1570" spans="8:9" x14ac:dyDescent="0.2">
      <c r="H1570" s="80"/>
      <c r="I1570" s="80"/>
    </row>
    <row r="1571" spans="8:9" x14ac:dyDescent="0.2">
      <c r="H1571" s="80"/>
      <c r="I1571" s="80"/>
    </row>
  </sheetData>
  <sheetProtection selectLockedCells="1"/>
  <dataConsolidate/>
  <dataValidations count="4">
    <dataValidation type="list" allowBlank="1" showInputMessage="1" showErrorMessage="1" errorTitle="¡Atención!" error="Tipo de instrumento no válido." sqref="E9:E1048576">
      <formula1>type</formula1>
    </dataValidation>
    <dataValidation type="list" allowBlank="1" showInputMessage="1" showErrorMessage="1" errorTitle="¡Atención!" error="Divisa no existe." sqref="J9:J1048576">
      <formula1>curr</formula1>
    </dataValidation>
    <dataValidation type="list" allowBlank="1" showInputMessage="1" showErrorMessage="1" errorTitle="¡Atención!" error="Fx Rate no válido." sqref="G9:G1048576">
      <formula1>fxDefinition</formula1>
    </dataValidation>
    <dataValidation type="list" allowBlank="1" showInputMessage="1" showErrorMessage="1" errorTitle="¡Atención!" error="Nombre de pricer no válido." sqref="F9:F1048576">
      <formula1>IF(E9="","",INDIRECT(E9))</formula1>
    </dataValidation>
  </dataValidations>
  <pageMargins left="0.7" right="0.7" top="0.75" bottom="0.75" header="0.3" footer="0.3"/>
  <pageSetup paperSize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50"/>
  <sheetViews>
    <sheetView showGridLines="0" topLeftCell="C3" workbookViewId="0">
      <selection activeCell="D10" sqref="D10"/>
    </sheetView>
  </sheetViews>
  <sheetFormatPr baseColWidth="10" defaultRowHeight="14.25" x14ac:dyDescent="0.2"/>
  <cols>
    <col min="1" max="1" width="14.875" style="22" hidden="1" customWidth="1"/>
    <col min="2" max="2" width="0" style="22" hidden="1" customWidth="1"/>
    <col min="3" max="3" width="3.5" style="30" customWidth="1"/>
    <col min="4" max="6" width="11" style="50"/>
    <col min="7" max="7" width="13" style="50" customWidth="1"/>
    <col min="8" max="8" width="11" style="30"/>
  </cols>
  <sheetData>
    <row r="1" spans="1:7" s="22" customFormat="1" hidden="1" x14ac:dyDescent="0.2">
      <c r="A1" s="2" t="str">
        <f ca="1">nameOfThisSheet()</f>
        <v>Custom Amort</v>
      </c>
      <c r="B1" s="2"/>
    </row>
    <row r="2" spans="1:7" s="22" customFormat="1" hidden="1" x14ac:dyDescent="0.2">
      <c r="A2" s="2"/>
      <c r="B2" s="2"/>
    </row>
    <row r="3" spans="1:7" ht="9.75" customHeight="1" x14ac:dyDescent="0.2">
      <c r="A3" s="2"/>
      <c r="B3" s="2"/>
      <c r="D3" s="29"/>
      <c r="E3" s="29"/>
      <c r="F3" s="29"/>
      <c r="G3" s="29"/>
    </row>
    <row r="4" spans="1:7" ht="30" x14ac:dyDescent="0.2">
      <c r="A4" s="2"/>
      <c r="B4" s="2"/>
      <c r="D4" s="32" t="s">
        <v>127</v>
      </c>
      <c r="E4" s="30"/>
      <c r="F4" s="30"/>
      <c r="G4" s="30"/>
    </row>
    <row r="5" spans="1:7" x14ac:dyDescent="0.2">
      <c r="A5" s="2" t="s">
        <v>98</v>
      </c>
      <c r="B5" s="2"/>
      <c r="D5" s="30"/>
      <c r="E5" s="30"/>
      <c r="F5" s="30"/>
      <c r="G5" s="30"/>
    </row>
    <row r="6" spans="1:7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</row>
    <row r="7" spans="1:7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</row>
    <row r="8" spans="1:7" x14ac:dyDescent="0.2">
      <c r="A8" s="2" t="s">
        <v>86</v>
      </c>
      <c r="B8" s="18" t="str">
        <f ca="1">numbertoletter(B7)</f>
        <v>D</v>
      </c>
      <c r="D8" s="33" t="s">
        <v>18</v>
      </c>
      <c r="E8" s="33" t="s">
        <v>128</v>
      </c>
      <c r="F8" s="33" t="s">
        <v>129</v>
      </c>
      <c r="G8" s="33" t="s">
        <v>130</v>
      </c>
    </row>
    <row r="9" spans="1:7" x14ac:dyDescent="0.2">
      <c r="A9" s="2" t="s">
        <v>87</v>
      </c>
      <c r="B9" s="18" t="str">
        <f ca="1">B8&amp;B6&amp;":"&amp;B8&amp;maxRowsValue</f>
        <v>D9:D1048576</v>
      </c>
      <c r="D9" s="95" t="s">
        <v>205</v>
      </c>
      <c r="E9" s="50" t="s">
        <v>131</v>
      </c>
      <c r="F9" s="93">
        <v>-1</v>
      </c>
      <c r="G9" s="91">
        <v>0</v>
      </c>
    </row>
    <row r="10" spans="1:7" x14ac:dyDescent="0.2">
      <c r="A10" s="2" t="s">
        <v>88</v>
      </c>
      <c r="B10" s="2">
        <f ca="1">COUNTA(INDIRECT(B9))</f>
        <v>1</v>
      </c>
      <c r="D10" s="53"/>
      <c r="F10" s="93"/>
      <c r="G10" s="91"/>
    </row>
    <row r="11" spans="1:7" ht="15" x14ac:dyDescent="0.25">
      <c r="A11" s="2" t="s">
        <v>89</v>
      </c>
      <c r="B11" s="19">
        <v>4</v>
      </c>
      <c r="D11" s="53"/>
      <c r="F11" s="93"/>
      <c r="G11" s="91"/>
    </row>
    <row r="12" spans="1:7" x14ac:dyDescent="0.2">
      <c r="A12" s="2" t="s">
        <v>90</v>
      </c>
      <c r="B12" s="18" t="str">
        <f ca="1">B8&amp;B6&amp;":"&amp;numbertoletter(B7+B11-1)&amp;(B6+B10-1)</f>
        <v>D9:G9</v>
      </c>
      <c r="D12" s="53"/>
      <c r="F12" s="93"/>
      <c r="G12" s="91"/>
    </row>
    <row r="13" spans="1:7" x14ac:dyDescent="0.2">
      <c r="D13" s="53"/>
      <c r="F13" s="93"/>
      <c r="G13" s="91"/>
    </row>
    <row r="14" spans="1:7" x14ac:dyDescent="0.2">
      <c r="D14" s="53"/>
      <c r="F14" s="93"/>
      <c r="G14" s="91"/>
    </row>
    <row r="15" spans="1:7" x14ac:dyDescent="0.2">
      <c r="D15" s="53"/>
      <c r="F15" s="93"/>
      <c r="G15" s="91"/>
    </row>
    <row r="16" spans="1:7" x14ac:dyDescent="0.2">
      <c r="D16" s="53"/>
      <c r="F16" s="93"/>
      <c r="G16" s="91"/>
    </row>
    <row r="17" spans="1:8" x14ac:dyDescent="0.2">
      <c r="D17" s="53"/>
      <c r="F17" s="93"/>
      <c r="G17" s="91"/>
    </row>
    <row r="18" spans="1:8" x14ac:dyDescent="0.2">
      <c r="D18" s="53"/>
      <c r="F18" s="93"/>
      <c r="G18" s="91"/>
    </row>
    <row r="19" spans="1:8" x14ac:dyDescent="0.2">
      <c r="D19" s="53"/>
      <c r="F19" s="93"/>
      <c r="G19" s="91"/>
    </row>
    <row r="20" spans="1:8" x14ac:dyDescent="0.2">
      <c r="D20" s="53"/>
      <c r="F20" s="93"/>
      <c r="G20" s="91"/>
    </row>
    <row r="21" spans="1:8" x14ac:dyDescent="0.2">
      <c r="F21" s="93"/>
      <c r="G21" s="91"/>
    </row>
    <row r="22" spans="1:8" x14ac:dyDescent="0.2">
      <c r="F22" s="93"/>
      <c r="G22" s="91"/>
    </row>
    <row r="23" spans="1:8" s="89" customFormat="1" x14ac:dyDescent="0.2">
      <c r="A23" s="22"/>
      <c r="B23" s="22"/>
      <c r="C23" s="30"/>
      <c r="D23" s="94"/>
      <c r="E23" s="94"/>
      <c r="F23" s="93"/>
      <c r="G23" s="91"/>
      <c r="H23" s="30"/>
    </row>
    <row r="24" spans="1:8" s="89" customFormat="1" x14ac:dyDescent="0.2">
      <c r="A24" s="22"/>
      <c r="B24" s="22"/>
      <c r="C24" s="30"/>
      <c r="D24" s="94"/>
      <c r="E24" s="94"/>
      <c r="F24" s="93"/>
      <c r="G24" s="91"/>
      <c r="H24" s="30"/>
    </row>
    <row r="25" spans="1:8" s="89" customFormat="1" x14ac:dyDescent="0.2">
      <c r="A25" s="22"/>
      <c r="B25" s="22"/>
      <c r="C25" s="30"/>
      <c r="D25" s="94"/>
      <c r="E25" s="94"/>
      <c r="F25" s="93"/>
      <c r="G25" s="91"/>
      <c r="H25" s="30"/>
    </row>
    <row r="26" spans="1:8" s="89" customFormat="1" x14ac:dyDescent="0.2">
      <c r="A26" s="22"/>
      <c r="B26" s="22"/>
      <c r="C26" s="30"/>
      <c r="D26" s="94"/>
      <c r="E26" s="94"/>
      <c r="F26" s="93"/>
      <c r="G26" s="91"/>
      <c r="H26" s="30"/>
    </row>
    <row r="27" spans="1:8" ht="13.5" customHeight="1" x14ac:dyDescent="0.2">
      <c r="D27" s="95"/>
      <c r="E27" s="94"/>
      <c r="F27" s="93"/>
      <c r="G27" s="91"/>
    </row>
    <row r="28" spans="1:8" x14ac:dyDescent="0.2">
      <c r="D28" s="95"/>
      <c r="E28" s="94"/>
      <c r="F28" s="93"/>
      <c r="G28" s="91"/>
    </row>
    <row r="29" spans="1:8" x14ac:dyDescent="0.2">
      <c r="D29" s="95"/>
      <c r="E29" s="94"/>
      <c r="F29" s="93"/>
      <c r="G29" s="91"/>
    </row>
    <row r="30" spans="1:8" x14ac:dyDescent="0.2">
      <c r="D30" s="95"/>
      <c r="E30" s="94"/>
      <c r="F30" s="93"/>
      <c r="G30" s="91"/>
    </row>
    <row r="31" spans="1:8" x14ac:dyDescent="0.2">
      <c r="D31" s="95"/>
      <c r="E31" s="94"/>
      <c r="F31" s="93"/>
      <c r="G31" s="91"/>
    </row>
    <row r="32" spans="1:8" x14ac:dyDescent="0.2">
      <c r="D32" s="95"/>
      <c r="E32" s="94"/>
      <c r="F32" s="93"/>
      <c r="G32" s="91"/>
    </row>
    <row r="33" spans="4:7" x14ac:dyDescent="0.2">
      <c r="D33" s="95"/>
      <c r="E33" s="94"/>
      <c r="F33" s="93"/>
      <c r="G33" s="91"/>
    </row>
    <row r="34" spans="4:7" x14ac:dyDescent="0.2">
      <c r="D34" s="95"/>
      <c r="E34" s="94"/>
      <c r="F34" s="93"/>
      <c r="G34" s="91"/>
    </row>
    <row r="35" spans="4:7" x14ac:dyDescent="0.2">
      <c r="D35" s="95"/>
      <c r="E35" s="94"/>
      <c r="F35" s="93"/>
      <c r="G35" s="91"/>
    </row>
    <row r="36" spans="4:7" x14ac:dyDescent="0.2">
      <c r="D36" s="95"/>
      <c r="E36" s="94"/>
      <c r="F36" s="93"/>
      <c r="G36" s="91"/>
    </row>
    <row r="37" spans="4:7" x14ac:dyDescent="0.2">
      <c r="D37" s="95"/>
      <c r="E37" s="94"/>
      <c r="F37" s="93"/>
      <c r="G37" s="91"/>
    </row>
    <row r="38" spans="4:7" x14ac:dyDescent="0.2">
      <c r="D38" s="95"/>
      <c r="E38" s="94"/>
      <c r="F38" s="93"/>
      <c r="G38" s="91"/>
    </row>
    <row r="39" spans="4:7" x14ac:dyDescent="0.2">
      <c r="D39" s="94"/>
      <c r="E39" s="94"/>
      <c r="F39" s="93"/>
      <c r="G39" s="91"/>
    </row>
    <row r="40" spans="4:7" x14ac:dyDescent="0.2">
      <c r="D40" s="94"/>
      <c r="E40" s="94"/>
      <c r="F40" s="93"/>
      <c r="G40" s="91"/>
    </row>
    <row r="41" spans="4:7" x14ac:dyDescent="0.2">
      <c r="F41" s="93"/>
      <c r="G41" s="91"/>
    </row>
    <row r="42" spans="4:7" x14ac:dyDescent="0.2">
      <c r="F42" s="93"/>
      <c r="G42" s="91"/>
    </row>
    <row r="43" spans="4:7" x14ac:dyDescent="0.2">
      <c r="F43" s="93"/>
      <c r="G43" s="91"/>
    </row>
    <row r="44" spans="4:7" x14ac:dyDescent="0.2">
      <c r="F44" s="93"/>
      <c r="G44" s="91"/>
    </row>
    <row r="45" spans="4:7" x14ac:dyDescent="0.2">
      <c r="F45" s="93"/>
      <c r="G45" s="91"/>
    </row>
    <row r="46" spans="4:7" x14ac:dyDescent="0.2">
      <c r="F46" s="93"/>
      <c r="G46" s="91"/>
    </row>
    <row r="47" spans="4:7" x14ac:dyDescent="0.2">
      <c r="F47" s="93"/>
      <c r="G47" s="91"/>
    </row>
    <row r="48" spans="4:7" x14ac:dyDescent="0.2">
      <c r="F48" s="93"/>
      <c r="G48" s="91"/>
    </row>
    <row r="49" spans="6:7" x14ac:dyDescent="0.2">
      <c r="F49" s="93"/>
      <c r="G49" s="91"/>
    </row>
    <row r="50" spans="6:7" x14ac:dyDescent="0.2">
      <c r="F50" s="93"/>
      <c r="G50" s="91"/>
    </row>
    <row r="51" spans="6:7" x14ac:dyDescent="0.2">
      <c r="F51" s="93"/>
      <c r="G51" s="91"/>
    </row>
    <row r="52" spans="6:7" x14ac:dyDescent="0.2">
      <c r="F52" s="93"/>
      <c r="G52" s="91"/>
    </row>
    <row r="53" spans="6:7" x14ac:dyDescent="0.2">
      <c r="F53" s="93"/>
      <c r="G53" s="91"/>
    </row>
    <row r="54" spans="6:7" x14ac:dyDescent="0.2">
      <c r="F54" s="93"/>
      <c r="G54" s="91"/>
    </row>
    <row r="55" spans="6:7" x14ac:dyDescent="0.2">
      <c r="F55" s="93"/>
      <c r="G55" s="91"/>
    </row>
    <row r="56" spans="6:7" x14ac:dyDescent="0.2">
      <c r="F56" s="93"/>
      <c r="G56" s="91"/>
    </row>
    <row r="57" spans="6:7" x14ac:dyDescent="0.2">
      <c r="F57" s="93"/>
      <c r="G57" s="91"/>
    </row>
    <row r="58" spans="6:7" x14ac:dyDescent="0.2">
      <c r="F58" s="93"/>
      <c r="G58" s="91"/>
    </row>
    <row r="59" spans="6:7" x14ac:dyDescent="0.2">
      <c r="F59" s="93"/>
      <c r="G59" s="91"/>
    </row>
    <row r="60" spans="6:7" x14ac:dyDescent="0.2">
      <c r="F60" s="93"/>
      <c r="G60" s="91"/>
    </row>
    <row r="61" spans="6:7" x14ac:dyDescent="0.2">
      <c r="F61" s="93"/>
      <c r="G61" s="91"/>
    </row>
    <row r="62" spans="6:7" x14ac:dyDescent="0.2">
      <c r="F62" s="93"/>
      <c r="G62" s="91"/>
    </row>
    <row r="63" spans="6:7" x14ac:dyDescent="0.2">
      <c r="F63" s="93"/>
      <c r="G63" s="91"/>
    </row>
    <row r="64" spans="6:7" x14ac:dyDescent="0.2">
      <c r="F64" s="93"/>
      <c r="G64" s="91"/>
    </row>
    <row r="65" spans="6:7" x14ac:dyDescent="0.2">
      <c r="F65" s="93"/>
      <c r="G65" s="91"/>
    </row>
    <row r="66" spans="6:7" x14ac:dyDescent="0.2">
      <c r="F66" s="93"/>
      <c r="G66" s="91"/>
    </row>
    <row r="67" spans="6:7" x14ac:dyDescent="0.2">
      <c r="F67" s="93"/>
      <c r="G67" s="91"/>
    </row>
    <row r="68" spans="6:7" x14ac:dyDescent="0.2">
      <c r="F68" s="93"/>
      <c r="G68" s="91"/>
    </row>
    <row r="69" spans="6:7" x14ac:dyDescent="0.2">
      <c r="F69" s="93"/>
      <c r="G69" s="91"/>
    </row>
    <row r="70" spans="6:7" x14ac:dyDescent="0.2">
      <c r="F70" s="93"/>
      <c r="G70" s="91"/>
    </row>
    <row r="71" spans="6:7" x14ac:dyDescent="0.2">
      <c r="F71" s="93"/>
      <c r="G71" s="91"/>
    </row>
    <row r="72" spans="6:7" x14ac:dyDescent="0.2">
      <c r="F72" s="93"/>
      <c r="G72" s="91"/>
    </row>
    <row r="73" spans="6:7" x14ac:dyDescent="0.2">
      <c r="F73" s="93"/>
      <c r="G73" s="91"/>
    </row>
    <row r="74" spans="6:7" x14ac:dyDescent="0.2">
      <c r="F74" s="93"/>
      <c r="G74" s="91"/>
    </row>
    <row r="75" spans="6:7" x14ac:dyDescent="0.2">
      <c r="F75" s="93"/>
      <c r="G75" s="91"/>
    </row>
    <row r="76" spans="6:7" x14ac:dyDescent="0.2">
      <c r="F76" s="93"/>
      <c r="G76" s="91"/>
    </row>
    <row r="77" spans="6:7" x14ac:dyDescent="0.2">
      <c r="F77" s="93"/>
      <c r="G77" s="91"/>
    </row>
    <row r="78" spans="6:7" x14ac:dyDescent="0.2">
      <c r="F78" s="93"/>
      <c r="G78" s="91"/>
    </row>
    <row r="79" spans="6:7" x14ac:dyDescent="0.2">
      <c r="F79" s="93"/>
      <c r="G79" s="91"/>
    </row>
    <row r="80" spans="6:7" x14ac:dyDescent="0.2">
      <c r="F80" s="93"/>
      <c r="G80" s="91"/>
    </row>
    <row r="81" spans="6:7" x14ac:dyDescent="0.2">
      <c r="F81" s="93"/>
      <c r="G81" s="91"/>
    </row>
    <row r="82" spans="6:7" x14ac:dyDescent="0.2">
      <c r="F82" s="93"/>
      <c r="G82" s="91"/>
    </row>
    <row r="83" spans="6:7" x14ac:dyDescent="0.2">
      <c r="F83" s="93"/>
      <c r="G83" s="91"/>
    </row>
    <row r="84" spans="6:7" x14ac:dyDescent="0.2">
      <c r="F84" s="93"/>
      <c r="G84" s="91"/>
    </row>
    <row r="85" spans="6:7" x14ac:dyDescent="0.2">
      <c r="F85" s="93"/>
      <c r="G85" s="91"/>
    </row>
    <row r="86" spans="6:7" x14ac:dyDescent="0.2">
      <c r="F86" s="93"/>
      <c r="G86" s="91"/>
    </row>
    <row r="87" spans="6:7" x14ac:dyDescent="0.2">
      <c r="F87" s="93"/>
      <c r="G87" s="91"/>
    </row>
    <row r="88" spans="6:7" x14ac:dyDescent="0.2">
      <c r="F88" s="93"/>
      <c r="G88" s="91"/>
    </row>
    <row r="89" spans="6:7" x14ac:dyDescent="0.2">
      <c r="F89" s="93"/>
      <c r="G89" s="91"/>
    </row>
    <row r="90" spans="6:7" x14ac:dyDescent="0.2">
      <c r="F90" s="93"/>
      <c r="G90" s="91"/>
    </row>
    <row r="91" spans="6:7" x14ac:dyDescent="0.2">
      <c r="F91" s="93"/>
      <c r="G91" s="91"/>
    </row>
    <row r="92" spans="6:7" x14ac:dyDescent="0.2">
      <c r="F92" s="93"/>
      <c r="G92" s="91"/>
    </row>
    <row r="93" spans="6:7" x14ac:dyDescent="0.2">
      <c r="F93" s="93"/>
      <c r="G93" s="91"/>
    </row>
    <row r="94" spans="6:7" x14ac:dyDescent="0.2">
      <c r="F94" s="93"/>
      <c r="G94" s="91"/>
    </row>
    <row r="95" spans="6:7" x14ac:dyDescent="0.2">
      <c r="F95" s="93"/>
      <c r="G95" s="91"/>
    </row>
    <row r="96" spans="6:7" x14ac:dyDescent="0.2">
      <c r="F96" s="93"/>
      <c r="G96" s="91"/>
    </row>
    <row r="97" spans="6:7" x14ac:dyDescent="0.2">
      <c r="F97" s="93"/>
      <c r="G97" s="91"/>
    </row>
    <row r="98" spans="6:7" x14ac:dyDescent="0.2">
      <c r="F98" s="93"/>
      <c r="G98" s="91"/>
    </row>
    <row r="99" spans="6:7" x14ac:dyDescent="0.2">
      <c r="F99" s="93"/>
      <c r="G99" s="91"/>
    </row>
    <row r="100" spans="6:7" x14ac:dyDescent="0.2">
      <c r="F100" s="93"/>
      <c r="G100" s="91"/>
    </row>
    <row r="101" spans="6:7" x14ac:dyDescent="0.2">
      <c r="F101" s="93"/>
      <c r="G101" s="91"/>
    </row>
    <row r="102" spans="6:7" x14ac:dyDescent="0.2">
      <c r="F102" s="93"/>
      <c r="G102" s="91"/>
    </row>
    <row r="103" spans="6:7" x14ac:dyDescent="0.2">
      <c r="F103" s="93"/>
      <c r="G103" s="91"/>
    </row>
    <row r="104" spans="6:7" x14ac:dyDescent="0.2">
      <c r="F104" s="93"/>
      <c r="G104" s="91"/>
    </row>
    <row r="105" spans="6:7" x14ac:dyDescent="0.2">
      <c r="F105" s="93"/>
      <c r="G105" s="91"/>
    </row>
    <row r="106" spans="6:7" x14ac:dyDescent="0.2">
      <c r="F106" s="93"/>
      <c r="G106" s="91"/>
    </row>
    <row r="107" spans="6:7" x14ac:dyDescent="0.2">
      <c r="F107" s="93"/>
      <c r="G107" s="91"/>
    </row>
    <row r="108" spans="6:7" x14ac:dyDescent="0.2">
      <c r="F108" s="93"/>
      <c r="G108" s="91"/>
    </row>
    <row r="109" spans="6:7" x14ac:dyDescent="0.2">
      <c r="F109" s="93"/>
      <c r="G109" s="91"/>
    </row>
    <row r="110" spans="6:7" x14ac:dyDescent="0.2">
      <c r="F110" s="93"/>
      <c r="G110" s="91"/>
    </row>
    <row r="111" spans="6:7" x14ac:dyDescent="0.2">
      <c r="F111" s="93"/>
      <c r="G111" s="91"/>
    </row>
    <row r="112" spans="6:7" x14ac:dyDescent="0.2">
      <c r="F112" s="93"/>
      <c r="G112" s="91"/>
    </row>
    <row r="113" spans="6:7" x14ac:dyDescent="0.2">
      <c r="F113" s="93"/>
      <c r="G113" s="91"/>
    </row>
    <row r="114" spans="6:7" x14ac:dyDescent="0.2">
      <c r="F114" s="93"/>
      <c r="G114" s="91"/>
    </row>
    <row r="115" spans="6:7" x14ac:dyDescent="0.2">
      <c r="F115" s="93"/>
      <c r="G115" s="91"/>
    </row>
    <row r="116" spans="6:7" x14ac:dyDescent="0.2">
      <c r="F116" s="93"/>
      <c r="G116" s="91"/>
    </row>
    <row r="117" spans="6:7" x14ac:dyDescent="0.2">
      <c r="F117" s="93"/>
      <c r="G117" s="91"/>
    </row>
    <row r="118" spans="6:7" x14ac:dyDescent="0.2">
      <c r="F118" s="93"/>
      <c r="G118" s="91"/>
    </row>
    <row r="119" spans="6:7" x14ac:dyDescent="0.2">
      <c r="F119" s="93"/>
      <c r="G119" s="91"/>
    </row>
    <row r="120" spans="6:7" x14ac:dyDescent="0.2">
      <c r="F120" s="93"/>
      <c r="G120" s="91"/>
    </row>
    <row r="121" spans="6:7" x14ac:dyDescent="0.2">
      <c r="F121" s="93"/>
      <c r="G121" s="91"/>
    </row>
    <row r="122" spans="6:7" x14ac:dyDescent="0.2">
      <c r="F122" s="93"/>
      <c r="G122" s="91"/>
    </row>
    <row r="123" spans="6:7" x14ac:dyDescent="0.2">
      <c r="F123" s="93"/>
      <c r="G123" s="91"/>
    </row>
    <row r="124" spans="6:7" x14ac:dyDescent="0.2">
      <c r="F124" s="93"/>
      <c r="G124" s="91"/>
    </row>
    <row r="125" spans="6:7" x14ac:dyDescent="0.2">
      <c r="F125" s="93"/>
      <c r="G125" s="91"/>
    </row>
    <row r="126" spans="6:7" x14ac:dyDescent="0.2">
      <c r="F126" s="93"/>
      <c r="G126" s="91"/>
    </row>
    <row r="127" spans="6:7" x14ac:dyDescent="0.2">
      <c r="F127" s="93"/>
      <c r="G127" s="91"/>
    </row>
    <row r="128" spans="6:7" x14ac:dyDescent="0.2">
      <c r="F128" s="93"/>
      <c r="G128" s="91"/>
    </row>
    <row r="129" spans="6:7" x14ac:dyDescent="0.2">
      <c r="F129" s="93"/>
      <c r="G129" s="91"/>
    </row>
    <row r="130" spans="6:7" x14ac:dyDescent="0.2">
      <c r="F130" s="93"/>
      <c r="G130" s="91"/>
    </row>
    <row r="131" spans="6:7" x14ac:dyDescent="0.2">
      <c r="F131" s="93"/>
      <c r="G131" s="91"/>
    </row>
    <row r="132" spans="6:7" x14ac:dyDescent="0.2">
      <c r="F132" s="93"/>
      <c r="G132" s="91"/>
    </row>
    <row r="133" spans="6:7" x14ac:dyDescent="0.2">
      <c r="F133" s="93"/>
      <c r="G133" s="91"/>
    </row>
    <row r="134" spans="6:7" x14ac:dyDescent="0.2">
      <c r="F134" s="93"/>
      <c r="G134" s="91"/>
    </row>
    <row r="135" spans="6:7" x14ac:dyDescent="0.2">
      <c r="F135" s="93"/>
      <c r="G135" s="91"/>
    </row>
    <row r="136" spans="6:7" x14ac:dyDescent="0.2">
      <c r="F136" s="93"/>
      <c r="G136" s="91"/>
    </row>
    <row r="137" spans="6:7" x14ac:dyDescent="0.2">
      <c r="F137" s="93"/>
      <c r="G137" s="91"/>
    </row>
    <row r="138" spans="6:7" x14ac:dyDescent="0.2">
      <c r="F138" s="93"/>
      <c r="G138" s="91"/>
    </row>
    <row r="139" spans="6:7" x14ac:dyDescent="0.2">
      <c r="F139" s="93"/>
      <c r="G139" s="91"/>
    </row>
    <row r="140" spans="6:7" x14ac:dyDescent="0.2">
      <c r="F140" s="93"/>
      <c r="G140" s="91"/>
    </row>
    <row r="141" spans="6:7" x14ac:dyDescent="0.2">
      <c r="F141" s="93"/>
      <c r="G141" s="91"/>
    </row>
    <row r="142" spans="6:7" x14ac:dyDescent="0.2">
      <c r="F142" s="93"/>
      <c r="G142" s="91"/>
    </row>
    <row r="143" spans="6:7" x14ac:dyDescent="0.2">
      <c r="F143" s="93"/>
      <c r="G143" s="91"/>
    </row>
    <row r="144" spans="6:7" x14ac:dyDescent="0.2">
      <c r="F144" s="93"/>
      <c r="G144" s="91"/>
    </row>
    <row r="145" spans="6:7" x14ac:dyDescent="0.2">
      <c r="F145" s="93"/>
      <c r="G145" s="91"/>
    </row>
    <row r="146" spans="6:7" x14ac:dyDescent="0.2">
      <c r="F146" s="93"/>
      <c r="G146" s="91"/>
    </row>
    <row r="147" spans="6:7" x14ac:dyDescent="0.2">
      <c r="F147" s="93"/>
      <c r="G147" s="91"/>
    </row>
    <row r="148" spans="6:7" x14ac:dyDescent="0.2">
      <c r="F148" s="93"/>
      <c r="G148" s="91"/>
    </row>
    <row r="149" spans="6:7" x14ac:dyDescent="0.2">
      <c r="F149" s="93"/>
      <c r="G149" s="91"/>
    </row>
    <row r="150" spans="6:7" x14ac:dyDescent="0.2">
      <c r="F150" s="93"/>
      <c r="G150" s="91"/>
    </row>
    <row r="151" spans="6:7" x14ac:dyDescent="0.2">
      <c r="F151" s="93"/>
      <c r="G151" s="91"/>
    </row>
    <row r="152" spans="6:7" x14ac:dyDescent="0.2">
      <c r="F152" s="93"/>
      <c r="G152" s="91"/>
    </row>
    <row r="153" spans="6:7" x14ac:dyDescent="0.2">
      <c r="F153" s="93"/>
      <c r="G153" s="91"/>
    </row>
    <row r="154" spans="6:7" x14ac:dyDescent="0.2">
      <c r="F154" s="93"/>
      <c r="G154" s="91"/>
    </row>
    <row r="155" spans="6:7" x14ac:dyDescent="0.2">
      <c r="F155" s="93"/>
      <c r="G155" s="91"/>
    </row>
    <row r="156" spans="6:7" x14ac:dyDescent="0.2">
      <c r="F156" s="93"/>
      <c r="G156" s="91"/>
    </row>
    <row r="157" spans="6:7" x14ac:dyDescent="0.2">
      <c r="F157" s="93"/>
      <c r="G157" s="91"/>
    </row>
    <row r="158" spans="6:7" x14ac:dyDescent="0.2">
      <c r="F158" s="93"/>
      <c r="G158" s="91"/>
    </row>
    <row r="159" spans="6:7" x14ac:dyDescent="0.2">
      <c r="F159" s="93"/>
      <c r="G159" s="91"/>
    </row>
    <row r="160" spans="6:7" x14ac:dyDescent="0.2">
      <c r="F160" s="93"/>
      <c r="G160" s="91"/>
    </row>
    <row r="161" spans="6:7" x14ac:dyDescent="0.2">
      <c r="F161" s="93"/>
      <c r="G161" s="91"/>
    </row>
    <row r="162" spans="6:7" x14ac:dyDescent="0.2">
      <c r="F162" s="93"/>
      <c r="G162" s="91"/>
    </row>
    <row r="163" spans="6:7" x14ac:dyDescent="0.2">
      <c r="F163" s="93"/>
      <c r="G163" s="91"/>
    </row>
    <row r="164" spans="6:7" x14ac:dyDescent="0.2">
      <c r="F164" s="93"/>
      <c r="G164" s="91"/>
    </row>
    <row r="165" spans="6:7" x14ac:dyDescent="0.2">
      <c r="F165" s="93"/>
      <c r="G165" s="91"/>
    </row>
    <row r="166" spans="6:7" x14ac:dyDescent="0.2">
      <c r="F166" s="93"/>
      <c r="G166" s="91"/>
    </row>
    <row r="167" spans="6:7" x14ac:dyDescent="0.2">
      <c r="F167" s="93"/>
      <c r="G167" s="91"/>
    </row>
    <row r="168" spans="6:7" x14ac:dyDescent="0.2">
      <c r="F168" s="93"/>
      <c r="G168" s="91"/>
    </row>
    <row r="169" spans="6:7" x14ac:dyDescent="0.2">
      <c r="F169" s="93"/>
      <c r="G169" s="91"/>
    </row>
    <row r="170" spans="6:7" x14ac:dyDescent="0.2">
      <c r="F170" s="93"/>
      <c r="G170" s="91"/>
    </row>
    <row r="171" spans="6:7" x14ac:dyDescent="0.2">
      <c r="F171" s="93"/>
      <c r="G171" s="91"/>
    </row>
    <row r="172" spans="6:7" x14ac:dyDescent="0.2">
      <c r="F172" s="93"/>
      <c r="G172" s="91"/>
    </row>
    <row r="173" spans="6:7" x14ac:dyDescent="0.2">
      <c r="F173" s="93"/>
      <c r="G173" s="91"/>
    </row>
    <row r="174" spans="6:7" x14ac:dyDescent="0.2">
      <c r="F174" s="93"/>
      <c r="G174" s="91"/>
    </row>
    <row r="175" spans="6:7" x14ac:dyDescent="0.2">
      <c r="F175" s="93"/>
      <c r="G175" s="91"/>
    </row>
    <row r="176" spans="6:7" x14ac:dyDescent="0.2">
      <c r="F176" s="93"/>
      <c r="G176" s="91"/>
    </row>
    <row r="177" spans="6:7" x14ac:dyDescent="0.2">
      <c r="F177" s="93"/>
      <c r="G177" s="91"/>
    </row>
    <row r="178" spans="6:7" x14ac:dyDescent="0.2">
      <c r="F178" s="93"/>
      <c r="G178" s="91"/>
    </row>
    <row r="179" spans="6:7" x14ac:dyDescent="0.2">
      <c r="F179" s="93"/>
      <c r="G179" s="91"/>
    </row>
    <row r="180" spans="6:7" x14ac:dyDescent="0.2">
      <c r="F180" s="93"/>
      <c r="G180" s="91"/>
    </row>
    <row r="181" spans="6:7" x14ac:dyDescent="0.2">
      <c r="F181" s="93"/>
      <c r="G181" s="91"/>
    </row>
    <row r="182" spans="6:7" x14ac:dyDescent="0.2">
      <c r="F182" s="93"/>
      <c r="G182" s="91"/>
    </row>
    <row r="183" spans="6:7" x14ac:dyDescent="0.2">
      <c r="F183" s="93"/>
      <c r="G183" s="91"/>
    </row>
    <row r="184" spans="6:7" x14ac:dyDescent="0.2">
      <c r="F184" s="93"/>
      <c r="G184" s="91"/>
    </row>
    <row r="185" spans="6:7" x14ac:dyDescent="0.2">
      <c r="F185" s="93"/>
      <c r="G185" s="91"/>
    </row>
    <row r="186" spans="6:7" x14ac:dyDescent="0.2">
      <c r="F186" s="93"/>
      <c r="G186" s="91"/>
    </row>
    <row r="187" spans="6:7" x14ac:dyDescent="0.2">
      <c r="F187" s="93"/>
      <c r="G187" s="91"/>
    </row>
    <row r="188" spans="6:7" x14ac:dyDescent="0.2">
      <c r="F188" s="93"/>
      <c r="G188" s="91"/>
    </row>
    <row r="189" spans="6:7" x14ac:dyDescent="0.2">
      <c r="F189" s="93"/>
      <c r="G189" s="91"/>
    </row>
    <row r="190" spans="6:7" x14ac:dyDescent="0.2">
      <c r="F190" s="93"/>
      <c r="G190" s="91"/>
    </row>
    <row r="191" spans="6:7" x14ac:dyDescent="0.2">
      <c r="F191" s="93"/>
      <c r="G191" s="91"/>
    </row>
    <row r="192" spans="6:7" x14ac:dyDescent="0.2">
      <c r="F192" s="93"/>
      <c r="G192" s="91"/>
    </row>
    <row r="193" spans="6:7" x14ac:dyDescent="0.2">
      <c r="F193" s="93"/>
      <c r="G193" s="91"/>
    </row>
    <row r="194" spans="6:7" x14ac:dyDescent="0.2">
      <c r="F194" s="93"/>
      <c r="G194" s="91"/>
    </row>
    <row r="195" spans="6:7" x14ac:dyDescent="0.2">
      <c r="F195" s="93"/>
      <c r="G195" s="91"/>
    </row>
    <row r="196" spans="6:7" x14ac:dyDescent="0.2">
      <c r="F196" s="93"/>
      <c r="G196" s="91"/>
    </row>
    <row r="197" spans="6:7" x14ac:dyDescent="0.2">
      <c r="F197" s="93"/>
      <c r="G197" s="91"/>
    </row>
    <row r="198" spans="6:7" x14ac:dyDescent="0.2">
      <c r="F198" s="93"/>
      <c r="G198" s="91"/>
    </row>
    <row r="199" spans="6:7" x14ac:dyDescent="0.2">
      <c r="F199" s="93"/>
      <c r="G199" s="91"/>
    </row>
    <row r="200" spans="6:7" x14ac:dyDescent="0.2">
      <c r="F200" s="93"/>
      <c r="G200" s="91"/>
    </row>
    <row r="201" spans="6:7" x14ac:dyDescent="0.2">
      <c r="F201" s="93"/>
      <c r="G201" s="91"/>
    </row>
    <row r="202" spans="6:7" x14ac:dyDescent="0.2">
      <c r="F202" s="93"/>
      <c r="G202" s="91"/>
    </row>
    <row r="203" spans="6:7" x14ac:dyDescent="0.2">
      <c r="F203" s="93"/>
      <c r="G203" s="91"/>
    </row>
    <row r="204" spans="6:7" x14ac:dyDescent="0.2">
      <c r="F204" s="93"/>
      <c r="G204" s="91"/>
    </row>
    <row r="205" spans="6:7" x14ac:dyDescent="0.2">
      <c r="F205" s="93"/>
      <c r="G205" s="91"/>
    </row>
    <row r="206" spans="6:7" x14ac:dyDescent="0.2">
      <c r="F206" s="93"/>
      <c r="G206" s="91"/>
    </row>
    <row r="207" spans="6:7" x14ac:dyDescent="0.2">
      <c r="F207" s="93"/>
      <c r="G207" s="91"/>
    </row>
    <row r="208" spans="6:7" x14ac:dyDescent="0.2">
      <c r="F208" s="93"/>
      <c r="G208" s="91"/>
    </row>
    <row r="209" spans="6:7" x14ac:dyDescent="0.2">
      <c r="F209" s="93"/>
      <c r="G209" s="91"/>
    </row>
    <row r="210" spans="6:7" x14ac:dyDescent="0.2">
      <c r="F210" s="93"/>
      <c r="G210" s="91"/>
    </row>
    <row r="211" spans="6:7" x14ac:dyDescent="0.2">
      <c r="F211" s="93"/>
      <c r="G211" s="91"/>
    </row>
    <row r="212" spans="6:7" x14ac:dyDescent="0.2">
      <c r="F212" s="93"/>
      <c r="G212" s="91"/>
    </row>
    <row r="213" spans="6:7" x14ac:dyDescent="0.2">
      <c r="F213" s="93"/>
      <c r="G213" s="91"/>
    </row>
    <row r="214" spans="6:7" x14ac:dyDescent="0.2">
      <c r="F214" s="93"/>
      <c r="G214" s="91"/>
    </row>
    <row r="215" spans="6:7" x14ac:dyDescent="0.2">
      <c r="F215" s="93"/>
      <c r="G215" s="91"/>
    </row>
    <row r="216" spans="6:7" x14ac:dyDescent="0.2">
      <c r="F216" s="93"/>
      <c r="G216" s="91"/>
    </row>
    <row r="217" spans="6:7" x14ac:dyDescent="0.2">
      <c r="F217" s="93"/>
      <c r="G217" s="91"/>
    </row>
    <row r="218" spans="6:7" x14ac:dyDescent="0.2">
      <c r="F218" s="93"/>
      <c r="G218" s="91"/>
    </row>
    <row r="219" spans="6:7" x14ac:dyDescent="0.2">
      <c r="F219" s="93"/>
      <c r="G219" s="91"/>
    </row>
    <row r="220" spans="6:7" x14ac:dyDescent="0.2">
      <c r="F220" s="93"/>
      <c r="G220" s="91"/>
    </row>
    <row r="221" spans="6:7" x14ac:dyDescent="0.2">
      <c r="F221" s="93"/>
      <c r="G221" s="91"/>
    </row>
    <row r="222" spans="6:7" x14ac:dyDescent="0.2">
      <c r="F222" s="93"/>
      <c r="G222" s="91"/>
    </row>
    <row r="223" spans="6:7" x14ac:dyDescent="0.2">
      <c r="F223" s="93"/>
      <c r="G223" s="91"/>
    </row>
    <row r="224" spans="6:7" x14ac:dyDescent="0.2">
      <c r="F224" s="93"/>
      <c r="G224" s="91"/>
    </row>
    <row r="225" spans="4:7" x14ac:dyDescent="0.2">
      <c r="F225" s="93"/>
      <c r="G225" s="91"/>
    </row>
    <row r="226" spans="4:7" x14ac:dyDescent="0.2">
      <c r="F226" s="93"/>
      <c r="G226" s="91"/>
    </row>
    <row r="227" spans="4:7" x14ac:dyDescent="0.2">
      <c r="F227" s="93"/>
      <c r="G227" s="91"/>
    </row>
    <row r="228" spans="4:7" x14ac:dyDescent="0.2">
      <c r="F228" s="93"/>
      <c r="G228" s="91"/>
    </row>
    <row r="229" spans="4:7" x14ac:dyDescent="0.2">
      <c r="D229" s="94"/>
      <c r="F229" s="93"/>
      <c r="G229" s="91"/>
    </row>
    <row r="230" spans="4:7" x14ac:dyDescent="0.2">
      <c r="D230" s="94"/>
      <c r="F230" s="93"/>
      <c r="G230" s="91"/>
    </row>
    <row r="231" spans="4:7" x14ac:dyDescent="0.2">
      <c r="F231" s="93"/>
      <c r="G231" s="91"/>
    </row>
    <row r="232" spans="4:7" x14ac:dyDescent="0.2">
      <c r="F232" s="93"/>
      <c r="G232" s="91"/>
    </row>
    <row r="233" spans="4:7" x14ac:dyDescent="0.2">
      <c r="F233" s="93"/>
      <c r="G233" s="91"/>
    </row>
    <row r="234" spans="4:7" x14ac:dyDescent="0.2">
      <c r="F234" s="93"/>
      <c r="G234" s="91"/>
    </row>
    <row r="235" spans="4:7" x14ac:dyDescent="0.2">
      <c r="F235" s="93"/>
      <c r="G235" s="91"/>
    </row>
    <row r="236" spans="4:7" x14ac:dyDescent="0.2">
      <c r="F236" s="93"/>
      <c r="G236" s="91"/>
    </row>
    <row r="237" spans="4:7" x14ac:dyDescent="0.2">
      <c r="F237" s="93"/>
      <c r="G237" s="91"/>
    </row>
    <row r="238" spans="4:7" x14ac:dyDescent="0.2">
      <c r="F238" s="93"/>
      <c r="G238" s="91"/>
    </row>
    <row r="239" spans="4:7" x14ac:dyDescent="0.2">
      <c r="F239" s="93"/>
      <c r="G239" s="91"/>
    </row>
    <row r="240" spans="4:7" x14ac:dyDescent="0.2">
      <c r="F240" s="93"/>
      <c r="G240" s="91"/>
    </row>
    <row r="241" spans="6:7" x14ac:dyDescent="0.2">
      <c r="F241" s="93"/>
      <c r="G241" s="91"/>
    </row>
    <row r="242" spans="6:7" x14ac:dyDescent="0.2">
      <c r="F242" s="93"/>
      <c r="G242" s="91"/>
    </row>
    <row r="243" spans="6:7" x14ac:dyDescent="0.2">
      <c r="F243" s="93"/>
      <c r="G243" s="91"/>
    </row>
    <row r="244" spans="6:7" x14ac:dyDescent="0.2">
      <c r="F244" s="93"/>
      <c r="G244" s="91"/>
    </row>
    <row r="245" spans="6:7" x14ac:dyDescent="0.2">
      <c r="F245" s="93"/>
      <c r="G245" s="91"/>
    </row>
    <row r="246" spans="6:7" x14ac:dyDescent="0.2">
      <c r="F246" s="93"/>
      <c r="G246" s="91"/>
    </row>
    <row r="247" spans="6:7" x14ac:dyDescent="0.2">
      <c r="F247" s="93"/>
      <c r="G247" s="91"/>
    </row>
    <row r="248" spans="6:7" x14ac:dyDescent="0.2">
      <c r="F248" s="93"/>
      <c r="G248" s="91"/>
    </row>
    <row r="249" spans="6:7" x14ac:dyDescent="0.2">
      <c r="F249" s="93"/>
      <c r="G249" s="91"/>
    </row>
    <row r="250" spans="6:7" x14ac:dyDescent="0.2">
      <c r="F250" s="93"/>
      <c r="G250" s="9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de Leg" error="Sólo puedes ingresar b (bought) o s (sold).">
          <x14:formula1>
            <xm:f>Auxiliar!$G$5:$G$6</xm:f>
          </x14:formula1>
          <xm:sqref>E9:E1048576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R156"/>
  <sheetViews>
    <sheetView showGridLines="0" topLeftCell="C4" zoomScaleNormal="100" workbookViewId="0">
      <selection activeCell="E9" sqref="E9"/>
    </sheetView>
  </sheetViews>
  <sheetFormatPr baseColWidth="10" defaultColWidth="2.125" defaultRowHeight="14.25" customHeight="1" outlineLevelRow="1" outlineLevelCol="1" x14ac:dyDescent="0.2"/>
  <cols>
    <col min="1" max="1" width="15.5" style="2" hidden="1" customWidth="1" outlineLevel="1"/>
    <col min="2" max="2" width="13.75" style="2" hidden="1" customWidth="1" outlineLevel="1"/>
    <col min="3" max="3" width="2.625" style="30" customWidth="1" collapsed="1"/>
    <col min="4" max="4" width="9.125" style="56" customWidth="1" collapsed="1"/>
    <col min="5" max="5" width="9.125" style="59" customWidth="1"/>
    <col min="6" max="7" width="12.625" style="56" customWidth="1"/>
    <col min="8" max="8" width="2.625" style="30" customWidth="1"/>
    <col min="9" max="9" width="12.625" style="50" customWidth="1"/>
    <col min="10" max="10" width="9.125" style="81" customWidth="1"/>
    <col min="11" max="11" width="9.125" style="55" customWidth="1"/>
    <col min="12" max="12" width="8.625" style="62" customWidth="1"/>
    <col min="13" max="13" width="10.25" style="39" customWidth="1"/>
    <col min="14" max="14" width="10.25" style="1" customWidth="1"/>
    <col min="15" max="15" width="12.625" style="1" customWidth="1"/>
    <col min="16" max="16384" width="2.125" style="1"/>
  </cols>
  <sheetData>
    <row r="1" spans="1:18" s="2" customFormat="1" hidden="1" outlineLevel="1" x14ac:dyDescent="0.2">
      <c r="A1" s="2" t="str">
        <f ca="1">nameOfThisSheet()</f>
        <v>Mkt</v>
      </c>
      <c r="C1" s="47"/>
    </row>
    <row r="2" spans="1:18" s="2" customFormat="1" hidden="1" outlineLevel="1" x14ac:dyDescent="0.2">
      <c r="C2" s="47"/>
    </row>
    <row r="3" spans="1:18" s="69" customFormat="1" ht="10.5" hidden="1" customHeight="1" outlineLevel="1" x14ac:dyDescent="0.2">
      <c r="C3" s="44"/>
      <c r="D3" s="68"/>
      <c r="E3" s="68"/>
      <c r="F3" s="68"/>
      <c r="G3" s="68"/>
      <c r="H3" s="68"/>
      <c r="I3" s="68"/>
      <c r="J3" s="68"/>
      <c r="K3" s="68"/>
      <c r="L3" s="70"/>
      <c r="M3" s="70"/>
      <c r="N3" s="70"/>
      <c r="O3" s="70"/>
      <c r="P3" s="70"/>
      <c r="Q3" s="70"/>
      <c r="R3" s="70"/>
    </row>
    <row r="4" spans="1:18" ht="10.5" customHeight="1" collapsed="1" x14ac:dyDescent="0.2">
      <c r="C4" s="48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8" ht="42" customHeight="1" x14ac:dyDescent="0.2">
      <c r="C5" s="48" t="s">
        <v>121</v>
      </c>
      <c r="D5" s="30"/>
      <c r="E5" s="30"/>
      <c r="F5" s="58"/>
      <c r="G5" s="58"/>
      <c r="I5" s="30"/>
      <c r="J5" s="30"/>
      <c r="K5" s="30"/>
    </row>
    <row r="6" spans="1:18" ht="14.25" customHeight="1" x14ac:dyDescent="0.2">
      <c r="A6" s="2" t="s">
        <v>84</v>
      </c>
      <c r="B6" s="2">
        <f ca="1">ROW(INDIRECT("originFX"))</f>
        <v>9</v>
      </c>
      <c r="D6" s="30"/>
      <c r="E6" s="30"/>
      <c r="F6" s="58"/>
      <c r="G6" s="58"/>
      <c r="I6" s="30"/>
      <c r="J6" s="30"/>
      <c r="K6" s="30"/>
    </row>
    <row r="7" spans="1:18" x14ac:dyDescent="0.2">
      <c r="A7" s="2" t="s">
        <v>85</v>
      </c>
      <c r="B7" s="2">
        <f ca="1">COLUMN(INDIRECT("originFX"))</f>
        <v>4</v>
      </c>
      <c r="D7" s="30"/>
      <c r="E7" s="30"/>
      <c r="F7" s="58"/>
      <c r="G7" s="58"/>
      <c r="I7" s="30"/>
      <c r="J7" s="30"/>
      <c r="K7" s="30"/>
    </row>
    <row r="8" spans="1:18" ht="18" customHeight="1" x14ac:dyDescent="0.2">
      <c r="A8" s="2" t="s">
        <v>86</v>
      </c>
      <c r="B8" s="18" t="str">
        <f ca="1">numbertoletter(B7)</f>
        <v>D</v>
      </c>
      <c r="D8" s="34" t="s">
        <v>5</v>
      </c>
      <c r="E8" s="34" t="s">
        <v>6</v>
      </c>
      <c r="F8" s="34" t="s">
        <v>27</v>
      </c>
      <c r="G8" s="34" t="s">
        <v>28</v>
      </c>
      <c r="I8" s="33" t="s">
        <v>7</v>
      </c>
      <c r="J8" s="33" t="s">
        <v>8</v>
      </c>
      <c r="K8" s="33" t="s">
        <v>9</v>
      </c>
    </row>
    <row r="9" spans="1:18" ht="14.25" customHeight="1" x14ac:dyDescent="0.2">
      <c r="A9" s="2" t="s">
        <v>87</v>
      </c>
      <c r="B9" s="18" t="str">
        <f ca="1">B8&amp;B6&amp;":"&amp;B8&amp;maxRowsValue</f>
        <v>D9:D1048576</v>
      </c>
      <c r="D9" s="56" t="s">
        <v>4</v>
      </c>
      <c r="E9" s="82">
        <v>587.77499999999998</v>
      </c>
      <c r="F9" s="56" t="s">
        <v>179</v>
      </c>
      <c r="G9" s="56" t="s">
        <v>181</v>
      </c>
      <c r="I9" s="56" t="s">
        <v>181</v>
      </c>
      <c r="J9" s="81">
        <v>8.2191781000000002E-3</v>
      </c>
      <c r="K9" s="113">
        <v>3.0412865216905772E-2</v>
      </c>
      <c r="M9" s="39">
        <f>1/(1+O9)^J9</f>
        <v>0.99975006248383735</v>
      </c>
      <c r="N9" s="1">
        <f>+-LN(M9)/J9</f>
        <v>3.0412865216905772E-2</v>
      </c>
      <c r="O9" s="1">
        <v>3.0880060624724801E-2</v>
      </c>
    </row>
    <row r="10" spans="1:18" ht="14.25" customHeight="1" x14ac:dyDescent="0.2">
      <c r="A10" s="2" t="s">
        <v>88</v>
      </c>
      <c r="B10" s="2">
        <f ca="1">COUNTA(INDIRECT(B9))</f>
        <v>3</v>
      </c>
      <c r="D10" s="56" t="s">
        <v>13</v>
      </c>
      <c r="E10" s="82">
        <v>1.2416500004253328</v>
      </c>
      <c r="F10" s="56" t="s">
        <v>180</v>
      </c>
      <c r="G10" s="56" t="s">
        <v>179</v>
      </c>
      <c r="I10" s="56" t="s">
        <v>181</v>
      </c>
      <c r="J10" s="81">
        <v>1.9178082199999998E-2</v>
      </c>
      <c r="K10" s="60">
        <v>3.0414486352454254E-2</v>
      </c>
      <c r="M10" s="39">
        <f t="shared" ref="M10:M73" si="0">1/(1+O10)^J10</f>
        <v>0.99941687856208949</v>
      </c>
      <c r="N10" s="1">
        <f t="shared" ref="N10:N73" si="1">+-LN(M10)/J10</f>
        <v>3.0414486352454254E-2</v>
      </c>
      <c r="O10" s="1">
        <v>3.0881731822398797E-2</v>
      </c>
    </row>
    <row r="11" spans="1:18" ht="14.25" customHeight="1" x14ac:dyDescent="0.25">
      <c r="A11" s="2" t="s">
        <v>89</v>
      </c>
      <c r="B11" s="19">
        <v>4</v>
      </c>
      <c r="D11" s="56" t="s">
        <v>133</v>
      </c>
      <c r="E11" s="82">
        <v>24370.74</v>
      </c>
      <c r="F11" s="56" t="s">
        <v>182</v>
      </c>
      <c r="G11" s="56" t="s">
        <v>181</v>
      </c>
      <c r="I11" s="56" t="s">
        <v>181</v>
      </c>
      <c r="J11" s="81">
        <v>3.8356164399999997E-2</v>
      </c>
      <c r="K11" s="60">
        <v>3.0421115681760036E-2</v>
      </c>
      <c r="M11" s="39">
        <f t="shared" si="0"/>
        <v>0.99883384317563861</v>
      </c>
      <c r="N11" s="1">
        <f t="shared" si="1"/>
        <v>3.0421115681760036E-2</v>
      </c>
      <c r="O11" s="1">
        <v>3.0888565899520399E-2</v>
      </c>
    </row>
    <row r="12" spans="1:18" ht="14.25" customHeight="1" x14ac:dyDescent="0.2">
      <c r="A12" s="2" t="s">
        <v>90</v>
      </c>
      <c r="B12" s="18" t="str">
        <f ca="1">B8&amp;B6&amp;":"&amp;numbertoletter(B7+B11-1)&amp;(B6+B10-1)</f>
        <v>D9:G11</v>
      </c>
      <c r="E12" s="82"/>
      <c r="I12" s="56" t="s">
        <v>181</v>
      </c>
      <c r="J12" s="81">
        <v>8.7671232900000007E-2</v>
      </c>
      <c r="K12" s="60">
        <v>3.0438168990200961E-2</v>
      </c>
      <c r="M12" s="39">
        <f t="shared" si="0"/>
        <v>0.99733500561668265</v>
      </c>
      <c r="N12" s="1">
        <f t="shared" si="1"/>
        <v>3.0438168990200961E-2</v>
      </c>
      <c r="O12" s="1">
        <v>3.09061461101021E-2</v>
      </c>
    </row>
    <row r="13" spans="1:18" ht="14.25" customHeight="1" x14ac:dyDescent="0.2">
      <c r="E13" s="82"/>
      <c r="I13" s="56" t="s">
        <v>181</v>
      </c>
      <c r="J13" s="81">
        <v>0.16712328770000001</v>
      </c>
      <c r="K13" s="60">
        <v>3.0465409812794216E-2</v>
      </c>
      <c r="M13" s="39">
        <f t="shared" si="0"/>
        <v>0.99492146016254468</v>
      </c>
      <c r="N13" s="1">
        <f t="shared" si="1"/>
        <v>3.0465409812794216E-2</v>
      </c>
      <c r="O13" s="1">
        <v>3.09342292240418E-2</v>
      </c>
    </row>
    <row r="14" spans="1:18" ht="14.25" customHeight="1" x14ac:dyDescent="0.2">
      <c r="A14" s="2" t="s">
        <v>97</v>
      </c>
      <c r="E14" s="82"/>
      <c r="I14" s="56" t="s">
        <v>181</v>
      </c>
      <c r="J14" s="81">
        <v>0.25753424660000002</v>
      </c>
      <c r="K14" s="60">
        <v>3.0496231242675923E-2</v>
      </c>
      <c r="M14" s="39">
        <f t="shared" si="0"/>
        <v>0.99217693675563001</v>
      </c>
      <c r="N14" s="1">
        <f t="shared" si="1"/>
        <v>3.0496231242675923E-2</v>
      </c>
      <c r="O14" s="1">
        <v>3.0966004580778698E-2</v>
      </c>
    </row>
    <row r="15" spans="1:18" ht="14.25" customHeight="1" x14ac:dyDescent="0.2">
      <c r="A15" s="2" t="s">
        <v>84</v>
      </c>
      <c r="B15" s="2">
        <f ca="1">ROW(INDIRECT("originCurves"))</f>
        <v>9</v>
      </c>
      <c r="I15" s="56" t="s">
        <v>181</v>
      </c>
      <c r="J15" s="81">
        <v>0.33424657530000002</v>
      </c>
      <c r="K15" s="60">
        <v>3.0437724702971933E-2</v>
      </c>
      <c r="M15" s="39">
        <f t="shared" si="0"/>
        <v>0.98987787183908593</v>
      </c>
      <c r="N15" s="1">
        <f t="shared" si="1"/>
        <v>3.0437724702971933E-2</v>
      </c>
      <c r="O15" s="1">
        <v>3.09056880917702E-2</v>
      </c>
    </row>
    <row r="16" spans="1:18" ht="14.25" customHeight="1" x14ac:dyDescent="0.2">
      <c r="A16" s="2" t="s">
        <v>85</v>
      </c>
      <c r="B16" s="2">
        <f ca="1">COLUMN(INDIRECT("originCurves"))</f>
        <v>9</v>
      </c>
      <c r="I16" s="56" t="s">
        <v>181</v>
      </c>
      <c r="J16" s="81">
        <v>0.41369863010000002</v>
      </c>
      <c r="K16" s="60">
        <v>3.0370466159166051E-2</v>
      </c>
      <c r="M16" s="39">
        <f t="shared" si="0"/>
        <v>0.98751438004149883</v>
      </c>
      <c r="N16" s="1">
        <f t="shared" si="1"/>
        <v>3.0370466159166051E-2</v>
      </c>
      <c r="O16" s="1">
        <v>3.0836353208095302E-2</v>
      </c>
    </row>
    <row r="17" spans="1:15" ht="14.25" customHeight="1" x14ac:dyDescent="0.2">
      <c r="A17" s="2" t="s">
        <v>86</v>
      </c>
      <c r="B17" s="18" t="str">
        <f ca="1">numbertoletter(B16)</f>
        <v>I</v>
      </c>
      <c r="I17" s="56" t="s">
        <v>181</v>
      </c>
      <c r="J17" s="81">
        <v>0.49589041099999998</v>
      </c>
      <c r="K17" s="60">
        <v>3.0301320420438753E-2</v>
      </c>
      <c r="M17" s="39">
        <f t="shared" si="0"/>
        <v>0.98508619479044146</v>
      </c>
      <c r="N17" s="1">
        <f t="shared" si="1"/>
        <v>3.0301320420438753E-2</v>
      </c>
      <c r="O17" s="1">
        <v>3.07650777311721E-2</v>
      </c>
    </row>
    <row r="18" spans="1:15" ht="14.25" customHeight="1" x14ac:dyDescent="0.2">
      <c r="A18" s="2" t="s">
        <v>87</v>
      </c>
      <c r="B18" s="18" t="str">
        <f ca="1">B17&amp;B15&amp;":"&amp;B17&amp;maxRowsValue</f>
        <v>I9:I1048576</v>
      </c>
      <c r="I18" s="56" t="s">
        <v>181</v>
      </c>
      <c r="J18" s="81">
        <v>0.58356164379999997</v>
      </c>
      <c r="K18" s="60">
        <v>3.0287242536086396E-2</v>
      </c>
      <c r="M18" s="39">
        <f t="shared" si="0"/>
        <v>0.98248080429724605</v>
      </c>
      <c r="N18" s="1">
        <f t="shared" si="1"/>
        <v>3.0287242536086396E-2</v>
      </c>
      <c r="O18" s="1">
        <v>3.0750566841754701E-2</v>
      </c>
    </row>
    <row r="19" spans="1:15" ht="14.25" customHeight="1" x14ac:dyDescent="0.2">
      <c r="A19" s="2" t="s">
        <v>88</v>
      </c>
      <c r="B19" s="2">
        <f ca="1">COUNTA(INDIRECT(B18))</f>
        <v>148</v>
      </c>
      <c r="I19" s="56" t="s">
        <v>181</v>
      </c>
      <c r="J19" s="81">
        <v>0.66301369860000003</v>
      </c>
      <c r="K19" s="60">
        <v>3.0282176754382887E-2</v>
      </c>
      <c r="M19" s="39">
        <f t="shared" si="0"/>
        <v>0.98012271280205043</v>
      </c>
      <c r="N19" s="1">
        <f t="shared" si="1"/>
        <v>3.0282176754382887E-2</v>
      </c>
      <c r="O19" s="1">
        <v>3.0745345297617899E-2</v>
      </c>
    </row>
    <row r="20" spans="1:15" ht="14.25" customHeight="1" x14ac:dyDescent="0.25">
      <c r="A20" s="2" t="s">
        <v>89</v>
      </c>
      <c r="B20" s="19">
        <v>3</v>
      </c>
      <c r="I20" s="56" t="s">
        <v>181</v>
      </c>
      <c r="J20" s="81">
        <v>0.74794520549999999</v>
      </c>
      <c r="K20" s="60">
        <v>3.0276765362921936E-2</v>
      </c>
      <c r="M20" s="39">
        <f t="shared" si="0"/>
        <v>0.97760912014485368</v>
      </c>
      <c r="N20" s="1">
        <f t="shared" si="1"/>
        <v>3.0276765362921936E-2</v>
      </c>
      <c r="O20" s="1">
        <v>3.0739767546149599E-2</v>
      </c>
    </row>
    <row r="21" spans="1:15" ht="14.25" customHeight="1" x14ac:dyDescent="0.2">
      <c r="A21" s="2" t="s">
        <v>90</v>
      </c>
      <c r="B21" s="18" t="str">
        <f ca="1">B17&amp;B15&amp;":"&amp;numbertoletter(B16+B20-1)&amp;(B15+B19-1)</f>
        <v>I9:K156</v>
      </c>
      <c r="I21" s="56" t="s">
        <v>181</v>
      </c>
      <c r="J21" s="81">
        <v>0.83287671230000004</v>
      </c>
      <c r="K21" s="60">
        <v>3.0300084774942396E-2</v>
      </c>
      <c r="M21" s="39">
        <f t="shared" si="0"/>
        <v>0.97507953691364946</v>
      </c>
      <c r="N21" s="1">
        <f t="shared" si="1"/>
        <v>3.0300084774942396E-2</v>
      </c>
      <c r="O21" s="1">
        <v>3.0763804071732799E-2</v>
      </c>
    </row>
    <row r="22" spans="1:15" ht="14.25" customHeight="1" x14ac:dyDescent="0.2">
      <c r="I22" s="56" t="s">
        <v>181</v>
      </c>
      <c r="J22" s="81">
        <v>0.91506849320000005</v>
      </c>
      <c r="K22" s="60">
        <v>3.0326635286688788E-2</v>
      </c>
      <c r="M22" s="39">
        <f t="shared" si="0"/>
        <v>0.97263057178525025</v>
      </c>
      <c r="N22" s="1">
        <f t="shared" si="1"/>
        <v>3.0326635286688788E-2</v>
      </c>
      <c r="O22" s="1">
        <v>3.0791171741531703E-2</v>
      </c>
    </row>
    <row r="23" spans="1:15" ht="14.25" customHeight="1" x14ac:dyDescent="0.2">
      <c r="I23" s="56" t="s">
        <v>181</v>
      </c>
      <c r="J23" s="81">
        <v>1.0054794520999999</v>
      </c>
      <c r="K23" s="60">
        <v>3.03556354495398E-2</v>
      </c>
      <c r="M23" s="39">
        <f t="shared" si="0"/>
        <v>0.96993912450151487</v>
      </c>
      <c r="N23" s="1">
        <f t="shared" si="1"/>
        <v>3.03556354495398E-2</v>
      </c>
      <c r="O23" s="1">
        <v>3.0821065286834402E-2</v>
      </c>
    </row>
    <row r="24" spans="1:15" ht="14.25" customHeight="1" x14ac:dyDescent="0.2">
      <c r="I24" s="56" t="s">
        <v>181</v>
      </c>
      <c r="J24" s="81">
        <v>1.504109589</v>
      </c>
      <c r="K24" s="60">
        <v>3.092860300945436E-2</v>
      </c>
      <c r="M24" s="39">
        <f t="shared" si="0"/>
        <v>0.95454546148881658</v>
      </c>
      <c r="N24" s="1">
        <f t="shared" si="1"/>
        <v>3.092860300945436E-2</v>
      </c>
      <c r="O24" s="1">
        <v>3.1411861554705399E-2</v>
      </c>
    </row>
    <row r="25" spans="1:15" ht="14.25" customHeight="1" x14ac:dyDescent="0.2">
      <c r="I25" s="56" t="s">
        <v>181</v>
      </c>
      <c r="J25" s="81">
        <v>2.0027397260000002</v>
      </c>
      <c r="K25" s="60">
        <v>3.2290436074186531E-2</v>
      </c>
      <c r="M25" s="39">
        <f t="shared" si="0"/>
        <v>0.93737736618584089</v>
      </c>
      <c r="N25" s="1">
        <f t="shared" si="1"/>
        <v>3.2290436074186531E-2</v>
      </c>
      <c r="O25" s="1">
        <v>3.2817429188137404E-2</v>
      </c>
    </row>
    <row r="26" spans="1:15" ht="14.25" customHeight="1" x14ac:dyDescent="0.2">
      <c r="I26" s="56" t="s">
        <v>181</v>
      </c>
      <c r="J26" s="81">
        <v>3.0027397260000002</v>
      </c>
      <c r="K26" s="60">
        <v>3.4588602341521078E-2</v>
      </c>
      <c r="M26" s="39">
        <f t="shared" si="0"/>
        <v>0.90135096373870693</v>
      </c>
      <c r="N26" s="1">
        <f t="shared" si="1"/>
        <v>3.4588602341521078E-2</v>
      </c>
      <c r="O26" s="1">
        <v>3.5193744902631101E-2</v>
      </c>
    </row>
    <row r="27" spans="1:15" ht="14.25" customHeight="1" x14ac:dyDescent="0.2">
      <c r="I27" s="56" t="s">
        <v>181</v>
      </c>
      <c r="J27" s="81">
        <v>4.0027397259999997</v>
      </c>
      <c r="K27" s="60">
        <v>3.7594755457424647E-2</v>
      </c>
      <c r="M27" s="39">
        <f t="shared" si="0"/>
        <v>0.8602931969432428</v>
      </c>
      <c r="N27" s="1">
        <f t="shared" si="1"/>
        <v>3.7594755457424647E-2</v>
      </c>
      <c r="O27" s="1">
        <v>3.8310377995502895E-2</v>
      </c>
    </row>
    <row r="28" spans="1:15" ht="14.25" customHeight="1" x14ac:dyDescent="0.2">
      <c r="I28" s="56" t="s">
        <v>181</v>
      </c>
      <c r="J28" s="81">
        <v>5.0027397259999997</v>
      </c>
      <c r="K28" s="60">
        <v>4.0514259794721875E-2</v>
      </c>
      <c r="M28" s="39">
        <f t="shared" si="0"/>
        <v>0.81653761671699621</v>
      </c>
      <c r="N28" s="1">
        <f t="shared" si="1"/>
        <v>4.0514259794721875E-2</v>
      </c>
      <c r="O28" s="1">
        <v>4.1346158979104902E-2</v>
      </c>
    </row>
    <row r="29" spans="1:15" ht="14.25" customHeight="1" x14ac:dyDescent="0.2">
      <c r="I29" s="56" t="s">
        <v>181</v>
      </c>
      <c r="J29" s="81">
        <v>6.0109589040999998</v>
      </c>
      <c r="K29" s="60">
        <v>4.2675257158799683E-2</v>
      </c>
      <c r="M29" s="39">
        <f t="shared" si="0"/>
        <v>0.7737401254499473</v>
      </c>
      <c r="N29" s="1">
        <f t="shared" si="1"/>
        <v>4.2675257158799683E-2</v>
      </c>
      <c r="O29" s="1">
        <v>4.3598938532399906E-2</v>
      </c>
    </row>
    <row r="30" spans="1:15" ht="14.25" customHeight="1" x14ac:dyDescent="0.2">
      <c r="I30" s="56" t="s">
        <v>181</v>
      </c>
      <c r="J30" s="81">
        <v>7.0082191781000001</v>
      </c>
      <c r="K30" s="60">
        <v>4.4935302621083556E-2</v>
      </c>
      <c r="M30" s="39">
        <f t="shared" si="0"/>
        <v>0.72984985096664867</v>
      </c>
      <c r="N30" s="1">
        <f t="shared" si="1"/>
        <v>4.4935302621083556E-2</v>
      </c>
      <c r="O30" s="1">
        <v>4.5960186837066104E-2</v>
      </c>
    </row>
    <row r="31" spans="1:15" ht="14.25" customHeight="1" x14ac:dyDescent="0.2">
      <c r="I31" s="56" t="s">
        <v>181</v>
      </c>
      <c r="J31" s="81">
        <v>8.0054794520999994</v>
      </c>
      <c r="K31" s="60">
        <v>4.6418765666650798E-2</v>
      </c>
      <c r="M31" s="39">
        <f t="shared" si="0"/>
        <v>0.68962695347131553</v>
      </c>
      <c r="N31" s="1">
        <f t="shared" si="1"/>
        <v>4.6418765666650798E-2</v>
      </c>
      <c r="O31" s="1">
        <v>4.75129815934279E-2</v>
      </c>
    </row>
    <row r="32" spans="1:15" ht="14.25" customHeight="1" x14ac:dyDescent="0.2">
      <c r="I32" s="56" t="s">
        <v>181</v>
      </c>
      <c r="J32" s="81">
        <v>9.0054794520999994</v>
      </c>
      <c r="K32" s="60">
        <v>4.7412402281582458E-2</v>
      </c>
      <c r="M32" s="39">
        <f t="shared" si="0"/>
        <v>0.65248220347732744</v>
      </c>
      <c r="N32" s="1">
        <f t="shared" si="1"/>
        <v>4.7412402281582458E-2</v>
      </c>
      <c r="O32" s="1">
        <v>4.8554346129842399E-2</v>
      </c>
    </row>
    <row r="33" spans="9:15" ht="14.25" customHeight="1" x14ac:dyDescent="0.2">
      <c r="I33" s="56" t="s">
        <v>181</v>
      </c>
      <c r="J33" s="81">
        <v>10.008219178099999</v>
      </c>
      <c r="K33" s="60">
        <v>4.8059780283391411E-2</v>
      </c>
      <c r="M33" s="39">
        <f t="shared" si="0"/>
        <v>0.61816935940226059</v>
      </c>
      <c r="N33" s="1">
        <f t="shared" si="1"/>
        <v>4.8059780283391411E-2</v>
      </c>
      <c r="O33" s="1">
        <v>4.9233376918310395E-2</v>
      </c>
    </row>
    <row r="34" spans="9:15" ht="14.25" customHeight="1" x14ac:dyDescent="0.2">
      <c r="I34" s="56" t="s">
        <v>181</v>
      </c>
      <c r="J34" s="81">
        <v>12.0136986301</v>
      </c>
      <c r="K34" s="60">
        <v>4.864650672624217E-2</v>
      </c>
      <c r="M34" s="39">
        <f t="shared" si="0"/>
        <v>0.55742658455499938</v>
      </c>
      <c r="N34" s="1">
        <f t="shared" si="1"/>
        <v>4.864650672624217E-2</v>
      </c>
      <c r="O34" s="1">
        <v>4.9849170518798801E-2</v>
      </c>
    </row>
    <row r="35" spans="9:15" ht="14.25" customHeight="1" x14ac:dyDescent="0.2">
      <c r="I35" s="56" t="s">
        <v>181</v>
      </c>
      <c r="J35" s="81">
        <v>15.010958904100001</v>
      </c>
      <c r="K35" s="60">
        <v>4.9385424150233545E-2</v>
      </c>
      <c r="M35" s="39">
        <f t="shared" si="0"/>
        <v>0.47648331493329771</v>
      </c>
      <c r="N35" s="1">
        <f t="shared" si="1"/>
        <v>4.9385424150233545E-2</v>
      </c>
      <c r="O35" s="1">
        <v>5.0625209042341801E-2</v>
      </c>
    </row>
    <row r="36" spans="9:15" ht="14.25" customHeight="1" x14ac:dyDescent="0.2">
      <c r="I36" s="56" t="s">
        <v>181</v>
      </c>
      <c r="J36" s="81">
        <v>16.010958904100001</v>
      </c>
      <c r="K36" s="60">
        <v>4.9650645060569293E-2</v>
      </c>
      <c r="M36" s="39">
        <f t="shared" si="0"/>
        <v>0.45160181050406667</v>
      </c>
      <c r="N36" s="1">
        <f t="shared" si="1"/>
        <v>4.9650645060569293E-2</v>
      </c>
      <c r="O36" s="1">
        <v>5.0903893771580798E-2</v>
      </c>
    </row>
    <row r="37" spans="9:15" ht="14.25" customHeight="1" x14ac:dyDescent="0.2">
      <c r="I37" s="56" t="s">
        <v>181</v>
      </c>
      <c r="J37" s="81">
        <v>17.010958904100001</v>
      </c>
      <c r="K37" s="60">
        <v>4.9929050290673953E-2</v>
      </c>
      <c r="M37" s="39">
        <f t="shared" si="0"/>
        <v>0.42769668154583307</v>
      </c>
      <c r="N37" s="1">
        <f t="shared" si="1"/>
        <v>4.9929050290673953E-2</v>
      </c>
      <c r="O37" s="1">
        <v>5.1196511643227104E-2</v>
      </c>
    </row>
    <row r="38" spans="9:15" ht="14.25" customHeight="1" x14ac:dyDescent="0.2">
      <c r="I38" s="56" t="s">
        <v>181</v>
      </c>
      <c r="J38" s="81">
        <v>18.016438356199998</v>
      </c>
      <c r="K38" s="60">
        <v>5.0219624941093749E-2</v>
      </c>
      <c r="M38" s="39">
        <f t="shared" si="0"/>
        <v>0.40463138896307421</v>
      </c>
      <c r="N38" s="1">
        <f t="shared" si="1"/>
        <v>5.0219624941093749E-2</v>
      </c>
      <c r="O38" s="1">
        <v>5.1502007084586306E-2</v>
      </c>
    </row>
    <row r="39" spans="9:15" ht="14.25" customHeight="1" x14ac:dyDescent="0.2">
      <c r="I39" s="56" t="s">
        <v>181</v>
      </c>
      <c r="J39" s="81">
        <v>19.013698630099999</v>
      </c>
      <c r="K39" s="60">
        <v>5.0523697011005633E-2</v>
      </c>
      <c r="M39" s="39">
        <f t="shared" si="0"/>
        <v>0.3826470142244876</v>
      </c>
      <c r="N39" s="1">
        <f t="shared" si="1"/>
        <v>5.0523697011005633E-2</v>
      </c>
      <c r="O39" s="1">
        <v>5.1821788092169703E-2</v>
      </c>
    </row>
    <row r="40" spans="9:15" ht="14.25" customHeight="1" x14ac:dyDescent="0.2">
      <c r="I40" s="56" t="s">
        <v>181</v>
      </c>
      <c r="J40" s="81">
        <v>20.013698630099999</v>
      </c>
      <c r="K40" s="60">
        <v>5.0840410359581298E-2</v>
      </c>
      <c r="M40" s="39">
        <f t="shared" si="0"/>
        <v>0.36149587394064681</v>
      </c>
      <c r="N40" s="1">
        <f t="shared" si="1"/>
        <v>5.0840410359581298E-2</v>
      </c>
      <c r="O40" s="1">
        <v>5.2154966851076401E-2</v>
      </c>
    </row>
    <row r="41" spans="9:15" ht="14.25" customHeight="1" x14ac:dyDescent="0.2">
      <c r="I41" s="56" t="s">
        <v>181</v>
      </c>
      <c r="J41" s="81">
        <v>25.016438356199998</v>
      </c>
      <c r="K41" s="60">
        <v>5.0523990868789587E-2</v>
      </c>
      <c r="M41" s="39">
        <f t="shared" si="0"/>
        <v>0.28254136818075343</v>
      </c>
      <c r="N41" s="1">
        <f t="shared" si="1"/>
        <v>5.0523990868789587E-2</v>
      </c>
      <c r="O41" s="1">
        <v>5.1822097178234799E-2</v>
      </c>
    </row>
    <row r="42" spans="9:15" ht="14.25" customHeight="1" x14ac:dyDescent="0.2">
      <c r="I42" s="56" t="s">
        <v>181</v>
      </c>
      <c r="J42" s="81">
        <v>30.021917808200001</v>
      </c>
      <c r="K42" s="60">
        <v>5.0313609124607639E-2</v>
      </c>
      <c r="M42" s="39">
        <f t="shared" si="0"/>
        <v>0.2207971134577047</v>
      </c>
      <c r="N42" s="1">
        <f t="shared" si="1"/>
        <v>5.0313609124607639E-2</v>
      </c>
      <c r="O42" s="1">
        <v>5.16008362863037E-2</v>
      </c>
    </row>
    <row r="43" spans="9:15" ht="14.25" customHeight="1" x14ac:dyDescent="0.2">
      <c r="I43" s="56" t="s">
        <v>179</v>
      </c>
      <c r="J43" s="81">
        <v>8.2191781000000002E-3</v>
      </c>
      <c r="K43" s="60">
        <v>2.6253102171337642E-3</v>
      </c>
      <c r="M43" s="39">
        <f t="shared" si="0"/>
        <v>0.99997842234055867</v>
      </c>
      <c r="N43" s="1">
        <f t="shared" si="1"/>
        <v>2.6253102171337642E-3</v>
      </c>
      <c r="O43" s="1">
        <v>2.6287593616887203E-3</v>
      </c>
    </row>
    <row r="44" spans="9:15" ht="14.25" customHeight="1" x14ac:dyDescent="0.2">
      <c r="I44" s="56" t="s">
        <v>179</v>
      </c>
      <c r="J44" s="81">
        <v>1.9178082199999998E-2</v>
      </c>
      <c r="K44" s="60">
        <v>2.6252977982949314E-3</v>
      </c>
      <c r="M44" s="39">
        <f t="shared" si="0"/>
        <v>0.99994965309047301</v>
      </c>
      <c r="N44" s="1">
        <f t="shared" si="1"/>
        <v>2.6252977982949314E-3</v>
      </c>
      <c r="O44" s="1">
        <v>2.6287469102168597E-3</v>
      </c>
    </row>
    <row r="45" spans="9:15" ht="14.25" customHeight="1" x14ac:dyDescent="0.2">
      <c r="I45" s="56" t="s">
        <v>179</v>
      </c>
      <c r="J45" s="81">
        <v>3.8356164399999997E-2</v>
      </c>
      <c r="K45" s="60">
        <v>-2.8248474754712801E-3</v>
      </c>
      <c r="M45" s="39">
        <f t="shared" si="0"/>
        <v>1.0001083561842814</v>
      </c>
      <c r="N45" s="1">
        <f t="shared" si="1"/>
        <v>-2.8248474754712801E-3</v>
      </c>
      <c r="O45" s="1">
        <v>-2.8208613481263099E-3</v>
      </c>
    </row>
    <row r="46" spans="9:15" ht="14.25" customHeight="1" x14ac:dyDescent="0.2">
      <c r="I46" s="56" t="s">
        <v>179</v>
      </c>
      <c r="J46" s="81">
        <v>8.4931506800000001E-2</v>
      </c>
      <c r="K46" s="60">
        <v>-4.875888620447068E-3</v>
      </c>
      <c r="M46" s="39">
        <f t="shared" si="0"/>
        <v>1.0004142023256268</v>
      </c>
      <c r="N46" s="1">
        <f t="shared" si="1"/>
        <v>-4.875888620447068E-3</v>
      </c>
      <c r="O46" s="1">
        <v>-4.8640207721327702E-3</v>
      </c>
    </row>
    <row r="47" spans="9:15" ht="14.25" customHeight="1" x14ac:dyDescent="0.2">
      <c r="I47" s="56" t="s">
        <v>179</v>
      </c>
      <c r="J47" s="81">
        <v>0.16712328770000001</v>
      </c>
      <c r="K47" s="60">
        <v>-4.0201015443147858E-3</v>
      </c>
      <c r="M47" s="39">
        <f t="shared" si="0"/>
        <v>1.0006720783304757</v>
      </c>
      <c r="N47" s="1">
        <f t="shared" si="1"/>
        <v>-4.0201015443147858E-3</v>
      </c>
      <c r="O47" s="1">
        <v>-4.0120317535157204E-3</v>
      </c>
    </row>
    <row r="48" spans="9:15" ht="14.25" customHeight="1" x14ac:dyDescent="0.2">
      <c r="I48" s="56" t="s">
        <v>179</v>
      </c>
      <c r="J48" s="81">
        <v>0.25753424660000002</v>
      </c>
      <c r="K48" s="60">
        <v>-3.6498898591205853E-3</v>
      </c>
      <c r="M48" s="39">
        <f t="shared" si="0"/>
        <v>1.0009404135468296</v>
      </c>
      <c r="N48" s="1">
        <f t="shared" si="1"/>
        <v>-3.6498898591205853E-3</v>
      </c>
      <c r="O48" s="1">
        <v>-3.64323710752701E-3</v>
      </c>
    </row>
    <row r="49" spans="9:15" ht="14.25" customHeight="1" x14ac:dyDescent="0.2">
      <c r="I49" s="56" t="s">
        <v>179</v>
      </c>
      <c r="J49" s="81">
        <v>0.33424657530000002</v>
      </c>
      <c r="K49" s="60">
        <v>-3.4094197049908616E-3</v>
      </c>
      <c r="M49" s="39">
        <f t="shared" si="0"/>
        <v>1.0011402364359854</v>
      </c>
      <c r="N49" s="1">
        <f t="shared" si="1"/>
        <v>-3.4094197049908616E-3</v>
      </c>
      <c r="O49" s="1">
        <v>-3.4036142332661799E-3</v>
      </c>
    </row>
    <row r="50" spans="9:15" ht="14.25" customHeight="1" x14ac:dyDescent="0.2">
      <c r="I50" s="56" t="s">
        <v>179</v>
      </c>
      <c r="J50" s="81">
        <v>0.41369863010000002</v>
      </c>
      <c r="K50" s="60">
        <v>-2.7440249740767184E-3</v>
      </c>
      <c r="M50" s="39">
        <f t="shared" si="0"/>
        <v>1.0011358439554305</v>
      </c>
      <c r="N50" s="1">
        <f t="shared" si="1"/>
        <v>-2.7440249740767184E-3</v>
      </c>
      <c r="O50" s="1">
        <v>-2.7402635787884301E-3</v>
      </c>
    </row>
    <row r="51" spans="9:15" ht="14.25" customHeight="1" x14ac:dyDescent="0.2">
      <c r="I51" s="56" t="s">
        <v>179</v>
      </c>
      <c r="J51" s="81">
        <v>0.49589041099999998</v>
      </c>
      <c r="K51" s="60">
        <v>-2.8072822752003459E-3</v>
      </c>
      <c r="M51" s="39">
        <f t="shared" si="0"/>
        <v>1.0013930737883141</v>
      </c>
      <c r="N51" s="1">
        <f t="shared" si="1"/>
        <v>-2.8072822752003459E-3</v>
      </c>
      <c r="O51" s="1">
        <v>-2.80334554301509E-3</v>
      </c>
    </row>
    <row r="52" spans="9:15" ht="14.25" customHeight="1" x14ac:dyDescent="0.2">
      <c r="I52" s="56" t="s">
        <v>179</v>
      </c>
      <c r="J52" s="81">
        <v>0.58356164379999997</v>
      </c>
      <c r="K52" s="60">
        <v>-2.3480510089581509E-3</v>
      </c>
      <c r="M52" s="39">
        <f t="shared" si="0"/>
        <v>1.0013711717039988</v>
      </c>
      <c r="N52" s="1">
        <f t="shared" si="1"/>
        <v>-2.3480510089581509E-3</v>
      </c>
      <c r="O52" s="1">
        <v>-2.3452964935238903E-3</v>
      </c>
    </row>
    <row r="53" spans="9:15" ht="14.25" customHeight="1" x14ac:dyDescent="0.2">
      <c r="I53" s="56" t="s">
        <v>179</v>
      </c>
      <c r="J53" s="81">
        <v>0.66301369860000003</v>
      </c>
      <c r="K53" s="60">
        <v>-1.8515846729220502E-3</v>
      </c>
      <c r="M53" s="39">
        <f t="shared" si="0"/>
        <v>1.0012283798435127</v>
      </c>
      <c r="N53" s="1">
        <f t="shared" si="1"/>
        <v>-1.8515846729220502E-3</v>
      </c>
      <c r="O53" s="1">
        <v>-1.8498715475170299E-3</v>
      </c>
    </row>
    <row r="54" spans="9:15" ht="14.25" customHeight="1" x14ac:dyDescent="0.2">
      <c r="I54" s="56" t="s">
        <v>179</v>
      </c>
      <c r="J54" s="81">
        <v>0.74794520549999999</v>
      </c>
      <c r="K54" s="60">
        <v>-1.320836943854277E-3</v>
      </c>
      <c r="M54" s="39">
        <f t="shared" si="0"/>
        <v>1.0009884018068382</v>
      </c>
      <c r="N54" s="1">
        <f t="shared" si="1"/>
        <v>-1.320836943854277E-3</v>
      </c>
      <c r="O54" s="1">
        <v>-1.31996502266896E-3</v>
      </c>
    </row>
    <row r="55" spans="9:15" ht="14.25" customHeight="1" x14ac:dyDescent="0.2">
      <c r="I55" s="56" t="s">
        <v>179</v>
      </c>
      <c r="J55" s="81">
        <v>0.83561643839999999</v>
      </c>
      <c r="K55" s="60">
        <v>-1.0678985520773073E-3</v>
      </c>
      <c r="M55" s="39">
        <f t="shared" si="0"/>
        <v>1.0008927518505752</v>
      </c>
      <c r="N55" s="1">
        <f t="shared" si="1"/>
        <v>-1.0678985520773073E-3</v>
      </c>
      <c r="O55" s="1">
        <v>-1.0673285513375099E-3</v>
      </c>
    </row>
    <row r="56" spans="9:15" ht="14.25" customHeight="1" x14ac:dyDescent="0.2">
      <c r="I56" s="56" t="s">
        <v>179</v>
      </c>
      <c r="J56" s="81">
        <v>0.91506849320000005</v>
      </c>
      <c r="K56" s="60">
        <v>-8.7696011007539734E-4</v>
      </c>
      <c r="M56" s="39">
        <f t="shared" si="0"/>
        <v>1.0008028006385943</v>
      </c>
      <c r="N56" s="1">
        <f t="shared" si="1"/>
        <v>-8.7696011007539734E-4</v>
      </c>
      <c r="O56" s="1">
        <v>-8.7657569293908598E-4</v>
      </c>
    </row>
    <row r="57" spans="9:15" ht="14.25" customHeight="1" x14ac:dyDescent="0.2">
      <c r="I57" s="56" t="s">
        <v>179</v>
      </c>
      <c r="J57" s="81">
        <v>1.0054794520999999</v>
      </c>
      <c r="K57" s="60">
        <v>-6.5955059140006289E-4</v>
      </c>
      <c r="M57" s="39">
        <f t="shared" si="0"/>
        <v>1.0006633845095114</v>
      </c>
      <c r="N57" s="1">
        <f t="shared" si="1"/>
        <v>-6.5955059140006289E-4</v>
      </c>
      <c r="O57" s="1">
        <v>-6.5933313571897611E-4</v>
      </c>
    </row>
    <row r="58" spans="9:15" ht="14.25" customHeight="1" x14ac:dyDescent="0.2">
      <c r="I58" s="56" t="s">
        <v>179</v>
      </c>
      <c r="J58" s="81">
        <v>2.0136986300999999</v>
      </c>
      <c r="K58" s="60">
        <v>4.3736267361073802E-3</v>
      </c>
      <c r="M58" s="39">
        <f t="shared" si="0"/>
        <v>0.9912315033147594</v>
      </c>
      <c r="N58" s="1">
        <f t="shared" si="1"/>
        <v>4.3736267361073802E-3</v>
      </c>
      <c r="O58" s="1">
        <v>4.3832050003474602E-3</v>
      </c>
    </row>
    <row r="59" spans="9:15" ht="14.25" customHeight="1" x14ac:dyDescent="0.2">
      <c r="I59" s="56" t="s">
        <v>179</v>
      </c>
      <c r="J59" s="81">
        <v>3.0191780821999998</v>
      </c>
      <c r="K59" s="60">
        <v>8.4393057859204548E-3</v>
      </c>
      <c r="M59" s="39">
        <f t="shared" si="0"/>
        <v>0.97484210269008997</v>
      </c>
      <c r="N59" s="1">
        <f t="shared" si="1"/>
        <v>8.4393057859204548E-3</v>
      </c>
      <c r="O59" s="1">
        <v>8.4750171159153499E-3</v>
      </c>
    </row>
    <row r="60" spans="9:15" ht="14.25" customHeight="1" x14ac:dyDescent="0.2">
      <c r="I60" s="56" t="s">
        <v>179</v>
      </c>
      <c r="J60" s="81">
        <v>4.0164383562000001</v>
      </c>
      <c r="K60" s="60">
        <v>1.1910140825528251E-2</v>
      </c>
      <c r="M60" s="39">
        <f t="shared" si="0"/>
        <v>0.95328978357983607</v>
      </c>
      <c r="N60" s="1">
        <f t="shared" si="1"/>
        <v>1.1910140825528251E-2</v>
      </c>
      <c r="O60" s="1">
        <v>1.1981348971647501E-2</v>
      </c>
    </row>
    <row r="61" spans="9:15" ht="14.25" customHeight="1" x14ac:dyDescent="0.2">
      <c r="I61" s="56" t="s">
        <v>179</v>
      </c>
      <c r="J61" s="81">
        <v>5.0136986301000004</v>
      </c>
      <c r="K61" s="60">
        <v>1.4601605988107691E-2</v>
      </c>
      <c r="M61" s="39">
        <f t="shared" si="0"/>
        <v>0.92940744488760729</v>
      </c>
      <c r="N61" s="1">
        <f t="shared" si="1"/>
        <v>1.4601605988107691E-2</v>
      </c>
      <c r="O61" s="1">
        <v>1.47087301969359E-2</v>
      </c>
    </row>
    <row r="62" spans="9:15" ht="14.25" customHeight="1" x14ac:dyDescent="0.2">
      <c r="I62" s="56" t="s">
        <v>179</v>
      </c>
      <c r="J62" s="81">
        <v>6.0164383562000001</v>
      </c>
      <c r="K62" s="60">
        <v>1.79181851614671E-2</v>
      </c>
      <c r="M62" s="39">
        <f t="shared" si="0"/>
        <v>0.8978038570965684</v>
      </c>
      <c r="N62" s="1">
        <f t="shared" si="1"/>
        <v>1.79181851614671E-2</v>
      </c>
      <c r="O62" s="1">
        <v>1.8079678957809799E-2</v>
      </c>
    </row>
    <row r="63" spans="9:15" ht="14.25" customHeight="1" x14ac:dyDescent="0.2">
      <c r="I63" s="56" t="s">
        <v>179</v>
      </c>
      <c r="J63" s="81">
        <v>7.0164383562000001</v>
      </c>
      <c r="K63" s="60">
        <v>2.0327826882244791E-2</v>
      </c>
      <c r="M63" s="39">
        <f t="shared" si="0"/>
        <v>0.86707574266554688</v>
      </c>
      <c r="N63" s="1">
        <f t="shared" si="1"/>
        <v>2.0327826882244791E-2</v>
      </c>
      <c r="O63" s="1">
        <v>2.0535844278065797E-2</v>
      </c>
    </row>
    <row r="64" spans="9:15" ht="14.25" customHeight="1" x14ac:dyDescent="0.2">
      <c r="I64" s="56" t="s">
        <v>179</v>
      </c>
      <c r="J64" s="81">
        <v>8.0164383562000001</v>
      </c>
      <c r="K64" s="60">
        <v>2.2011169045748267E-2</v>
      </c>
      <c r="M64" s="39">
        <f t="shared" si="0"/>
        <v>0.83823970118349433</v>
      </c>
      <c r="N64" s="1">
        <f t="shared" si="1"/>
        <v>2.2011169045748267E-2</v>
      </c>
      <c r="O64" s="1">
        <v>2.2255202021794301E-2</v>
      </c>
    </row>
    <row r="65" spans="9:15" ht="14.25" customHeight="1" x14ac:dyDescent="0.2">
      <c r="I65" s="56" t="s">
        <v>179</v>
      </c>
      <c r="J65" s="81">
        <v>9.0219178081999996</v>
      </c>
      <c r="K65" s="60">
        <v>2.3316207460738793E-2</v>
      </c>
      <c r="M65" s="39">
        <f t="shared" si="0"/>
        <v>0.8102949941487676</v>
      </c>
      <c r="N65" s="1">
        <f t="shared" si="1"/>
        <v>2.3316207460738793E-2</v>
      </c>
      <c r="O65" s="1">
        <v>2.35901552234958E-2</v>
      </c>
    </row>
    <row r="66" spans="9:15" ht="14.25" customHeight="1" x14ac:dyDescent="0.2">
      <c r="I66" s="50" t="s">
        <v>179</v>
      </c>
      <c r="J66" s="81">
        <v>10.0191780822</v>
      </c>
      <c r="K66" s="55">
        <v>2.4703964069217925E-2</v>
      </c>
      <c r="M66" s="39">
        <f t="shared" si="0"/>
        <v>0.78073974684701386</v>
      </c>
      <c r="N66" s="1">
        <f t="shared" si="1"/>
        <v>2.4703964069217925E-2</v>
      </c>
      <c r="O66" s="1">
        <v>2.5011635331856498E-2</v>
      </c>
    </row>
    <row r="67" spans="9:15" ht="14.25" customHeight="1" x14ac:dyDescent="0.2">
      <c r="I67" s="50" t="s">
        <v>179</v>
      </c>
      <c r="J67" s="81">
        <v>11.0191780822</v>
      </c>
      <c r="K67" s="55">
        <v>2.5787411163338235E-2</v>
      </c>
      <c r="M67" s="39">
        <f t="shared" si="0"/>
        <v>0.75264916515196678</v>
      </c>
      <c r="N67" s="1">
        <f t="shared" si="1"/>
        <v>2.5787411163338235E-2</v>
      </c>
      <c r="O67" s="1">
        <v>2.6122783035777801E-2</v>
      </c>
    </row>
    <row r="68" spans="9:15" ht="14.25" customHeight="1" x14ac:dyDescent="0.2">
      <c r="I68" s="50" t="s">
        <v>179</v>
      </c>
      <c r="J68" s="81">
        <v>12.0191780822</v>
      </c>
      <c r="K68" s="55">
        <v>2.6893664742791666E-2</v>
      </c>
      <c r="M68" s="39">
        <f t="shared" si="0"/>
        <v>0.72380030546240981</v>
      </c>
      <c r="N68" s="1">
        <f t="shared" si="1"/>
        <v>2.6893664742791666E-2</v>
      </c>
      <c r="O68" s="1">
        <v>2.7258563152049099E-2</v>
      </c>
    </row>
    <row r="69" spans="9:15" ht="14.25" customHeight="1" x14ac:dyDescent="0.2">
      <c r="I69" s="50" t="s">
        <v>179</v>
      </c>
      <c r="J69" s="81">
        <v>13.0191780822</v>
      </c>
      <c r="K69" s="55">
        <v>2.7704650522301415E-2</v>
      </c>
      <c r="M69" s="39">
        <f t="shared" si="0"/>
        <v>0.69719385524185051</v>
      </c>
      <c r="N69" s="1">
        <f t="shared" si="1"/>
        <v>2.7704650522301415E-2</v>
      </c>
      <c r="O69" s="1">
        <v>2.8091993142901603E-2</v>
      </c>
    </row>
    <row r="70" spans="9:15" ht="14.25" customHeight="1" x14ac:dyDescent="0.2">
      <c r="I70" s="50" t="s">
        <v>179</v>
      </c>
      <c r="J70" s="81">
        <v>14.027397260300001</v>
      </c>
      <c r="K70" s="55">
        <v>2.8533473941934465E-2</v>
      </c>
      <c r="M70" s="39">
        <f t="shared" si="0"/>
        <v>0.67015223619891751</v>
      </c>
      <c r="N70" s="1">
        <f t="shared" si="1"/>
        <v>2.8533473941934465E-2</v>
      </c>
      <c r="O70" s="1">
        <v>2.8944453084938E-2</v>
      </c>
    </row>
    <row r="71" spans="9:15" ht="14.25" customHeight="1" x14ac:dyDescent="0.2">
      <c r="I71" s="50" t="s">
        <v>179</v>
      </c>
      <c r="J71" s="81">
        <v>15.024657534199999</v>
      </c>
      <c r="K71" s="55">
        <v>2.9383558976244627E-2</v>
      </c>
      <c r="M71" s="39">
        <f t="shared" si="0"/>
        <v>0.64308529574273343</v>
      </c>
      <c r="N71" s="1">
        <f t="shared" si="1"/>
        <v>2.9383558976244627E-2</v>
      </c>
      <c r="O71" s="1">
        <v>2.9819515251571498E-2</v>
      </c>
    </row>
    <row r="72" spans="9:15" ht="14.25" customHeight="1" x14ac:dyDescent="0.2">
      <c r="I72" s="50" t="s">
        <v>179</v>
      </c>
      <c r="J72" s="81">
        <v>16.021917808200001</v>
      </c>
      <c r="K72" s="55">
        <v>2.9732724674140069E-2</v>
      </c>
      <c r="M72" s="39">
        <f t="shared" si="0"/>
        <v>0.62103038385494402</v>
      </c>
      <c r="N72" s="1">
        <f t="shared" si="1"/>
        <v>2.9732724674140069E-2</v>
      </c>
      <c r="O72" s="1">
        <v>3.0179155684718201E-2</v>
      </c>
    </row>
    <row r="73" spans="9:15" ht="14.25" customHeight="1" x14ac:dyDescent="0.2">
      <c r="I73" s="50" t="s">
        <v>179</v>
      </c>
      <c r="J73" s="81">
        <v>17.021917808200001</v>
      </c>
      <c r="K73" s="55">
        <v>3.0093522643674819E-2</v>
      </c>
      <c r="M73" s="39">
        <f t="shared" si="0"/>
        <v>0.59914630077170794</v>
      </c>
      <c r="N73" s="1">
        <f t="shared" si="1"/>
        <v>3.0093522643674819E-2</v>
      </c>
      <c r="O73" s="1">
        <v>3.05509092922868E-2</v>
      </c>
    </row>
    <row r="74" spans="9:15" ht="14.25" customHeight="1" x14ac:dyDescent="0.2">
      <c r="I74" s="50" t="s">
        <v>179</v>
      </c>
      <c r="J74" s="81">
        <v>18.024657534199999</v>
      </c>
      <c r="K74" s="55">
        <v>3.0465546043661709E-2</v>
      </c>
      <c r="M74" s="39">
        <f t="shared" ref="M74:M137" si="2">1/(1+O74)^J74</f>
        <v>0.57745137802349478</v>
      </c>
      <c r="N74" s="1">
        <f t="shared" ref="N74:N137" si="3">+-LN(M74)/J74</f>
        <v>3.0465546043661709E-2</v>
      </c>
      <c r="O74" s="1">
        <v>3.0934369669115301E-2</v>
      </c>
    </row>
    <row r="75" spans="9:15" ht="14.25" customHeight="1" x14ac:dyDescent="0.2">
      <c r="I75" s="50" t="s">
        <v>179</v>
      </c>
      <c r="J75" s="81">
        <v>19.024657534199999</v>
      </c>
      <c r="K75" s="55">
        <v>3.0849147783848185E-2</v>
      </c>
      <c r="M75" s="39">
        <f t="shared" si="2"/>
        <v>0.55605143956396197</v>
      </c>
      <c r="N75" s="1">
        <f t="shared" si="3"/>
        <v>3.0849147783848185E-2</v>
      </c>
      <c r="O75" s="1">
        <v>3.1329913748186701E-2</v>
      </c>
    </row>
    <row r="76" spans="9:15" ht="14.25" customHeight="1" x14ac:dyDescent="0.2">
      <c r="I76" s="50" t="s">
        <v>179</v>
      </c>
      <c r="J76" s="81">
        <v>20.030136986300001</v>
      </c>
      <c r="K76" s="55">
        <v>3.124353269246118E-2</v>
      </c>
      <c r="M76" s="39">
        <f t="shared" si="2"/>
        <v>0.53482684441870976</v>
      </c>
      <c r="N76" s="1">
        <f t="shared" si="3"/>
        <v>3.124353269246118E-2</v>
      </c>
      <c r="O76" s="1">
        <v>3.1736734918762097E-2</v>
      </c>
    </row>
    <row r="77" spans="9:15" ht="14.25" customHeight="1" x14ac:dyDescent="0.2">
      <c r="I77" s="50" t="s">
        <v>179</v>
      </c>
      <c r="J77" s="81">
        <v>25.027397260299999</v>
      </c>
      <c r="K77" s="55">
        <v>3.1956066821912904E-2</v>
      </c>
      <c r="M77" s="39">
        <f t="shared" si="2"/>
        <v>0.44942909509878759</v>
      </c>
      <c r="N77" s="1">
        <f t="shared" si="3"/>
        <v>3.1956066821912904E-2</v>
      </c>
      <c r="O77" s="1">
        <v>3.2472144526108797E-2</v>
      </c>
    </row>
    <row r="78" spans="9:15" ht="14.25" customHeight="1" x14ac:dyDescent="0.2">
      <c r="I78" s="50" t="s">
        <v>179</v>
      </c>
      <c r="J78" s="81">
        <v>30.032876712299998</v>
      </c>
      <c r="K78" s="55">
        <v>3.2314020859010813E-2</v>
      </c>
      <c r="M78" s="39">
        <f t="shared" si="2"/>
        <v>0.37889998348762166</v>
      </c>
      <c r="N78" s="1">
        <f t="shared" si="3"/>
        <v>3.2314020859010813E-2</v>
      </c>
      <c r="O78" s="1">
        <v>3.2841788252218E-2</v>
      </c>
    </row>
    <row r="79" spans="9:15" ht="14.25" customHeight="1" x14ac:dyDescent="0.2">
      <c r="I79" s="50" t="s">
        <v>182</v>
      </c>
      <c r="J79" s="81">
        <v>8.2191781000000002E-3</v>
      </c>
      <c r="K79" s="55">
        <v>-7.2485342173108355E-2</v>
      </c>
      <c r="M79" s="39">
        <f t="shared" si="2"/>
        <v>1.0005959474431183</v>
      </c>
      <c r="N79" s="1">
        <f t="shared" si="3"/>
        <v>-7.2485342173108355E-2</v>
      </c>
      <c r="O79" s="1">
        <v>-6.9920620497096506E-2</v>
      </c>
    </row>
    <row r="80" spans="9:15" ht="14.25" customHeight="1" x14ac:dyDescent="0.2">
      <c r="I80" s="50" t="s">
        <v>182</v>
      </c>
      <c r="J80" s="81">
        <v>8.7671232900000007E-2</v>
      </c>
      <c r="K80" s="55">
        <v>-8.8919535743449157E-2</v>
      </c>
      <c r="M80" s="39">
        <f t="shared" si="2"/>
        <v>1.0078261507973356</v>
      </c>
      <c r="N80" s="1">
        <f t="shared" si="3"/>
        <v>-8.8919535743449157E-2</v>
      </c>
      <c r="O80" s="1">
        <v>-8.5080811094950096E-2</v>
      </c>
    </row>
    <row r="81" spans="9:15" ht="14.25" customHeight="1" x14ac:dyDescent="0.2">
      <c r="I81" s="50" t="s">
        <v>182</v>
      </c>
      <c r="J81" s="81">
        <v>0.17260273970000001</v>
      </c>
      <c r="K81" s="55">
        <v>-2.8488217346847044E-2</v>
      </c>
      <c r="M81" s="39">
        <f t="shared" si="2"/>
        <v>1.0049292533566669</v>
      </c>
      <c r="N81" s="1">
        <f t="shared" si="3"/>
        <v>-2.8488217346847044E-2</v>
      </c>
      <c r="O81" s="1">
        <v>-2.8086254198768101E-2</v>
      </c>
    </row>
    <row r="82" spans="9:15" ht="14.25" customHeight="1" x14ac:dyDescent="0.2">
      <c r="I82" s="50" t="s">
        <v>182</v>
      </c>
      <c r="J82" s="81">
        <v>0.25753424660000002</v>
      </c>
      <c r="K82" s="55">
        <v>-3.9663306018455063E-3</v>
      </c>
      <c r="M82" s="39">
        <f t="shared" si="2"/>
        <v>1.001021987837347</v>
      </c>
      <c r="N82" s="1">
        <f t="shared" si="3"/>
        <v>-3.9663306018455063E-3</v>
      </c>
      <c r="O82" s="1">
        <v>-3.95847510189284E-3</v>
      </c>
    </row>
    <row r="83" spans="9:15" ht="14.25" customHeight="1" x14ac:dyDescent="0.2">
      <c r="I83" s="50" t="s">
        <v>182</v>
      </c>
      <c r="J83" s="81">
        <v>0.33424657530000002</v>
      </c>
      <c r="K83" s="55">
        <v>4.5336146576194442E-3</v>
      </c>
      <c r="M83" s="39">
        <f t="shared" si="2"/>
        <v>0.99848580238273665</v>
      </c>
      <c r="N83" s="1">
        <f t="shared" si="3"/>
        <v>4.5336146576194442E-3</v>
      </c>
      <c r="O83" s="1">
        <v>4.5439070365664901E-3</v>
      </c>
    </row>
    <row r="84" spans="9:15" ht="14.25" customHeight="1" x14ac:dyDescent="0.2">
      <c r="I84" s="50" t="s">
        <v>182</v>
      </c>
      <c r="J84" s="81">
        <v>0.41917808220000002</v>
      </c>
      <c r="K84" s="55">
        <v>9.7102999138371122E-3</v>
      </c>
      <c r="M84" s="39">
        <f t="shared" si="2"/>
        <v>0.99593792773036205</v>
      </c>
      <c r="N84" s="1">
        <f t="shared" si="3"/>
        <v>9.7102999138371122E-3</v>
      </c>
      <c r="O84" s="1">
        <v>9.757597844447961E-3</v>
      </c>
    </row>
    <row r="85" spans="9:15" ht="14.25" customHeight="1" x14ac:dyDescent="0.2">
      <c r="I85" s="50" t="s">
        <v>182</v>
      </c>
      <c r="J85" s="81">
        <v>0.49863013699999997</v>
      </c>
      <c r="K85" s="55">
        <v>4.8491397830356612E-3</v>
      </c>
      <c r="M85" s="39">
        <f t="shared" si="2"/>
        <v>0.9975849935971145</v>
      </c>
      <c r="N85" s="1">
        <f t="shared" si="3"/>
        <v>4.8491397830356612E-3</v>
      </c>
      <c r="O85" s="1">
        <v>4.8609158883192701E-3</v>
      </c>
    </row>
    <row r="86" spans="9:15" ht="14.25" customHeight="1" x14ac:dyDescent="0.2">
      <c r="I86" s="50" t="s">
        <v>182</v>
      </c>
      <c r="J86" s="81">
        <v>0.58630136990000004</v>
      </c>
      <c r="K86" s="55">
        <v>5.6723904477075987E-3</v>
      </c>
      <c r="M86" s="39">
        <f t="shared" si="2"/>
        <v>0.99667979382527983</v>
      </c>
      <c r="N86" s="1">
        <f t="shared" si="3"/>
        <v>5.6723904477075987E-3</v>
      </c>
      <c r="O86" s="1">
        <v>5.6885089167413305E-3</v>
      </c>
    </row>
    <row r="87" spans="9:15" ht="14.25" customHeight="1" x14ac:dyDescent="0.2">
      <c r="I87" s="50" t="s">
        <v>182</v>
      </c>
      <c r="J87" s="81">
        <v>0.66849315070000004</v>
      </c>
      <c r="K87" s="55">
        <v>5.1683834733737243E-3</v>
      </c>
      <c r="M87" s="39">
        <f t="shared" si="2"/>
        <v>0.99655093279241225</v>
      </c>
      <c r="N87" s="1">
        <f t="shared" si="3"/>
        <v>5.1683834733737243E-3</v>
      </c>
      <c r="O87" s="1">
        <v>5.1817626068042496E-3</v>
      </c>
    </row>
    <row r="88" spans="9:15" ht="14.25" customHeight="1" x14ac:dyDescent="0.2">
      <c r="I88" s="50" t="s">
        <v>182</v>
      </c>
      <c r="J88" s="81">
        <v>0.74794520549999999</v>
      </c>
      <c r="K88" s="55">
        <v>6.1956917089094456E-3</v>
      </c>
      <c r="M88" s="39">
        <f t="shared" si="2"/>
        <v>0.99537668267897106</v>
      </c>
      <c r="N88" s="1">
        <f t="shared" si="3"/>
        <v>6.1956917089094456E-3</v>
      </c>
      <c r="O88" s="1">
        <v>6.2149247068441502E-3</v>
      </c>
    </row>
    <row r="89" spans="9:15" ht="14.25" customHeight="1" x14ac:dyDescent="0.2">
      <c r="I89" s="50" t="s">
        <v>182</v>
      </c>
      <c r="J89" s="81">
        <v>0.83835616440000005</v>
      </c>
      <c r="K89" s="55">
        <v>5.8730689455106918E-3</v>
      </c>
      <c r="M89" s="39">
        <f t="shared" si="2"/>
        <v>0.99508837810252049</v>
      </c>
      <c r="N89" s="1">
        <f t="shared" si="3"/>
        <v>5.8730689455106918E-3</v>
      </c>
      <c r="O89" s="1">
        <v>5.8903492277964098E-3</v>
      </c>
    </row>
    <row r="90" spans="9:15" ht="14.25" customHeight="1" x14ac:dyDescent="0.2">
      <c r="I90" s="50" t="s">
        <v>182</v>
      </c>
      <c r="J90" s="81">
        <v>0.92054794520000005</v>
      </c>
      <c r="K90" s="55">
        <v>6.3643589993693022E-3</v>
      </c>
      <c r="M90" s="39">
        <f t="shared" si="2"/>
        <v>0.99415843110244284</v>
      </c>
      <c r="N90" s="1">
        <f t="shared" si="3"/>
        <v>6.3643589993693022E-3</v>
      </c>
      <c r="O90" s="1">
        <v>6.3846545653500897E-3</v>
      </c>
    </row>
    <row r="91" spans="9:15" ht="14.25" customHeight="1" x14ac:dyDescent="0.2">
      <c r="I91" s="50" t="s">
        <v>182</v>
      </c>
      <c r="J91" s="81">
        <v>1.0054794520999999</v>
      </c>
      <c r="K91" s="55">
        <v>4.2066382814947923E-3</v>
      </c>
      <c r="M91" s="39">
        <f t="shared" si="2"/>
        <v>0.9957792441789457</v>
      </c>
      <c r="N91" s="1">
        <f t="shared" si="3"/>
        <v>4.2066382814947923E-3</v>
      </c>
      <c r="O91" s="1">
        <v>4.2154986040112705E-3</v>
      </c>
    </row>
    <row r="92" spans="9:15" ht="14.25" customHeight="1" x14ac:dyDescent="0.2">
      <c r="I92" s="50" t="s">
        <v>182</v>
      </c>
      <c r="J92" s="81">
        <v>1.0876712329</v>
      </c>
      <c r="K92" s="55">
        <v>5.1386019932890339E-3</v>
      </c>
      <c r="M92" s="39">
        <f t="shared" si="2"/>
        <v>0.99442648044915471</v>
      </c>
      <c r="N92" s="1">
        <f t="shared" si="3"/>
        <v>5.1386019932890339E-3</v>
      </c>
      <c r="O92" s="1">
        <v>5.1518272519215404E-3</v>
      </c>
    </row>
    <row r="93" spans="9:15" ht="14.25" customHeight="1" x14ac:dyDescent="0.2">
      <c r="I93" s="50" t="s">
        <v>182</v>
      </c>
      <c r="J93" s="81">
        <v>1.1698630136999999</v>
      </c>
      <c r="K93" s="55">
        <v>5.3410732578559475E-3</v>
      </c>
      <c r="M93" s="39">
        <f t="shared" si="2"/>
        <v>0.99377115612498912</v>
      </c>
      <c r="N93" s="1">
        <f t="shared" si="3"/>
        <v>5.3410732578559475E-3</v>
      </c>
      <c r="O93" s="1">
        <v>5.3553622177624502E-3</v>
      </c>
    </row>
    <row r="94" spans="9:15" ht="14.25" customHeight="1" x14ac:dyDescent="0.2">
      <c r="I94" s="50" t="s">
        <v>182</v>
      </c>
      <c r="J94" s="81">
        <v>1.2575342465999999</v>
      </c>
      <c r="K94" s="55">
        <v>5.7745741390259888E-3</v>
      </c>
      <c r="M94" s="39">
        <f t="shared" si="2"/>
        <v>0.99276457787777472</v>
      </c>
      <c r="N94" s="1">
        <f t="shared" si="3"/>
        <v>5.7745741390259888E-3</v>
      </c>
      <c r="O94" s="1">
        <v>5.7912791315295501E-3</v>
      </c>
    </row>
    <row r="95" spans="9:15" ht="14.25" customHeight="1" x14ac:dyDescent="0.2">
      <c r="I95" s="50" t="s">
        <v>182</v>
      </c>
      <c r="J95" s="81">
        <v>1.3369863014000001</v>
      </c>
      <c r="K95" s="55">
        <v>6.1648225585534408E-3</v>
      </c>
      <c r="M95" s="39">
        <f t="shared" si="2"/>
        <v>0.99179159117415339</v>
      </c>
      <c r="N95" s="1">
        <f t="shared" si="3"/>
        <v>6.1648225585534408E-3</v>
      </c>
      <c r="O95" s="1">
        <v>6.1838641864513403E-3</v>
      </c>
    </row>
    <row r="96" spans="9:15" ht="14.25" customHeight="1" x14ac:dyDescent="0.2">
      <c r="I96" s="50" t="s">
        <v>182</v>
      </c>
      <c r="J96" s="81">
        <v>1.4191780822</v>
      </c>
      <c r="K96" s="55">
        <v>6.2568303232130281E-3</v>
      </c>
      <c r="M96" s="39">
        <f t="shared" si="2"/>
        <v>0.99115975037425141</v>
      </c>
      <c r="N96" s="1">
        <f t="shared" si="3"/>
        <v>6.2568303232130281E-3</v>
      </c>
      <c r="O96" s="1">
        <v>6.2764451736512196E-3</v>
      </c>
    </row>
    <row r="97" spans="9:15" ht="14.25" customHeight="1" x14ac:dyDescent="0.2">
      <c r="I97" s="50" t="s">
        <v>182</v>
      </c>
      <c r="J97" s="81">
        <v>1.504109589</v>
      </c>
      <c r="K97" s="55">
        <v>5.0427688322368493E-3</v>
      </c>
      <c r="M97" s="39">
        <f t="shared" si="2"/>
        <v>0.99244381563445394</v>
      </c>
      <c r="N97" s="1">
        <f t="shared" si="3"/>
        <v>5.0427688322368493E-3</v>
      </c>
      <c r="O97" s="1">
        <v>5.0555049904856793E-3</v>
      </c>
    </row>
    <row r="98" spans="9:15" ht="14.25" customHeight="1" x14ac:dyDescent="0.2">
      <c r="I98" s="50" t="s">
        <v>182</v>
      </c>
      <c r="J98" s="81">
        <v>1.5890410959000001</v>
      </c>
      <c r="K98" s="55">
        <v>5.3498937727638942E-3</v>
      </c>
      <c r="M98" s="39">
        <f t="shared" si="2"/>
        <v>0.99153483196583558</v>
      </c>
      <c r="N98" s="1">
        <f t="shared" si="3"/>
        <v>5.3498937727638942E-3</v>
      </c>
      <c r="O98" s="1">
        <v>5.3642300088319094E-3</v>
      </c>
    </row>
    <row r="99" spans="9:15" ht="14.25" customHeight="1" x14ac:dyDescent="0.2">
      <c r="I99" s="50" t="s">
        <v>182</v>
      </c>
      <c r="J99" s="81">
        <v>1.6684931507</v>
      </c>
      <c r="K99" s="55">
        <v>5.7487703235037388E-3</v>
      </c>
      <c r="M99" s="39">
        <f t="shared" si="2"/>
        <v>0.99045407052385437</v>
      </c>
      <c r="N99" s="1">
        <f t="shared" si="3"/>
        <v>5.7487703235037388E-3</v>
      </c>
      <c r="O99" s="1">
        <v>5.7653262137524796E-3</v>
      </c>
    </row>
    <row r="100" spans="9:15" ht="14.25" customHeight="1" x14ac:dyDescent="0.2">
      <c r="I100" s="50" t="s">
        <v>182</v>
      </c>
      <c r="J100" s="81">
        <v>1.7561643836</v>
      </c>
      <c r="K100" s="55">
        <v>5.9761259381561722E-3</v>
      </c>
      <c r="M100" s="39">
        <f t="shared" si="2"/>
        <v>0.98955982145187815</v>
      </c>
      <c r="N100" s="1">
        <f t="shared" si="3"/>
        <v>5.9761259381561722E-3</v>
      </c>
      <c r="O100" s="1">
        <v>5.9940186039542098E-3</v>
      </c>
    </row>
    <row r="101" spans="9:15" ht="14.25" customHeight="1" x14ac:dyDescent="0.2">
      <c r="I101" s="50" t="s">
        <v>182</v>
      </c>
      <c r="J101" s="81">
        <v>1.8410958904000001</v>
      </c>
      <c r="K101" s="55">
        <v>6.1686217559404543E-3</v>
      </c>
      <c r="M101" s="39">
        <f t="shared" si="2"/>
        <v>0.98870722338430572</v>
      </c>
      <c r="N101" s="1">
        <f t="shared" si="3"/>
        <v>6.1686217559404543E-3</v>
      </c>
      <c r="O101" s="1">
        <v>6.1876868848205202E-3</v>
      </c>
    </row>
    <row r="102" spans="9:15" ht="14.25" customHeight="1" x14ac:dyDescent="0.2">
      <c r="I102" s="50" t="s">
        <v>182</v>
      </c>
      <c r="J102" s="81">
        <v>1.9178082192000001</v>
      </c>
      <c r="K102" s="55">
        <v>6.3839489624045237E-3</v>
      </c>
      <c r="M102" s="39">
        <f t="shared" si="2"/>
        <v>0.98783145312407639</v>
      </c>
      <c r="N102" s="1">
        <f t="shared" si="3"/>
        <v>6.3839489624045237E-3</v>
      </c>
      <c r="O102" s="1">
        <v>6.4043697966418298E-3</v>
      </c>
    </row>
    <row r="103" spans="9:15" ht="14.25" customHeight="1" x14ac:dyDescent="0.2">
      <c r="I103" s="50" t="s">
        <v>182</v>
      </c>
      <c r="J103" s="81">
        <v>2.0027397260000002</v>
      </c>
      <c r="K103" s="55">
        <v>6.3512801986965461E-3</v>
      </c>
      <c r="M103" s="39">
        <f t="shared" si="2"/>
        <v>0.98736059561966283</v>
      </c>
      <c r="N103" s="1">
        <f t="shared" si="3"/>
        <v>6.3512801986965461E-3</v>
      </c>
      <c r="O103" s="1">
        <v>6.3714923471261502E-3</v>
      </c>
    </row>
    <row r="104" spans="9:15" ht="14.25" customHeight="1" x14ac:dyDescent="0.2">
      <c r="I104" s="50" t="s">
        <v>182</v>
      </c>
      <c r="J104" s="81">
        <v>3.0027397260000002</v>
      </c>
      <c r="K104" s="55">
        <v>7.9119312569018579E-3</v>
      </c>
      <c r="M104" s="39">
        <f t="shared" si="2"/>
        <v>0.9765225167588053</v>
      </c>
      <c r="N104" s="1">
        <f t="shared" si="3"/>
        <v>7.9119312569018579E-3</v>
      </c>
      <c r="O104" s="1">
        <v>7.9433132945863801E-3</v>
      </c>
    </row>
    <row r="105" spans="9:15" ht="14.25" customHeight="1" x14ac:dyDescent="0.2">
      <c r="I105" s="50" t="s">
        <v>182</v>
      </c>
      <c r="J105" s="81">
        <v>4.0027397259999997</v>
      </c>
      <c r="K105" s="55">
        <v>9.8921413678455597E-3</v>
      </c>
      <c r="M105" s="39">
        <f t="shared" si="2"/>
        <v>0.96117799635720391</v>
      </c>
      <c r="N105" s="1">
        <f t="shared" si="3"/>
        <v>9.8921413678455597E-3</v>
      </c>
      <c r="O105" s="1">
        <v>9.9412303297293399E-3</v>
      </c>
    </row>
    <row r="106" spans="9:15" ht="14.25" customHeight="1" x14ac:dyDescent="0.2">
      <c r="I106" s="50" t="s">
        <v>182</v>
      </c>
      <c r="J106" s="81">
        <v>5.0027397259999997</v>
      </c>
      <c r="K106" s="55">
        <v>1.2721776144711518E-2</v>
      </c>
      <c r="M106" s="39">
        <f t="shared" si="2"/>
        <v>0.93833923750666182</v>
      </c>
      <c r="N106" s="1">
        <f t="shared" si="3"/>
        <v>1.2721776144711518E-2</v>
      </c>
      <c r="O106" s="1">
        <v>1.2803042189338601E-2</v>
      </c>
    </row>
    <row r="107" spans="9:15" ht="14.25" customHeight="1" x14ac:dyDescent="0.2">
      <c r="I107" s="50" t="s">
        <v>182</v>
      </c>
      <c r="J107" s="81">
        <v>6.0109589040999998</v>
      </c>
      <c r="K107" s="55">
        <v>1.4280440431394356E-2</v>
      </c>
      <c r="M107" s="39">
        <f t="shared" si="2"/>
        <v>0.91774184678159043</v>
      </c>
      <c r="N107" s="1">
        <f t="shared" si="3"/>
        <v>1.4280440431394356E-2</v>
      </c>
      <c r="O107" s="1">
        <v>1.4382893029338898E-2</v>
      </c>
    </row>
    <row r="108" spans="9:15" ht="14.25" customHeight="1" x14ac:dyDescent="0.2">
      <c r="I108" s="50" t="s">
        <v>182</v>
      </c>
      <c r="J108" s="81">
        <v>7.0082191781000001</v>
      </c>
      <c r="K108" s="55">
        <v>1.5857163562032223E-2</v>
      </c>
      <c r="M108" s="39">
        <f t="shared" si="2"/>
        <v>0.894821986920321</v>
      </c>
      <c r="N108" s="1">
        <f t="shared" si="3"/>
        <v>1.5857163562032223E-2</v>
      </c>
      <c r="O108" s="1">
        <v>1.5983555569315799E-2</v>
      </c>
    </row>
    <row r="109" spans="9:15" ht="14.25" customHeight="1" x14ac:dyDescent="0.2">
      <c r="I109" s="50" t="s">
        <v>182</v>
      </c>
      <c r="J109" s="81">
        <v>8.0054794520999994</v>
      </c>
      <c r="K109" s="55">
        <v>1.6801535017069623E-2</v>
      </c>
      <c r="M109" s="39">
        <f t="shared" si="2"/>
        <v>0.87414908213912657</v>
      </c>
      <c r="N109" s="1">
        <f t="shared" si="3"/>
        <v>1.6801535017069623E-2</v>
      </c>
      <c r="O109" s="1">
        <v>1.69434746267202E-2</v>
      </c>
    </row>
    <row r="110" spans="9:15" ht="14.25" customHeight="1" x14ac:dyDescent="0.2">
      <c r="I110" s="50" t="s">
        <v>182</v>
      </c>
      <c r="J110" s="81">
        <v>9.0054794520999994</v>
      </c>
      <c r="K110" s="55">
        <v>1.739149534304409E-2</v>
      </c>
      <c r="M110" s="39">
        <f t="shared" si="2"/>
        <v>0.85502997348429044</v>
      </c>
      <c r="N110" s="1">
        <f t="shared" si="3"/>
        <v>1.739149534304409E-2</v>
      </c>
      <c r="O110" s="1">
        <v>1.7543607940524997E-2</v>
      </c>
    </row>
    <row r="111" spans="9:15" ht="14.25" customHeight="1" x14ac:dyDescent="0.2">
      <c r="I111" s="50" t="s">
        <v>182</v>
      </c>
      <c r="J111" s="81">
        <v>10.008219178099999</v>
      </c>
      <c r="K111" s="55">
        <v>1.773101183807204E-2</v>
      </c>
      <c r="M111" s="39">
        <f t="shared" si="2"/>
        <v>0.83739796735815331</v>
      </c>
      <c r="N111" s="1">
        <f t="shared" si="3"/>
        <v>1.773101183807204E-2</v>
      </c>
      <c r="O111" s="1">
        <v>1.78891394333324E-2</v>
      </c>
    </row>
    <row r="112" spans="9:15" ht="14.25" customHeight="1" x14ac:dyDescent="0.2">
      <c r="I112" s="50" t="s">
        <v>182</v>
      </c>
      <c r="J112" s="81">
        <v>12.0136986301</v>
      </c>
      <c r="K112" s="55">
        <v>1.807249741814123E-2</v>
      </c>
      <c r="M112" s="39">
        <f t="shared" si="2"/>
        <v>0.80483536542887046</v>
      </c>
      <c r="N112" s="1">
        <f t="shared" si="3"/>
        <v>1.807249741814123E-2</v>
      </c>
      <c r="O112" s="1">
        <v>1.82367932525626E-2</v>
      </c>
    </row>
    <row r="113" spans="9:15" ht="14.25" customHeight="1" x14ac:dyDescent="0.2">
      <c r="I113" s="50" t="s">
        <v>182</v>
      </c>
      <c r="J113" s="81">
        <v>15.010958904100001</v>
      </c>
      <c r="K113" s="55">
        <v>1.8758786566252406E-2</v>
      </c>
      <c r="M113" s="39">
        <f t="shared" si="2"/>
        <v>0.75458498150799169</v>
      </c>
      <c r="N113" s="1">
        <f t="shared" si="3"/>
        <v>1.8758786566252406E-2</v>
      </c>
      <c r="O113" s="1">
        <v>1.89358379599406E-2</v>
      </c>
    </row>
    <row r="114" spans="9:15" ht="14.25" customHeight="1" x14ac:dyDescent="0.2">
      <c r="I114" s="50" t="s">
        <v>182</v>
      </c>
      <c r="J114" s="81">
        <v>16.010958904100001</v>
      </c>
      <c r="K114" s="55">
        <v>1.9006501818464222E-2</v>
      </c>
      <c r="M114" s="39">
        <f t="shared" si="2"/>
        <v>0.7376304540774441</v>
      </c>
      <c r="N114" s="1">
        <f t="shared" si="3"/>
        <v>1.9006501818464222E-2</v>
      </c>
      <c r="O114" s="1">
        <v>1.91882751730118E-2</v>
      </c>
    </row>
    <row r="115" spans="9:15" ht="14.25" customHeight="1" x14ac:dyDescent="0.2">
      <c r="I115" s="50" t="s">
        <v>182</v>
      </c>
      <c r="J115" s="81">
        <v>17.010958904100001</v>
      </c>
      <c r="K115" s="55">
        <v>1.9257812474513952E-2</v>
      </c>
      <c r="M115" s="39">
        <f t="shared" si="2"/>
        <v>0.72065564982172692</v>
      </c>
      <c r="N115" s="1">
        <f t="shared" si="3"/>
        <v>1.9257812474513952E-2</v>
      </c>
      <c r="O115" s="1">
        <v>1.9444440234240301E-2</v>
      </c>
    </row>
    <row r="116" spans="9:15" ht="14.25" customHeight="1" x14ac:dyDescent="0.2">
      <c r="I116" s="50" t="s">
        <v>182</v>
      </c>
      <c r="J116" s="81">
        <v>18.016438356199998</v>
      </c>
      <c r="K116" s="55">
        <v>1.9512444193001903E-2</v>
      </c>
      <c r="M116" s="39">
        <f t="shared" si="2"/>
        <v>0.70360036456109243</v>
      </c>
      <c r="N116" s="1">
        <f t="shared" si="3"/>
        <v>1.9512444193001903E-2</v>
      </c>
      <c r="O116" s="1">
        <v>1.9704056175784E-2</v>
      </c>
    </row>
    <row r="117" spans="9:15" ht="14.25" customHeight="1" x14ac:dyDescent="0.2">
      <c r="I117" s="50" t="s">
        <v>182</v>
      </c>
      <c r="J117" s="81">
        <v>19.013698630099999</v>
      </c>
      <c r="K117" s="55">
        <v>1.9770677598761444E-2</v>
      </c>
      <c r="M117" s="39">
        <f t="shared" si="2"/>
        <v>0.68666158555188461</v>
      </c>
      <c r="N117" s="1">
        <f t="shared" si="3"/>
        <v>1.9770677598761444E-2</v>
      </c>
      <c r="O117" s="1">
        <v>1.9967411829227299E-2</v>
      </c>
    </row>
    <row r="118" spans="9:15" ht="14.25" customHeight="1" x14ac:dyDescent="0.2">
      <c r="I118" s="50" t="s">
        <v>182</v>
      </c>
      <c r="J118" s="81">
        <v>20.013698630099999</v>
      </c>
      <c r="K118" s="55">
        <v>2.0032490856157176E-2</v>
      </c>
      <c r="M118" s="39">
        <f t="shared" si="2"/>
        <v>0.6697007991272137</v>
      </c>
      <c r="N118" s="1">
        <f t="shared" si="3"/>
        <v>2.0032490856157176E-2</v>
      </c>
      <c r="O118" s="1">
        <v>2.0234487780242397E-2</v>
      </c>
    </row>
    <row r="119" spans="9:15" ht="14.25" customHeight="1" x14ac:dyDescent="0.2">
      <c r="I119" s="50" t="s">
        <v>182</v>
      </c>
      <c r="J119" s="81">
        <v>25.016438356199998</v>
      </c>
      <c r="K119" s="55">
        <v>1.994036258048287E-2</v>
      </c>
      <c r="M119" s="39">
        <f t="shared" si="2"/>
        <v>0.60723655551537503</v>
      </c>
      <c r="N119" s="1">
        <f t="shared" si="3"/>
        <v>1.994036258048287E-2</v>
      </c>
      <c r="O119" s="1">
        <v>2.0140499665647803E-2</v>
      </c>
    </row>
    <row r="120" spans="9:15" ht="14.25" customHeight="1" x14ac:dyDescent="0.2">
      <c r="I120" s="50" t="s">
        <v>182</v>
      </c>
      <c r="J120" s="81">
        <v>30.021917808200001</v>
      </c>
      <c r="K120" s="55">
        <v>1.9878987777719612E-2</v>
      </c>
      <c r="M120" s="39">
        <f t="shared" si="2"/>
        <v>0.55056770776184982</v>
      </c>
      <c r="N120" s="1">
        <f t="shared" si="3"/>
        <v>1.9878987777719612E-2</v>
      </c>
      <c r="O120" s="1">
        <v>2.0077890665017101E-2</v>
      </c>
    </row>
    <row r="121" spans="9:15" ht="14.25" customHeight="1" x14ac:dyDescent="0.2">
      <c r="I121" s="50" t="s">
        <v>180</v>
      </c>
      <c r="J121" s="81">
        <v>1.3698630099999999E-2</v>
      </c>
      <c r="K121" s="55">
        <v>-6.882095228860261E-3</v>
      </c>
      <c r="M121" s="39">
        <f t="shared" si="2"/>
        <v>1.0000942797209067</v>
      </c>
      <c r="N121" s="1">
        <f t="shared" si="3"/>
        <v>-6.882095228860261E-3</v>
      </c>
      <c r="O121" s="1">
        <v>-6.8584678445291506E-3</v>
      </c>
    </row>
    <row r="122" spans="9:15" ht="14.25" customHeight="1" x14ac:dyDescent="0.2">
      <c r="I122" s="50" t="s">
        <v>180</v>
      </c>
      <c r="J122" s="81">
        <v>1.9178082199999998E-2</v>
      </c>
      <c r="K122" s="55">
        <v>-6.4867576378464476E-3</v>
      </c>
      <c r="M122" s="39">
        <f t="shared" si="2"/>
        <v>1.0001244113096353</v>
      </c>
      <c r="N122" s="1">
        <f t="shared" si="3"/>
        <v>-6.4867576378464476E-3</v>
      </c>
      <c r="O122" s="1">
        <v>-6.4657640434978604E-3</v>
      </c>
    </row>
    <row r="123" spans="9:15" ht="14.25" customHeight="1" x14ac:dyDescent="0.2">
      <c r="I123" s="50" t="s">
        <v>180</v>
      </c>
      <c r="J123" s="81">
        <v>3.8356164399999997E-2</v>
      </c>
      <c r="K123" s="55">
        <v>-8.8084308857554246E-3</v>
      </c>
      <c r="M123" s="39">
        <f t="shared" si="2"/>
        <v>1.000337914703475</v>
      </c>
      <c r="N123" s="1">
        <f t="shared" si="3"/>
        <v>-8.8084308857554246E-3</v>
      </c>
      <c r="O123" s="1">
        <v>-8.7697503134511693E-3</v>
      </c>
    </row>
    <row r="124" spans="9:15" ht="14.25" customHeight="1" x14ac:dyDescent="0.2">
      <c r="I124" s="50" t="s">
        <v>180</v>
      </c>
      <c r="J124" s="81">
        <v>8.7671232900000007E-2</v>
      </c>
      <c r="K124" s="55">
        <v>-8.8201871214367775E-3</v>
      </c>
      <c r="M124" s="39">
        <f t="shared" si="2"/>
        <v>1.0007735757348357</v>
      </c>
      <c r="N124" s="1">
        <f t="shared" si="3"/>
        <v>-8.8201871214367775E-3</v>
      </c>
      <c r="O124" s="1">
        <v>-8.7814033813836696E-3</v>
      </c>
    </row>
    <row r="125" spans="9:15" ht="14.25" customHeight="1" x14ac:dyDescent="0.2">
      <c r="I125" s="50" t="s">
        <v>180</v>
      </c>
      <c r="J125" s="81">
        <v>0.16712328770000001</v>
      </c>
      <c r="K125" s="55">
        <v>-7.3731811409615605E-3</v>
      </c>
      <c r="M125" s="39">
        <f t="shared" si="2"/>
        <v>1.0012329897807388</v>
      </c>
      <c r="N125" s="1">
        <f t="shared" si="3"/>
        <v>-7.3731811409615605E-3</v>
      </c>
      <c r="O125" s="1">
        <v>-7.3460659236222999E-3</v>
      </c>
    </row>
    <row r="126" spans="9:15" ht="14.25" customHeight="1" x14ac:dyDescent="0.2">
      <c r="I126" s="50" t="s">
        <v>180</v>
      </c>
      <c r="J126" s="81">
        <v>0.25753424660000002</v>
      </c>
      <c r="K126" s="55">
        <v>-6.7446667946135814E-3</v>
      </c>
      <c r="M126" s="39">
        <f t="shared" si="2"/>
        <v>1.0017384921097605</v>
      </c>
      <c r="N126" s="1">
        <f t="shared" si="3"/>
        <v>-6.7446667946135814E-3</v>
      </c>
      <c r="O126" s="1">
        <v>-6.7219725798315401E-3</v>
      </c>
    </row>
    <row r="127" spans="9:15" ht="14.25" customHeight="1" x14ac:dyDescent="0.2">
      <c r="I127" s="50" t="s">
        <v>180</v>
      </c>
      <c r="J127" s="81">
        <v>0.33424657530000002</v>
      </c>
      <c r="K127" s="55">
        <v>-6.3813228606897513E-3</v>
      </c>
      <c r="M127" s="39">
        <f t="shared" si="2"/>
        <v>1.0021352116367219</v>
      </c>
      <c r="N127" s="1">
        <f t="shared" si="3"/>
        <v>-6.3813228606897513E-3</v>
      </c>
      <c r="O127" s="1">
        <v>-6.3610054602335495E-3</v>
      </c>
    </row>
    <row r="128" spans="9:15" ht="14.25" customHeight="1" x14ac:dyDescent="0.2">
      <c r="I128" s="50" t="s">
        <v>180</v>
      </c>
      <c r="J128" s="81">
        <v>0.41369863010000002</v>
      </c>
      <c r="K128" s="55">
        <v>-5.7401490395640698E-3</v>
      </c>
      <c r="M128" s="39">
        <f t="shared" si="2"/>
        <v>1.0023775136080002</v>
      </c>
      <c r="N128" s="1">
        <f t="shared" si="3"/>
        <v>-5.7401490395640698E-3</v>
      </c>
      <c r="O128" s="1">
        <v>-5.7237058612080701E-3</v>
      </c>
    </row>
    <row r="129" spans="9:15" ht="14.25" customHeight="1" x14ac:dyDescent="0.2">
      <c r="I129" s="50" t="s">
        <v>180</v>
      </c>
      <c r="J129" s="81">
        <v>0.49589041099999998</v>
      </c>
      <c r="K129" s="55">
        <v>-5.7934627323146057E-3</v>
      </c>
      <c r="M129" s="39">
        <f t="shared" si="2"/>
        <v>1.0028770534124907</v>
      </c>
      <c r="N129" s="1">
        <f t="shared" si="3"/>
        <v>-5.7934627323146057E-3</v>
      </c>
      <c r="O129" s="1">
        <v>-5.7767129890475798E-3</v>
      </c>
    </row>
    <row r="130" spans="9:15" ht="14.25" customHeight="1" x14ac:dyDescent="0.2">
      <c r="I130" s="50" t="s">
        <v>180</v>
      </c>
      <c r="J130" s="81">
        <v>0.58356164379999997</v>
      </c>
      <c r="K130" s="55">
        <v>-5.419584740174851E-3</v>
      </c>
      <c r="M130" s="39">
        <f t="shared" si="2"/>
        <v>1.0031676682710111</v>
      </c>
      <c r="N130" s="1">
        <f t="shared" si="3"/>
        <v>-5.419584740174851E-3</v>
      </c>
      <c r="O130" s="1">
        <v>-5.4049252854717596E-3</v>
      </c>
    </row>
    <row r="131" spans="9:15" ht="14.25" customHeight="1" x14ac:dyDescent="0.2">
      <c r="I131" s="50" t="s">
        <v>180</v>
      </c>
      <c r="J131" s="81">
        <v>0.66301369860000003</v>
      </c>
      <c r="K131" s="55">
        <v>-5.0452260981644964E-3</v>
      </c>
      <c r="M131" s="39">
        <f t="shared" si="2"/>
        <v>1.0033506549522049</v>
      </c>
      <c r="N131" s="1">
        <f t="shared" si="3"/>
        <v>-5.0452260981644964E-3</v>
      </c>
      <c r="O131" s="1">
        <v>-5.0325203217926892E-3</v>
      </c>
    </row>
    <row r="132" spans="9:15" ht="14.25" customHeight="1" x14ac:dyDescent="0.2">
      <c r="I132" s="50" t="s">
        <v>180</v>
      </c>
      <c r="J132" s="81">
        <v>0.74794520549999999</v>
      </c>
      <c r="K132" s="55">
        <v>-4.6708215304153084E-3</v>
      </c>
      <c r="M132" s="39">
        <f t="shared" si="2"/>
        <v>1.0034996280178365</v>
      </c>
      <c r="N132" s="1">
        <f t="shared" si="3"/>
        <v>-4.6708215304153084E-3</v>
      </c>
      <c r="O132" s="1">
        <v>-4.6599302072714002E-3</v>
      </c>
    </row>
    <row r="133" spans="9:15" ht="14.25" customHeight="1" x14ac:dyDescent="0.2">
      <c r="I133" s="50" t="s">
        <v>180</v>
      </c>
      <c r="J133" s="81">
        <v>0.83561643839999999</v>
      </c>
      <c r="K133" s="55">
        <v>-4.6708631810178916E-3</v>
      </c>
      <c r="M133" s="39">
        <f t="shared" si="2"/>
        <v>1.0039106768748349</v>
      </c>
      <c r="N133" s="1">
        <f t="shared" si="3"/>
        <v>-4.6708631810178916E-3</v>
      </c>
      <c r="O133" s="1">
        <v>-4.65997166378407E-3</v>
      </c>
    </row>
    <row r="134" spans="9:15" ht="14.25" customHeight="1" x14ac:dyDescent="0.2">
      <c r="I134" s="50" t="s">
        <v>180</v>
      </c>
      <c r="J134" s="81">
        <v>0.91506849320000005</v>
      </c>
      <c r="K134" s="55">
        <v>-4.6707129940716805E-3</v>
      </c>
      <c r="M134" s="39">
        <f t="shared" si="2"/>
        <v>1.004283168961339</v>
      </c>
      <c r="N134" s="1">
        <f t="shared" si="3"/>
        <v>-4.6707129940716805E-3</v>
      </c>
      <c r="O134" s="1">
        <v>-4.6598221766934698E-3</v>
      </c>
    </row>
    <row r="135" spans="9:15" ht="14.25" customHeight="1" x14ac:dyDescent="0.2">
      <c r="I135" s="50" t="s">
        <v>180</v>
      </c>
      <c r="J135" s="81">
        <v>1.0082191781000001</v>
      </c>
      <c r="K135" s="55">
        <v>-4.6509500395228677E-3</v>
      </c>
      <c r="M135" s="39">
        <f t="shared" si="2"/>
        <v>1.0047001884215565</v>
      </c>
      <c r="N135" s="1">
        <f t="shared" si="3"/>
        <v>-4.6509500395228677E-3</v>
      </c>
      <c r="O135" s="1">
        <v>-4.6401511196202403E-3</v>
      </c>
    </row>
    <row r="136" spans="9:15" ht="14.25" customHeight="1" x14ac:dyDescent="0.2">
      <c r="I136" s="50" t="s">
        <v>180</v>
      </c>
      <c r="J136" s="81">
        <v>2.0027397260000002</v>
      </c>
      <c r="K136" s="55">
        <v>-3.4266100574387275E-3</v>
      </c>
      <c r="M136" s="39">
        <f t="shared" si="2"/>
        <v>1.0068862097411684</v>
      </c>
      <c r="N136" s="1">
        <f t="shared" si="3"/>
        <v>-3.4266100574387275E-3</v>
      </c>
      <c r="O136" s="1">
        <v>-3.4207459291349901E-3</v>
      </c>
    </row>
    <row r="137" spans="9:15" ht="14.25" customHeight="1" x14ac:dyDescent="0.2">
      <c r="I137" s="50" t="s">
        <v>180</v>
      </c>
      <c r="J137" s="81">
        <v>3.0027397260000002</v>
      </c>
      <c r="K137" s="55">
        <v>-3.7781814595989013E-3</v>
      </c>
      <c r="M137" s="39">
        <f t="shared" si="2"/>
        <v>1.0114094929408046</v>
      </c>
      <c r="N137" s="1">
        <f t="shared" si="3"/>
        <v>-3.7781814595989013E-3</v>
      </c>
      <c r="O137" s="1">
        <v>-3.7710531122504597E-3</v>
      </c>
    </row>
    <row r="138" spans="9:15" ht="14.25" customHeight="1" x14ac:dyDescent="0.2">
      <c r="I138" s="50" t="s">
        <v>180</v>
      </c>
      <c r="J138" s="81">
        <v>4.0027397259999997</v>
      </c>
      <c r="K138" s="55">
        <v>-2.9294069010304259E-3</v>
      </c>
      <c r="M138" s="39">
        <f t="shared" ref="M138:M156" si="4">1/(1+O138)^J138</f>
        <v>1.0117946683346299</v>
      </c>
      <c r="N138" s="1">
        <f t="shared" ref="N138:N156" si="5">+-LN(M138)/J138</f>
        <v>-2.9294069010304259E-3</v>
      </c>
      <c r="O138" s="1">
        <v>-2.9251203753154899E-3</v>
      </c>
    </row>
    <row r="139" spans="9:15" ht="14.25" customHeight="1" x14ac:dyDescent="0.2">
      <c r="I139" s="50" t="s">
        <v>180</v>
      </c>
      <c r="J139" s="81">
        <v>5.0027397259999997</v>
      </c>
      <c r="K139" s="55">
        <v>-1.8852607935086433E-3</v>
      </c>
      <c r="M139" s="39">
        <f t="shared" si="4"/>
        <v>1.009476085525866</v>
      </c>
      <c r="N139" s="1">
        <f t="shared" si="5"/>
        <v>-1.8852607935086433E-3</v>
      </c>
      <c r="O139" s="1">
        <v>-1.88348480562099E-3</v>
      </c>
    </row>
    <row r="140" spans="9:15" ht="14.25" customHeight="1" x14ac:dyDescent="0.2">
      <c r="I140" s="50" t="s">
        <v>180</v>
      </c>
      <c r="J140" s="81">
        <v>6.0136986301000004</v>
      </c>
      <c r="K140" s="55">
        <v>5.0771880884953032E-4</v>
      </c>
      <c r="M140" s="39">
        <f t="shared" si="4"/>
        <v>0.99695138857682819</v>
      </c>
      <c r="N140" s="1">
        <f t="shared" si="5"/>
        <v>5.0771880884953032E-4</v>
      </c>
      <c r="O140" s="1">
        <v>5.0784771985993595E-4</v>
      </c>
    </row>
    <row r="141" spans="9:15" ht="14.25" customHeight="1" x14ac:dyDescent="0.2">
      <c r="I141" s="50" t="s">
        <v>180</v>
      </c>
      <c r="J141" s="81">
        <v>7.0082191781000001</v>
      </c>
      <c r="K141" s="55">
        <v>2.5602901722886506E-3</v>
      </c>
      <c r="M141" s="39">
        <f t="shared" si="4"/>
        <v>0.98221694377392099</v>
      </c>
      <c r="N141" s="1">
        <f t="shared" si="5"/>
        <v>2.5602901722886506E-3</v>
      </c>
      <c r="O141" s="1">
        <v>2.5635705141166497E-3</v>
      </c>
    </row>
    <row r="142" spans="9:15" ht="14.25" customHeight="1" x14ac:dyDescent="0.2">
      <c r="I142" s="50" t="s">
        <v>180</v>
      </c>
      <c r="J142" s="81">
        <v>8.0054794520999994</v>
      </c>
      <c r="K142" s="55">
        <v>4.3333187558618081E-3</v>
      </c>
      <c r="M142" s="39">
        <f t="shared" si="4"/>
        <v>0.96590451611216666</v>
      </c>
      <c r="N142" s="1">
        <f t="shared" si="5"/>
        <v>4.3333187558618081E-3</v>
      </c>
      <c r="O142" s="1">
        <v>4.3427211578777707E-3</v>
      </c>
    </row>
    <row r="143" spans="9:15" ht="14.25" customHeight="1" x14ac:dyDescent="0.2">
      <c r="I143" s="50" t="s">
        <v>180</v>
      </c>
      <c r="J143" s="81">
        <v>9.0054794520999994</v>
      </c>
      <c r="K143" s="55">
        <v>5.9430412866446755E-3</v>
      </c>
      <c r="M143" s="39">
        <f t="shared" si="4"/>
        <v>0.94788704355936548</v>
      </c>
      <c r="N143" s="1">
        <f t="shared" si="5"/>
        <v>5.9430412866446755E-3</v>
      </c>
      <c r="O143" s="1">
        <v>5.9607361929975896E-3</v>
      </c>
    </row>
    <row r="144" spans="9:15" ht="14.25" customHeight="1" x14ac:dyDescent="0.2">
      <c r="I144" s="50" t="s">
        <v>180</v>
      </c>
      <c r="J144" s="81">
        <v>10.008219178099999</v>
      </c>
      <c r="K144" s="55">
        <v>7.6870606472663611E-3</v>
      </c>
      <c r="M144" s="39">
        <f t="shared" si="4"/>
        <v>0.92595116084658802</v>
      </c>
      <c r="N144" s="1">
        <f t="shared" si="5"/>
        <v>7.6870606472663611E-3</v>
      </c>
      <c r="O144" s="1">
        <v>7.7166819495671102E-3</v>
      </c>
    </row>
    <row r="145" spans="9:15" ht="14.25" customHeight="1" x14ac:dyDescent="0.2">
      <c r="I145" s="50" t="s">
        <v>180</v>
      </c>
      <c r="J145" s="81">
        <v>11.008219178099999</v>
      </c>
      <c r="K145" s="55">
        <v>9.1324457980593368E-3</v>
      </c>
      <c r="M145" s="39">
        <f t="shared" si="4"/>
        <v>0.90435620422533958</v>
      </c>
      <c r="N145" s="1">
        <f t="shared" si="5"/>
        <v>9.1324457980593368E-3</v>
      </c>
      <c r="O145" s="1">
        <v>9.1742738149232003E-3</v>
      </c>
    </row>
    <row r="146" spans="9:15" ht="14.25" customHeight="1" x14ac:dyDescent="0.2">
      <c r="I146" s="50" t="s">
        <v>180</v>
      </c>
      <c r="J146" s="81">
        <v>12.0164383562</v>
      </c>
      <c r="K146" s="55">
        <v>1.0592858727724195E-2</v>
      </c>
      <c r="M146" s="39">
        <f t="shared" si="4"/>
        <v>0.88047967576598996</v>
      </c>
      <c r="N146" s="1">
        <f t="shared" si="5"/>
        <v>1.0592858727724195E-2</v>
      </c>
      <c r="O146" s="1">
        <v>1.0649161683206501E-2</v>
      </c>
    </row>
    <row r="147" spans="9:15" ht="14.25" customHeight="1" x14ac:dyDescent="0.2">
      <c r="I147" s="50" t="s">
        <v>180</v>
      </c>
      <c r="J147" s="81">
        <v>13.010958904100001</v>
      </c>
      <c r="K147" s="55">
        <v>1.1706671673738765E-2</v>
      </c>
      <c r="M147" s="39">
        <f t="shared" si="4"/>
        <v>0.8587177213919176</v>
      </c>
      <c r="N147" s="1">
        <f t="shared" si="5"/>
        <v>1.1706671673738765E-2</v>
      </c>
      <c r="O147" s="1">
        <v>1.17754629313848E-2</v>
      </c>
    </row>
    <row r="148" spans="9:15" ht="14.25" customHeight="1" x14ac:dyDescent="0.2">
      <c r="I148" s="50" t="s">
        <v>180</v>
      </c>
      <c r="J148" s="81">
        <v>14.010958904100001</v>
      </c>
      <c r="K148" s="55">
        <v>1.2833406259298645E-2</v>
      </c>
      <c r="M148" s="39">
        <f t="shared" si="4"/>
        <v>0.83543032491911184</v>
      </c>
      <c r="N148" s="1">
        <f t="shared" si="5"/>
        <v>1.2833406259298645E-2</v>
      </c>
      <c r="O148" s="1">
        <v>1.29161078196395E-2</v>
      </c>
    </row>
    <row r="149" spans="9:15" ht="14.25" customHeight="1" x14ac:dyDescent="0.2">
      <c r="I149" s="50" t="s">
        <v>180</v>
      </c>
      <c r="J149" s="81">
        <v>15.010958904100001</v>
      </c>
      <c r="K149" s="55">
        <v>1.3975368725665948E-2</v>
      </c>
      <c r="M149" s="39">
        <f t="shared" si="4"/>
        <v>0.81075960597216057</v>
      </c>
      <c r="N149" s="1">
        <f t="shared" si="5"/>
        <v>1.3975368725665948E-2</v>
      </c>
      <c r="O149" s="1">
        <v>1.4073480708772498E-2</v>
      </c>
    </row>
    <row r="150" spans="9:15" ht="14.25" customHeight="1" x14ac:dyDescent="0.2">
      <c r="I150" s="50" t="s">
        <v>180</v>
      </c>
      <c r="J150" s="81">
        <v>16.010958904100001</v>
      </c>
      <c r="K150" s="55">
        <v>1.4546939720629979E-2</v>
      </c>
      <c r="M150" s="39">
        <f t="shared" si="4"/>
        <v>0.79222451084666734</v>
      </c>
      <c r="N150" s="1">
        <f t="shared" si="5"/>
        <v>1.4546939720629979E-2</v>
      </c>
      <c r="O150" s="1">
        <v>1.46532613742297E-2</v>
      </c>
    </row>
    <row r="151" spans="9:15" ht="14.25" customHeight="1" x14ac:dyDescent="0.2">
      <c r="I151" s="50" t="s">
        <v>180</v>
      </c>
      <c r="J151" s="81">
        <v>17.010958904100001</v>
      </c>
      <c r="K151" s="55">
        <v>1.5125531423674723E-2</v>
      </c>
      <c r="M151" s="39">
        <f t="shared" si="4"/>
        <v>0.77313639779009413</v>
      </c>
      <c r="N151" s="1">
        <f t="shared" si="5"/>
        <v>1.5125531423674723E-2</v>
      </c>
      <c r="O151" s="1">
        <v>1.5240501202391801E-2</v>
      </c>
    </row>
    <row r="152" spans="9:15" ht="14.25" customHeight="1" x14ac:dyDescent="0.2">
      <c r="I152" s="50" t="s">
        <v>180</v>
      </c>
      <c r="J152" s="81">
        <v>18.016438356199998</v>
      </c>
      <c r="K152" s="55">
        <v>1.5711415450283431E-2</v>
      </c>
      <c r="M152" s="39">
        <f t="shared" si="4"/>
        <v>0.75347175404999633</v>
      </c>
      <c r="N152" s="1">
        <f t="shared" si="5"/>
        <v>1.5711415450283431E-2</v>
      </c>
      <c r="O152" s="1">
        <v>1.5835488675020899E-2</v>
      </c>
    </row>
    <row r="153" spans="9:15" ht="14.25" customHeight="1" x14ac:dyDescent="0.2">
      <c r="I153" s="50" t="s">
        <v>180</v>
      </c>
      <c r="J153" s="81">
        <v>19.013698630099999</v>
      </c>
      <c r="K153" s="55">
        <v>1.6305885043037139E-2</v>
      </c>
      <c r="M153" s="39">
        <f t="shared" si="4"/>
        <v>0.73342115100327254</v>
      </c>
      <c r="N153" s="1">
        <f t="shared" si="5"/>
        <v>1.6305885043037139E-2</v>
      </c>
      <c r="O153" s="1">
        <v>1.6439551514984201E-2</v>
      </c>
    </row>
    <row r="154" spans="9:15" ht="14.25" customHeight="1" x14ac:dyDescent="0.2">
      <c r="I154" s="50" t="s">
        <v>180</v>
      </c>
      <c r="J154" s="81">
        <v>20.013698630099999</v>
      </c>
      <c r="K154" s="55">
        <v>1.6908859160920883E-2</v>
      </c>
      <c r="M154" s="39">
        <f t="shared" si="4"/>
        <v>0.71290378510488983</v>
      </c>
      <c r="N154" s="1">
        <f t="shared" si="5"/>
        <v>1.6908859160920883E-2</v>
      </c>
      <c r="O154" s="1">
        <v>1.7052623071506602E-2</v>
      </c>
    </row>
    <row r="155" spans="9:15" ht="14.25" customHeight="1" x14ac:dyDescent="0.2">
      <c r="I155" s="50" t="s">
        <v>180</v>
      </c>
      <c r="J155" s="81">
        <v>25.016438356199998</v>
      </c>
      <c r="K155" s="55">
        <v>1.8061813174557892E-2</v>
      </c>
      <c r="M155" s="39">
        <f t="shared" si="4"/>
        <v>0.63645457149876339</v>
      </c>
      <c r="N155" s="1">
        <f t="shared" si="5"/>
        <v>1.8061813174557892E-2</v>
      </c>
      <c r="O155" s="1">
        <v>1.8225914220755198E-2</v>
      </c>
    </row>
    <row r="156" spans="9:15" ht="14.25" customHeight="1" x14ac:dyDescent="0.2">
      <c r="I156" s="50" t="s">
        <v>180</v>
      </c>
      <c r="J156" s="81">
        <v>30.021917808200001</v>
      </c>
      <c r="K156" s="55">
        <v>1.8591210630723397E-2</v>
      </c>
      <c r="M156" s="39">
        <f t="shared" si="4"/>
        <v>0.57227032819119195</v>
      </c>
      <c r="N156" s="1">
        <f t="shared" si="5"/>
        <v>1.8591210630723397E-2</v>
      </c>
      <c r="O156" s="1">
        <v>1.8765103139573601E-2</v>
      </c>
    </row>
  </sheetData>
  <sheetProtection selectLockedCells="1"/>
  <dataValidations count="3">
    <dataValidation type="list" allowBlank="1" showInputMessage="1" showErrorMessage="1" errorTitle="¡Atención!" error="FX Rate no válido." sqref="D9:D1048576">
      <formula1>fxDefinition</formula1>
    </dataValidation>
    <dataValidation type="list" allowBlank="1" showInputMessage="1" showErrorMessage="1" errorTitle="¡Atención!" error="Debes ingresar una curva váida (debe estar ingresada en la hoja Datos Estaticos)." sqref="F9:G1048576">
      <formula1>curveDefinition</formula1>
    </dataValidation>
    <dataValidation type="list" allowBlank="1" showInputMessage="1" showErrorMessage="1" errorTitle="¡Atención!" error="Nombre de curva no válido." sqref="I9:I300 I361:I1048576">
      <formula1>curveDefinition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C2257"/>
  <sheetViews>
    <sheetView showGridLines="0" topLeftCell="C3" workbookViewId="0">
      <selection activeCell="D8" sqref="D8"/>
    </sheetView>
  </sheetViews>
  <sheetFormatPr baseColWidth="10" defaultColWidth="2.125" defaultRowHeight="14.25" outlineLevelRow="1" outlineLevelCol="1" x14ac:dyDescent="0.2"/>
  <cols>
    <col min="1" max="1" width="24" style="2" hidden="1" customWidth="1" outlineLevel="1"/>
    <col min="2" max="2" width="13.75" style="2" hidden="1" customWidth="1" outlineLevel="1"/>
    <col min="3" max="3" width="2.625" style="49" customWidth="1" collapsed="1"/>
    <col min="4" max="4" width="12.625" style="17" customWidth="1"/>
    <col min="5" max="5" width="9.125" style="17" customWidth="1"/>
    <col min="6" max="6" width="2.625" style="6" customWidth="1"/>
    <col min="7" max="7" width="12.625" style="17" customWidth="1"/>
    <col min="8" max="8" width="9.125" style="17" customWidth="1"/>
    <col min="9" max="9" width="2.625" style="6" customWidth="1"/>
    <col min="10" max="10" width="22.25" style="17" customWidth="1"/>
    <col min="11" max="11" width="9.125" style="17" customWidth="1"/>
    <col min="12" max="12" width="9.125" style="1" customWidth="1"/>
    <col min="13" max="13" width="2.625" style="1" customWidth="1"/>
    <col min="14" max="16384" width="2.125" style="1"/>
  </cols>
  <sheetData>
    <row r="1" spans="1:16383" s="2" customFormat="1" hidden="1" outlineLevel="1" x14ac:dyDescent="0.2">
      <c r="A1" s="3" t="str">
        <f ca="1">"'"&amp;nameOfThisSheet()</f>
        <v>'Model Parameters</v>
      </c>
      <c r="B1" s="3"/>
      <c r="C1" s="4"/>
      <c r="E1" s="7"/>
      <c r="F1" s="4"/>
      <c r="H1" s="7"/>
      <c r="I1" s="4"/>
    </row>
    <row r="2" spans="1:16383" s="2" customFormat="1" hidden="1" outlineLevel="1" x14ac:dyDescent="0.2">
      <c r="C2" s="4"/>
      <c r="F2" s="4"/>
      <c r="I2" s="4"/>
    </row>
    <row r="3" spans="1:16383" s="16" customFormat="1" ht="10.5" customHeight="1" collapsed="1" x14ac:dyDescent="0.2">
      <c r="A3" s="44"/>
      <c r="B3" s="44"/>
      <c r="C3" s="30"/>
      <c r="D3" s="57"/>
      <c r="E3" s="29"/>
      <c r="F3" s="29"/>
      <c r="G3" s="29"/>
      <c r="H3" s="29"/>
      <c r="I3" s="29"/>
      <c r="J3" s="29"/>
      <c r="K3" s="29"/>
      <c r="L3" s="29"/>
      <c r="M3" s="63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  <c r="XFC3" s="42"/>
    </row>
    <row r="4" spans="1:16383" s="16" customFormat="1" ht="42" customHeight="1" x14ac:dyDescent="0.2">
      <c r="A4" s="71"/>
      <c r="B4" s="44"/>
      <c r="C4" s="35" t="s">
        <v>122</v>
      </c>
      <c r="D4" s="58"/>
      <c r="E4" s="58"/>
      <c r="F4" s="30"/>
      <c r="G4" s="30"/>
      <c r="H4" s="30"/>
      <c r="I4" s="30"/>
      <c r="J4" s="30"/>
      <c r="K4" s="30"/>
      <c r="L4" s="30"/>
      <c r="M4" s="39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</row>
    <row r="5" spans="1:16383" s="16" customFormat="1" ht="14.25" customHeight="1" x14ac:dyDescent="0.2">
      <c r="A5" s="2" t="s">
        <v>91</v>
      </c>
      <c r="B5" s="2"/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16383" ht="14.25" customHeight="1" x14ac:dyDescent="0.2">
      <c r="A6" s="2" t="s">
        <v>84</v>
      </c>
      <c r="B6" s="2">
        <f ca="1">ROW(INDIRECT("originGamma"))</f>
        <v>8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9"/>
    </row>
    <row r="7" spans="1:16383" x14ac:dyDescent="0.2">
      <c r="A7" s="2" t="s">
        <v>85</v>
      </c>
      <c r="B7" s="2">
        <f ca="1">COLUMN(INDIRECT("originGamma"))</f>
        <v>4</v>
      </c>
      <c r="C7" s="30"/>
      <c r="D7" s="33" t="s">
        <v>20</v>
      </c>
      <c r="E7" s="33" t="s">
        <v>176</v>
      </c>
      <c r="F7" s="30"/>
      <c r="G7" s="33" t="s">
        <v>20</v>
      </c>
      <c r="H7" s="33" t="s">
        <v>177</v>
      </c>
      <c r="I7" s="30"/>
      <c r="J7" s="33" t="s">
        <v>20</v>
      </c>
      <c r="K7" s="33" t="s">
        <v>78</v>
      </c>
      <c r="L7" s="30"/>
      <c r="M7" s="39"/>
    </row>
    <row r="8" spans="1:16383" x14ac:dyDescent="0.2">
      <c r="A8" s="2" t="s">
        <v>86</v>
      </c>
      <c r="B8" s="18" t="str">
        <f ca="1">numbertoletter(B7)</f>
        <v>D</v>
      </c>
      <c r="C8" s="30"/>
      <c r="D8" s="64" t="s">
        <v>181</v>
      </c>
      <c r="E8" s="83">
        <v>0.4</v>
      </c>
      <c r="F8" s="30"/>
      <c r="G8" s="64" t="s">
        <v>133</v>
      </c>
      <c r="H8" s="92">
        <v>0.01</v>
      </c>
      <c r="I8" s="30"/>
      <c r="J8" s="65" t="s">
        <v>138</v>
      </c>
      <c r="K8" s="83">
        <v>0</v>
      </c>
      <c r="L8" s="30"/>
      <c r="M8" s="39"/>
    </row>
    <row r="9" spans="1:16383" x14ac:dyDescent="0.2">
      <c r="A9" s="2" t="s">
        <v>92</v>
      </c>
      <c r="B9" s="2">
        <v>21</v>
      </c>
      <c r="C9" s="30"/>
      <c r="D9" s="64" t="s">
        <v>179</v>
      </c>
      <c r="E9" s="83">
        <v>0.4</v>
      </c>
      <c r="F9" s="30"/>
      <c r="G9" s="64" t="s">
        <v>13</v>
      </c>
      <c r="H9" s="92">
        <v>7.6799999999999993E-2</v>
      </c>
      <c r="I9" s="30"/>
      <c r="J9" s="65" t="s">
        <v>139</v>
      </c>
      <c r="K9" s="83">
        <v>0</v>
      </c>
      <c r="L9" s="30"/>
      <c r="M9" s="39"/>
    </row>
    <row r="10" spans="1:16383" x14ac:dyDescent="0.2">
      <c r="A10" s="2" t="s">
        <v>87</v>
      </c>
      <c r="B10" s="18" t="str">
        <f ca="1">B8&amp;B6&amp;":"&amp;B8&amp;(B9+B6-1)</f>
        <v>D8:D28</v>
      </c>
      <c r="C10" s="30"/>
      <c r="D10" s="64" t="s">
        <v>180</v>
      </c>
      <c r="E10" s="83">
        <v>0.4</v>
      </c>
      <c r="F10" s="30"/>
      <c r="G10" s="64" t="s">
        <v>4</v>
      </c>
      <c r="H10" s="92">
        <v>9.2999999999999999E-2</v>
      </c>
      <c r="I10" s="30"/>
      <c r="J10" s="65" t="s">
        <v>186</v>
      </c>
      <c r="K10" s="83">
        <v>0</v>
      </c>
      <c r="L10" s="30"/>
      <c r="M10" s="39"/>
    </row>
    <row r="11" spans="1:16383" x14ac:dyDescent="0.2">
      <c r="A11" s="2" t="s">
        <v>88</v>
      </c>
      <c r="B11" s="2">
        <f ca="1">COUNTA(INDIRECT(B10))</f>
        <v>4</v>
      </c>
      <c r="C11" s="30"/>
      <c r="D11" s="64" t="s">
        <v>182</v>
      </c>
      <c r="E11" s="83">
        <v>0.4</v>
      </c>
      <c r="F11" s="30"/>
      <c r="G11" s="64" t="s">
        <v>181</v>
      </c>
      <c r="H11" s="92">
        <v>0</v>
      </c>
      <c r="I11" s="30"/>
      <c r="J11" s="65" t="s">
        <v>187</v>
      </c>
      <c r="K11" s="83">
        <v>0</v>
      </c>
      <c r="L11" s="30"/>
      <c r="M11" s="39"/>
    </row>
    <row r="12" spans="1:16383" ht="15" x14ac:dyDescent="0.25">
      <c r="A12" s="2" t="s">
        <v>89</v>
      </c>
      <c r="B12" s="19">
        <v>2</v>
      </c>
      <c r="C12" s="30"/>
      <c r="D12" s="64"/>
      <c r="E12" s="81"/>
      <c r="F12" s="30"/>
      <c r="G12" s="64" t="s">
        <v>179</v>
      </c>
      <c r="H12" s="92">
        <v>0</v>
      </c>
      <c r="I12" s="30"/>
      <c r="J12" s="65" t="s">
        <v>188</v>
      </c>
      <c r="K12" s="83">
        <v>0</v>
      </c>
      <c r="L12" s="30"/>
      <c r="M12" s="39"/>
    </row>
    <row r="13" spans="1:16383" x14ac:dyDescent="0.2">
      <c r="A13" s="2" t="s">
        <v>90</v>
      </c>
      <c r="B13" s="18" t="str">
        <f ca="1">B8&amp;B6&amp;":"&amp;numbertoletter(B7+B12-1)&amp;(B6+B11-1)</f>
        <v>D8:E11</v>
      </c>
      <c r="C13" s="30"/>
      <c r="D13" s="64"/>
      <c r="E13" s="81"/>
      <c r="F13" s="30"/>
      <c r="G13" s="64" t="s">
        <v>180</v>
      </c>
      <c r="H13" s="92">
        <v>0</v>
      </c>
      <c r="I13" s="30"/>
      <c r="J13" s="65" t="s">
        <v>189</v>
      </c>
      <c r="K13" s="83">
        <v>0</v>
      </c>
      <c r="L13" s="30"/>
      <c r="M13" s="39"/>
    </row>
    <row r="14" spans="1:16383" x14ac:dyDescent="0.2">
      <c r="C14" s="30"/>
      <c r="D14" s="64"/>
      <c r="E14" s="81"/>
      <c r="F14" s="30"/>
      <c r="G14" s="64" t="s">
        <v>182</v>
      </c>
      <c r="H14" s="92">
        <v>0</v>
      </c>
      <c r="I14" s="30"/>
      <c r="J14" s="65" t="s">
        <v>140</v>
      </c>
      <c r="K14" s="83">
        <v>0</v>
      </c>
      <c r="L14" s="30"/>
      <c r="M14" s="39"/>
    </row>
    <row r="15" spans="1:16383" x14ac:dyDescent="0.2">
      <c r="A15" s="2" t="s">
        <v>93</v>
      </c>
      <c r="C15" s="30"/>
      <c r="D15" s="64"/>
      <c r="E15" s="81"/>
      <c r="F15" s="30"/>
      <c r="G15" s="64"/>
      <c r="H15" s="92"/>
      <c r="I15" s="30"/>
      <c r="J15" s="65" t="s">
        <v>190</v>
      </c>
      <c r="K15" s="83">
        <v>0</v>
      </c>
      <c r="L15" s="30"/>
      <c r="M15" s="39"/>
    </row>
    <row r="16" spans="1:16383" x14ac:dyDescent="0.2">
      <c r="A16" s="2" t="s">
        <v>84</v>
      </c>
      <c r="B16" s="2">
        <f ca="1">ROW(INDIRECT("originSigma"))</f>
        <v>8</v>
      </c>
      <c r="C16" s="30"/>
      <c r="D16" s="64"/>
      <c r="E16" s="81"/>
      <c r="F16" s="30"/>
      <c r="G16" s="64"/>
      <c r="H16" s="92"/>
      <c r="I16" s="30"/>
      <c r="J16" s="65" t="s">
        <v>191</v>
      </c>
      <c r="K16" s="83">
        <v>0</v>
      </c>
      <c r="L16" s="30"/>
      <c r="M16" s="39"/>
    </row>
    <row r="17" spans="1:13" x14ac:dyDescent="0.2">
      <c r="A17" s="2" t="s">
        <v>85</v>
      </c>
      <c r="B17" s="2">
        <f ca="1">COLUMN(INDIRECT("originSigma"))</f>
        <v>7</v>
      </c>
      <c r="C17" s="30"/>
      <c r="D17" s="64"/>
      <c r="E17" s="81"/>
      <c r="F17" s="30"/>
      <c r="G17" s="64"/>
      <c r="H17" s="92"/>
      <c r="I17" s="30"/>
      <c r="J17" s="65" t="s">
        <v>192</v>
      </c>
      <c r="K17" s="83">
        <v>0</v>
      </c>
      <c r="L17" s="30"/>
      <c r="M17" s="39"/>
    </row>
    <row r="18" spans="1:13" x14ac:dyDescent="0.2">
      <c r="A18" s="2" t="s">
        <v>86</v>
      </c>
      <c r="B18" s="18" t="str">
        <f ca="1">numbertoletter(B17)</f>
        <v>G</v>
      </c>
      <c r="C18" s="30"/>
      <c r="D18" s="64"/>
      <c r="E18" s="81"/>
      <c r="F18" s="30"/>
      <c r="G18" s="64"/>
      <c r="H18" s="92"/>
      <c r="I18" s="30"/>
      <c r="J18" s="65" t="s">
        <v>193</v>
      </c>
      <c r="K18" s="83">
        <v>0</v>
      </c>
      <c r="L18" s="30"/>
      <c r="M18" s="39"/>
    </row>
    <row r="19" spans="1:13" x14ac:dyDescent="0.2">
      <c r="A19" s="2" t="s">
        <v>94</v>
      </c>
      <c r="B19" s="2">
        <v>40</v>
      </c>
      <c r="C19" s="30"/>
      <c r="D19" s="64"/>
      <c r="E19" s="81"/>
      <c r="F19" s="30"/>
      <c r="G19" s="64"/>
      <c r="H19" s="92"/>
      <c r="I19" s="30"/>
      <c r="J19" s="65" t="s">
        <v>194</v>
      </c>
      <c r="K19" s="83">
        <v>0</v>
      </c>
      <c r="L19" s="30"/>
      <c r="M19" s="39"/>
    </row>
    <row r="20" spans="1:13" x14ac:dyDescent="0.2">
      <c r="A20" s="2" t="s">
        <v>87</v>
      </c>
      <c r="B20" s="18" t="str">
        <f ca="1">B18&amp;B16&amp;":"&amp;B18&amp;(B19+B16-1)</f>
        <v>G8:G47</v>
      </c>
      <c r="C20" s="30"/>
      <c r="D20" s="64"/>
      <c r="E20" s="81"/>
      <c r="F20" s="30"/>
      <c r="G20" s="64"/>
      <c r="H20" s="92"/>
      <c r="I20" s="30"/>
      <c r="J20" s="65" t="s">
        <v>195</v>
      </c>
      <c r="K20" s="83">
        <v>0</v>
      </c>
      <c r="L20" s="30"/>
      <c r="M20" s="39"/>
    </row>
    <row r="21" spans="1:13" x14ac:dyDescent="0.2">
      <c r="A21" s="2" t="s">
        <v>88</v>
      </c>
      <c r="B21" s="2">
        <f ca="1">COUNTA(INDIRECT(B20))</f>
        <v>7</v>
      </c>
      <c r="C21" s="30"/>
      <c r="D21" s="64"/>
      <c r="E21" s="81"/>
      <c r="F21" s="30"/>
      <c r="G21" s="64"/>
      <c r="H21" s="92"/>
      <c r="I21" s="30"/>
      <c r="J21" s="65" t="s">
        <v>196</v>
      </c>
      <c r="K21" s="83">
        <v>0</v>
      </c>
      <c r="L21" s="30"/>
      <c r="M21" s="39"/>
    </row>
    <row r="22" spans="1:13" ht="15" x14ac:dyDescent="0.25">
      <c r="A22" s="2" t="s">
        <v>89</v>
      </c>
      <c r="B22" s="19">
        <v>2</v>
      </c>
      <c r="C22" s="30"/>
      <c r="D22" s="64"/>
      <c r="E22" s="81"/>
      <c r="F22" s="30"/>
      <c r="G22" s="64"/>
      <c r="H22" s="92"/>
      <c r="I22" s="30"/>
      <c r="J22" s="65" t="s">
        <v>197</v>
      </c>
      <c r="K22" s="83">
        <v>0</v>
      </c>
      <c r="L22" s="30"/>
      <c r="M22" s="39"/>
    </row>
    <row r="23" spans="1:13" x14ac:dyDescent="0.2">
      <c r="A23" s="2" t="s">
        <v>90</v>
      </c>
      <c r="B23" s="18" t="str">
        <f ca="1">B18&amp;B16&amp;":"&amp;numbertoletter(B17+B22-1)&amp;(B16+B21-1)</f>
        <v>G8:H14</v>
      </c>
      <c r="C23" s="30"/>
      <c r="D23" s="64"/>
      <c r="E23" s="81"/>
      <c r="F23" s="30"/>
      <c r="G23" s="64"/>
      <c r="H23" s="92"/>
      <c r="I23" s="30"/>
      <c r="J23" s="65" t="s">
        <v>198</v>
      </c>
      <c r="K23" s="83">
        <v>0</v>
      </c>
      <c r="L23" s="30"/>
      <c r="M23" s="39"/>
    </row>
    <row r="24" spans="1:13" x14ac:dyDescent="0.2">
      <c r="C24" s="30"/>
      <c r="D24" s="64"/>
      <c r="E24" s="81"/>
      <c r="F24" s="30"/>
      <c r="G24" s="64"/>
      <c r="H24" s="92"/>
      <c r="I24" s="30"/>
      <c r="J24" s="65" t="s">
        <v>199</v>
      </c>
      <c r="K24" s="83">
        <v>0</v>
      </c>
      <c r="L24" s="30"/>
      <c r="M24" s="39"/>
    </row>
    <row r="25" spans="1:13" x14ac:dyDescent="0.2">
      <c r="A25" s="2" t="s">
        <v>101</v>
      </c>
      <c r="C25" s="30"/>
      <c r="D25" s="64"/>
      <c r="E25" s="81"/>
      <c r="F25" s="30"/>
      <c r="G25" s="64"/>
      <c r="H25" s="92"/>
      <c r="I25" s="30"/>
      <c r="J25" s="65" t="s">
        <v>200</v>
      </c>
      <c r="K25" s="83">
        <v>0</v>
      </c>
      <c r="L25" s="30"/>
      <c r="M25" s="39"/>
    </row>
    <row r="26" spans="1:13" x14ac:dyDescent="0.2">
      <c r="A26" s="2" t="s">
        <v>84</v>
      </c>
      <c r="B26" s="2">
        <f ca="1">ROW(INDIRECT("originRho"))</f>
        <v>8</v>
      </c>
      <c r="C26" s="30"/>
      <c r="D26" s="64"/>
      <c r="E26" s="81"/>
      <c r="F26" s="30"/>
      <c r="G26" s="64"/>
      <c r="H26" s="92"/>
      <c r="I26" s="30"/>
      <c r="J26" s="65" t="s">
        <v>201</v>
      </c>
      <c r="K26" s="83">
        <v>0</v>
      </c>
      <c r="L26" s="30"/>
      <c r="M26" s="39"/>
    </row>
    <row r="27" spans="1:13" x14ac:dyDescent="0.2">
      <c r="A27" s="2" t="s">
        <v>85</v>
      </c>
      <c r="B27" s="2">
        <f ca="1">COLUMN(INDIRECT("originRho"))</f>
        <v>10</v>
      </c>
      <c r="C27" s="30"/>
      <c r="D27" s="64"/>
      <c r="E27" s="81"/>
      <c r="F27" s="30"/>
      <c r="G27" s="64"/>
      <c r="H27" s="92"/>
      <c r="I27" s="30"/>
      <c r="J27" s="65" t="s">
        <v>202</v>
      </c>
      <c r="K27" s="83">
        <v>0</v>
      </c>
      <c r="L27" s="30"/>
      <c r="M27" s="39"/>
    </row>
    <row r="28" spans="1:13" x14ac:dyDescent="0.2">
      <c r="A28" s="2" t="s">
        <v>86</v>
      </c>
      <c r="B28" s="18" t="str">
        <f ca="1">numbertoletter(B27)</f>
        <v>J</v>
      </c>
      <c r="C28" s="30"/>
      <c r="D28" s="30"/>
      <c r="E28" s="30"/>
      <c r="F28" s="30"/>
      <c r="G28" s="64"/>
      <c r="H28" s="92"/>
      <c r="I28" s="30"/>
      <c r="J28" s="65" t="s">
        <v>203</v>
      </c>
      <c r="K28" s="83">
        <v>0</v>
      </c>
      <c r="L28" s="30"/>
      <c r="M28" s="39"/>
    </row>
    <row r="29" spans="1:13" x14ac:dyDescent="0.2">
      <c r="A29" s="2" t="s">
        <v>94</v>
      </c>
      <c r="B29" s="2">
        <f>B9*(B9-1)/2</f>
        <v>210</v>
      </c>
      <c r="C29" s="30"/>
      <c r="D29" s="30"/>
      <c r="E29" s="30"/>
      <c r="F29" s="30"/>
      <c r="G29" s="64"/>
      <c r="H29" s="81"/>
      <c r="I29" s="30"/>
      <c r="J29" s="65"/>
      <c r="K29" s="83"/>
      <c r="L29" s="30"/>
      <c r="M29" s="39"/>
    </row>
    <row r="30" spans="1:13" x14ac:dyDescent="0.2">
      <c r="A30" s="2" t="s">
        <v>87</v>
      </c>
      <c r="B30" s="18" t="str">
        <f ca="1">B28&amp;B26&amp;":"&amp;B28&amp;(B29+B26-1)</f>
        <v>J8:J217</v>
      </c>
      <c r="C30" s="30"/>
      <c r="D30" s="30"/>
      <c r="E30" s="30"/>
      <c r="F30" s="30"/>
      <c r="G30" s="64"/>
      <c r="H30" s="81"/>
      <c r="I30" s="30"/>
      <c r="J30" s="65"/>
      <c r="K30" s="83"/>
      <c r="L30" s="30"/>
      <c r="M30" s="39"/>
    </row>
    <row r="31" spans="1:13" x14ac:dyDescent="0.2">
      <c r="A31" s="2" t="s">
        <v>88</v>
      </c>
      <c r="B31" s="2">
        <f ca="1">COUNTA(INDIRECT(B30))</f>
        <v>21</v>
      </c>
      <c r="C31" s="30"/>
      <c r="D31" s="30"/>
      <c r="E31" s="30"/>
      <c r="F31" s="30"/>
      <c r="G31" s="64"/>
      <c r="H31" s="81"/>
      <c r="I31" s="30"/>
      <c r="J31" s="65"/>
      <c r="K31" s="83"/>
      <c r="L31" s="30"/>
      <c r="M31" s="39"/>
    </row>
    <row r="32" spans="1:13" ht="15" x14ac:dyDescent="0.25">
      <c r="A32" s="2" t="s">
        <v>89</v>
      </c>
      <c r="B32" s="19">
        <v>2</v>
      </c>
      <c r="C32" s="30"/>
      <c r="D32" s="30"/>
      <c r="E32" s="30"/>
      <c r="F32" s="30"/>
      <c r="G32" s="64"/>
      <c r="H32" s="81"/>
      <c r="I32" s="30"/>
      <c r="J32" s="65"/>
      <c r="K32" s="83"/>
      <c r="L32" s="30"/>
      <c r="M32" s="39"/>
    </row>
    <row r="33" spans="1:13" x14ac:dyDescent="0.2">
      <c r="A33" s="2" t="s">
        <v>90</v>
      </c>
      <c r="B33" s="18" t="str">
        <f ca="1">B28&amp;B26&amp;":"&amp;numbertoletter(B27+B32-1)&amp;(B26+B31-1)</f>
        <v>J8:K28</v>
      </c>
      <c r="C33" s="30"/>
      <c r="D33" s="30"/>
      <c r="E33" s="30"/>
      <c r="F33" s="30"/>
      <c r="G33" s="30"/>
      <c r="H33" s="30"/>
      <c r="I33" s="30"/>
      <c r="J33" s="65"/>
      <c r="K33" s="83"/>
      <c r="L33" s="30"/>
      <c r="M33" s="39"/>
    </row>
    <row r="34" spans="1:13" x14ac:dyDescent="0.2">
      <c r="C34" s="30"/>
      <c r="D34" s="30"/>
      <c r="E34" s="30"/>
      <c r="F34" s="30"/>
      <c r="G34" s="30"/>
      <c r="H34" s="30"/>
      <c r="I34" s="30"/>
      <c r="J34" s="65"/>
      <c r="K34" s="83"/>
      <c r="L34" s="30"/>
      <c r="M34" s="39"/>
    </row>
    <row r="35" spans="1:13" x14ac:dyDescent="0.2">
      <c r="C35" s="30"/>
      <c r="D35" s="30"/>
      <c r="E35" s="30"/>
      <c r="F35" s="30"/>
      <c r="G35" s="30"/>
      <c r="H35" s="30"/>
      <c r="I35" s="30"/>
      <c r="J35" s="65"/>
      <c r="K35" s="83"/>
      <c r="L35" s="30"/>
      <c r="M35" s="39"/>
    </row>
    <row r="36" spans="1:13" x14ac:dyDescent="0.2">
      <c r="C36" s="30"/>
      <c r="D36" s="30"/>
      <c r="E36" s="30"/>
      <c r="F36" s="30"/>
      <c r="G36" s="30"/>
      <c r="H36" s="30"/>
      <c r="I36" s="30"/>
      <c r="J36" s="65"/>
      <c r="K36" s="83"/>
      <c r="L36" s="30"/>
      <c r="M36" s="39"/>
    </row>
    <row r="37" spans="1:13" x14ac:dyDescent="0.2">
      <c r="C37" s="30"/>
      <c r="D37" s="30"/>
      <c r="E37" s="30"/>
      <c r="F37" s="30"/>
      <c r="G37" s="30"/>
      <c r="H37" s="30"/>
      <c r="I37" s="30"/>
      <c r="J37" s="65"/>
      <c r="K37" s="83"/>
      <c r="L37" s="30"/>
      <c r="M37" s="39"/>
    </row>
    <row r="38" spans="1:13" x14ac:dyDescent="0.2">
      <c r="C38" s="30"/>
      <c r="D38" s="30"/>
      <c r="E38" s="30"/>
      <c r="F38" s="30"/>
      <c r="G38" s="30"/>
      <c r="H38" s="30"/>
      <c r="I38" s="30"/>
      <c r="J38" s="65"/>
      <c r="K38" s="83"/>
      <c r="L38" s="30"/>
      <c r="M38" s="39"/>
    </row>
    <row r="39" spans="1:13" x14ac:dyDescent="0.2">
      <c r="C39" s="30"/>
      <c r="D39" s="30"/>
      <c r="E39" s="30"/>
      <c r="F39" s="30"/>
      <c r="G39" s="30"/>
      <c r="H39" s="30"/>
      <c r="I39" s="30"/>
      <c r="J39" s="65"/>
      <c r="K39" s="83"/>
      <c r="L39" s="30"/>
      <c r="M39" s="39"/>
    </row>
    <row r="40" spans="1:13" x14ac:dyDescent="0.2">
      <c r="C40" s="30"/>
      <c r="D40" s="30"/>
      <c r="E40" s="30"/>
      <c r="F40" s="30"/>
      <c r="G40" s="30"/>
      <c r="H40" s="30"/>
      <c r="I40" s="30"/>
      <c r="J40" s="65"/>
      <c r="K40" s="83"/>
      <c r="L40" s="30"/>
      <c r="M40" s="39"/>
    </row>
    <row r="41" spans="1:13" x14ac:dyDescent="0.2">
      <c r="C41" s="30"/>
      <c r="D41" s="30"/>
      <c r="E41" s="30"/>
      <c r="F41" s="30"/>
      <c r="G41" s="30"/>
      <c r="H41" s="30"/>
      <c r="I41" s="30"/>
      <c r="J41" s="65"/>
      <c r="K41" s="83"/>
      <c r="L41" s="30"/>
      <c r="M41" s="39"/>
    </row>
    <row r="42" spans="1:13" x14ac:dyDescent="0.2">
      <c r="C42" s="30"/>
      <c r="D42" s="30"/>
      <c r="E42" s="30"/>
      <c r="F42" s="30"/>
      <c r="G42" s="30"/>
      <c r="H42" s="30"/>
      <c r="I42" s="30"/>
      <c r="J42" s="65"/>
      <c r="K42" s="83"/>
      <c r="L42" s="30"/>
      <c r="M42" s="39"/>
    </row>
    <row r="43" spans="1:13" x14ac:dyDescent="0.2">
      <c r="C43" s="30"/>
      <c r="D43" s="30"/>
      <c r="E43" s="30"/>
      <c r="F43" s="30"/>
      <c r="G43" s="30"/>
      <c r="H43" s="30"/>
      <c r="I43" s="30"/>
      <c r="J43" s="65"/>
      <c r="K43" s="83"/>
      <c r="L43" s="30"/>
      <c r="M43" s="39"/>
    </row>
    <row r="44" spans="1:13" x14ac:dyDescent="0.2">
      <c r="C44" s="30"/>
      <c r="D44" s="30"/>
      <c r="E44" s="30"/>
      <c r="F44" s="30"/>
      <c r="G44" s="30"/>
      <c r="H44" s="30"/>
      <c r="I44" s="30"/>
      <c r="J44" s="65"/>
      <c r="K44" s="83"/>
      <c r="L44" s="30"/>
      <c r="M44" s="39"/>
    </row>
    <row r="45" spans="1:13" x14ac:dyDescent="0.2">
      <c r="C45" s="30"/>
      <c r="D45" s="30"/>
      <c r="E45" s="30"/>
      <c r="F45" s="30"/>
      <c r="G45" s="30"/>
      <c r="H45" s="30"/>
      <c r="I45" s="30"/>
      <c r="J45" s="65"/>
      <c r="K45" s="83"/>
      <c r="L45" s="30"/>
      <c r="M45" s="39"/>
    </row>
    <row r="46" spans="1:13" x14ac:dyDescent="0.2">
      <c r="C46" s="30"/>
      <c r="D46" s="30"/>
      <c r="E46" s="30"/>
      <c r="F46" s="30"/>
      <c r="G46" s="30"/>
      <c r="H46" s="30"/>
      <c r="I46" s="30"/>
      <c r="J46" s="65"/>
      <c r="K46" s="83"/>
      <c r="L46" s="30"/>
      <c r="M46" s="39"/>
    </row>
    <row r="47" spans="1:13" x14ac:dyDescent="0.2">
      <c r="C47" s="30"/>
      <c r="D47" s="30"/>
      <c r="E47" s="30"/>
      <c r="F47" s="30"/>
      <c r="G47" s="30"/>
      <c r="H47" s="30"/>
      <c r="I47" s="30"/>
      <c r="J47" s="65"/>
      <c r="K47" s="83"/>
      <c r="L47" s="30"/>
      <c r="M47" s="39"/>
    </row>
    <row r="48" spans="1:13" x14ac:dyDescent="0.2">
      <c r="A48" s="30"/>
      <c r="B48" s="30"/>
      <c r="C48" s="30"/>
      <c r="D48" s="30"/>
      <c r="E48" s="30"/>
      <c r="F48" s="30"/>
      <c r="G48" s="30"/>
      <c r="H48" s="30"/>
      <c r="I48" s="30"/>
      <c r="J48" s="65"/>
      <c r="K48" s="83"/>
      <c r="L48" s="30"/>
      <c r="M48" s="39"/>
    </row>
    <row r="49" spans="1:13" x14ac:dyDescent="0.2">
      <c r="A49" s="30"/>
      <c r="B49" s="30"/>
      <c r="C49" s="30"/>
      <c r="D49" s="30"/>
      <c r="E49" s="30"/>
      <c r="F49" s="30"/>
      <c r="G49" s="30"/>
      <c r="H49" s="30"/>
      <c r="I49" s="30"/>
      <c r="J49" s="65"/>
      <c r="K49" s="83"/>
      <c r="L49" s="30"/>
      <c r="M49" s="39"/>
    </row>
    <row r="50" spans="1:13" x14ac:dyDescent="0.2">
      <c r="A50" s="30"/>
      <c r="B50" s="30"/>
      <c r="C50" s="30"/>
      <c r="D50" s="30"/>
      <c r="E50" s="30"/>
      <c r="F50" s="30"/>
      <c r="G50" s="30"/>
      <c r="H50" s="30"/>
      <c r="I50" s="30"/>
      <c r="J50" s="65"/>
      <c r="K50" s="83"/>
      <c r="L50" s="30"/>
      <c r="M50" s="39"/>
    </row>
    <row r="51" spans="1:13" x14ac:dyDescent="0.2">
      <c r="A51" s="30"/>
      <c r="B51" s="30"/>
      <c r="C51" s="30"/>
      <c r="D51" s="30"/>
      <c r="E51" s="30"/>
      <c r="F51" s="30"/>
      <c r="G51" s="30"/>
      <c r="H51" s="30"/>
      <c r="I51" s="30"/>
      <c r="J51" s="65"/>
      <c r="K51" s="83"/>
      <c r="L51" s="30"/>
      <c r="M51" s="39"/>
    </row>
    <row r="52" spans="1:13" x14ac:dyDescent="0.2">
      <c r="A52" s="30"/>
      <c r="B52" s="30"/>
      <c r="C52" s="30"/>
      <c r="D52" s="30"/>
      <c r="E52" s="30"/>
      <c r="F52" s="30"/>
      <c r="G52" s="30"/>
      <c r="H52" s="30"/>
      <c r="I52" s="30"/>
      <c r="J52" s="65"/>
      <c r="K52" s="83"/>
      <c r="L52" s="30"/>
      <c r="M52" s="39"/>
    </row>
    <row r="53" spans="1:13" x14ac:dyDescent="0.2">
      <c r="A53" s="30"/>
      <c r="B53" s="30"/>
      <c r="C53" s="30"/>
      <c r="D53" s="30"/>
      <c r="E53" s="30"/>
      <c r="F53" s="30"/>
      <c r="G53" s="30"/>
      <c r="H53" s="30"/>
      <c r="I53" s="30"/>
      <c r="J53" s="65"/>
      <c r="K53" s="83"/>
      <c r="L53" s="30"/>
      <c r="M53" s="39"/>
    </row>
    <row r="54" spans="1:13" x14ac:dyDescent="0.2">
      <c r="A54" s="30"/>
      <c r="B54" s="30"/>
      <c r="C54" s="30"/>
      <c r="D54" s="30"/>
      <c r="E54" s="30"/>
      <c r="F54" s="30"/>
      <c r="G54" s="30"/>
      <c r="H54" s="30"/>
      <c r="I54" s="30"/>
      <c r="J54" s="65"/>
      <c r="K54" s="83"/>
      <c r="L54" s="30"/>
      <c r="M54" s="39"/>
    </row>
    <row r="55" spans="1:13" x14ac:dyDescent="0.2">
      <c r="A55" s="30"/>
      <c r="B55" s="30"/>
      <c r="C55" s="30"/>
      <c r="D55" s="30"/>
      <c r="E55" s="30"/>
      <c r="F55" s="30"/>
      <c r="G55" s="30"/>
      <c r="H55" s="30"/>
      <c r="I55" s="30"/>
      <c r="J55" s="65"/>
      <c r="K55" s="83"/>
      <c r="L55" s="30"/>
      <c r="M55" s="39"/>
    </row>
    <row r="56" spans="1:13" x14ac:dyDescent="0.2">
      <c r="A56" s="30"/>
      <c r="B56" s="30"/>
      <c r="C56" s="30"/>
      <c r="D56" s="30"/>
      <c r="E56" s="30"/>
      <c r="F56" s="30"/>
      <c r="G56" s="30"/>
      <c r="H56" s="30"/>
      <c r="I56" s="30"/>
      <c r="J56" s="65"/>
      <c r="K56" s="83"/>
      <c r="L56" s="30"/>
      <c r="M56" s="39"/>
    </row>
    <row r="57" spans="1:13" x14ac:dyDescent="0.2">
      <c r="A57" s="30"/>
      <c r="B57" s="30"/>
      <c r="C57" s="30"/>
      <c r="D57" s="30"/>
      <c r="E57" s="30"/>
      <c r="F57" s="30"/>
      <c r="G57" s="30"/>
      <c r="H57" s="30"/>
      <c r="I57" s="30"/>
      <c r="J57" s="65"/>
      <c r="K57" s="83"/>
      <c r="L57" s="30"/>
      <c r="M57" s="39"/>
    </row>
    <row r="58" spans="1:13" x14ac:dyDescent="0.2">
      <c r="A58" s="30"/>
      <c r="B58" s="30"/>
      <c r="C58" s="30"/>
      <c r="D58" s="30"/>
      <c r="E58" s="30"/>
      <c r="F58" s="30"/>
      <c r="G58" s="30"/>
      <c r="H58" s="30"/>
      <c r="I58" s="30"/>
      <c r="J58" s="65"/>
      <c r="K58" s="83"/>
      <c r="L58" s="30"/>
      <c r="M58" s="39"/>
    </row>
    <row r="59" spans="1:13" x14ac:dyDescent="0.2">
      <c r="A59" s="30"/>
      <c r="B59" s="30"/>
      <c r="C59" s="30"/>
      <c r="D59" s="30"/>
      <c r="E59" s="30"/>
      <c r="F59" s="30"/>
      <c r="G59" s="30"/>
      <c r="H59" s="30"/>
      <c r="I59" s="30"/>
      <c r="J59" s="65"/>
      <c r="K59" s="83"/>
      <c r="L59" s="30"/>
      <c r="M59" s="39"/>
    </row>
    <row r="60" spans="1:13" x14ac:dyDescent="0.2">
      <c r="A60" s="30"/>
      <c r="B60" s="30"/>
      <c r="C60" s="30"/>
      <c r="D60" s="30"/>
      <c r="E60" s="30"/>
      <c r="F60" s="30"/>
      <c r="G60" s="30"/>
      <c r="H60" s="30"/>
      <c r="I60" s="30"/>
      <c r="J60" s="65"/>
      <c r="K60" s="83"/>
      <c r="L60" s="30"/>
      <c r="M60" s="39"/>
    </row>
    <row r="61" spans="1:13" x14ac:dyDescent="0.2">
      <c r="A61" s="30"/>
      <c r="B61" s="30"/>
      <c r="C61" s="30"/>
      <c r="D61" s="30"/>
      <c r="E61" s="30"/>
      <c r="F61" s="30"/>
      <c r="G61" s="30"/>
      <c r="H61" s="30"/>
      <c r="I61" s="30"/>
      <c r="J61" s="65"/>
      <c r="K61" s="83"/>
      <c r="L61" s="30"/>
      <c r="M61" s="39"/>
    </row>
    <row r="62" spans="1:13" x14ac:dyDescent="0.2">
      <c r="A62" s="30"/>
      <c r="B62" s="30"/>
      <c r="C62" s="30"/>
      <c r="D62" s="30"/>
      <c r="E62" s="30"/>
      <c r="F62" s="30"/>
      <c r="G62" s="30"/>
      <c r="H62" s="30"/>
      <c r="I62" s="30"/>
      <c r="J62" s="65"/>
      <c r="K62" s="83"/>
      <c r="L62" s="30"/>
      <c r="M62" s="39"/>
    </row>
    <row r="63" spans="1:13" x14ac:dyDescent="0.2">
      <c r="A63" s="30"/>
      <c r="B63" s="30"/>
      <c r="C63" s="30"/>
      <c r="D63" s="30"/>
      <c r="E63" s="30"/>
      <c r="F63" s="30"/>
      <c r="G63" s="30"/>
      <c r="H63" s="30"/>
      <c r="I63" s="30"/>
      <c r="J63" s="65"/>
      <c r="K63" s="83"/>
      <c r="L63" s="30"/>
      <c r="M63" s="39"/>
    </row>
    <row r="64" spans="1:13" x14ac:dyDescent="0.2">
      <c r="A64" s="30"/>
      <c r="B64" s="30"/>
      <c r="C64" s="30"/>
      <c r="D64" s="30"/>
      <c r="E64" s="30"/>
      <c r="F64" s="30"/>
      <c r="G64" s="30"/>
      <c r="H64" s="30"/>
      <c r="I64" s="30"/>
      <c r="J64" s="65"/>
      <c r="K64" s="83"/>
      <c r="L64" s="30"/>
      <c r="M64" s="39"/>
    </row>
    <row r="65" spans="1:13" x14ac:dyDescent="0.2">
      <c r="A65" s="30"/>
      <c r="B65" s="30"/>
      <c r="C65" s="30"/>
      <c r="D65" s="30"/>
      <c r="E65" s="30"/>
      <c r="F65" s="30"/>
      <c r="G65" s="30"/>
      <c r="H65" s="30"/>
      <c r="I65" s="30"/>
      <c r="J65" s="65"/>
      <c r="K65" s="83"/>
      <c r="L65" s="30"/>
      <c r="M65" s="39"/>
    </row>
    <row r="66" spans="1:13" x14ac:dyDescent="0.2">
      <c r="A66" s="30"/>
      <c r="B66" s="30"/>
      <c r="C66" s="30"/>
      <c r="D66" s="30"/>
      <c r="E66" s="30"/>
      <c r="F66" s="30"/>
      <c r="G66" s="30"/>
      <c r="H66" s="30"/>
      <c r="I66" s="30"/>
      <c r="J66" s="65"/>
      <c r="K66" s="83"/>
      <c r="L66" s="30"/>
      <c r="M66" s="39"/>
    </row>
    <row r="67" spans="1:13" x14ac:dyDescent="0.2">
      <c r="A67" s="30"/>
      <c r="B67" s="30"/>
      <c r="C67" s="30"/>
      <c r="D67" s="30"/>
      <c r="E67" s="30"/>
      <c r="F67" s="30"/>
      <c r="G67" s="30"/>
      <c r="H67" s="30"/>
      <c r="I67" s="30"/>
      <c r="J67" s="65"/>
      <c r="K67" s="83"/>
      <c r="L67" s="30"/>
      <c r="M67" s="39"/>
    </row>
    <row r="68" spans="1:13" x14ac:dyDescent="0.2">
      <c r="A68" s="30"/>
      <c r="B68" s="30"/>
      <c r="C68" s="30"/>
      <c r="D68" s="30"/>
      <c r="E68" s="30"/>
      <c r="F68" s="30"/>
      <c r="G68" s="30"/>
      <c r="H68" s="30"/>
      <c r="I68" s="30"/>
      <c r="J68" s="65"/>
      <c r="K68" s="83"/>
      <c r="L68" s="30"/>
      <c r="M68" s="39"/>
    </row>
    <row r="69" spans="1:13" x14ac:dyDescent="0.2">
      <c r="A69" s="30"/>
      <c r="B69" s="30"/>
      <c r="C69" s="30"/>
      <c r="D69" s="30"/>
      <c r="E69" s="30"/>
      <c r="F69" s="30"/>
      <c r="G69" s="30"/>
      <c r="H69" s="30"/>
      <c r="I69" s="30"/>
      <c r="J69" s="65"/>
      <c r="K69" s="83"/>
      <c r="L69" s="30"/>
      <c r="M69" s="39"/>
    </row>
    <row r="70" spans="1:13" x14ac:dyDescent="0.2">
      <c r="A70" s="30"/>
      <c r="B70" s="30"/>
      <c r="C70" s="30"/>
      <c r="D70" s="30"/>
      <c r="E70" s="30"/>
      <c r="F70" s="30"/>
      <c r="G70" s="30"/>
      <c r="H70" s="30"/>
      <c r="I70" s="30"/>
      <c r="J70" s="65"/>
      <c r="K70" s="83"/>
      <c r="L70" s="30"/>
      <c r="M70" s="39"/>
    </row>
    <row r="71" spans="1:13" x14ac:dyDescent="0.2">
      <c r="A71" s="30"/>
      <c r="B71" s="30"/>
      <c r="C71" s="30"/>
      <c r="D71" s="30"/>
      <c r="E71" s="30"/>
      <c r="F71" s="30"/>
      <c r="G71" s="30"/>
      <c r="H71" s="30"/>
      <c r="I71" s="30"/>
      <c r="J71" s="65"/>
      <c r="K71" s="83"/>
      <c r="L71" s="30"/>
      <c r="M71" s="39"/>
    </row>
    <row r="72" spans="1:13" x14ac:dyDescent="0.2">
      <c r="A72" s="30"/>
      <c r="B72" s="30"/>
      <c r="C72" s="30"/>
      <c r="D72" s="30"/>
      <c r="E72" s="30"/>
      <c r="F72" s="30"/>
      <c r="G72" s="30"/>
      <c r="H72" s="30"/>
      <c r="I72" s="30"/>
      <c r="J72" s="65"/>
      <c r="K72" s="83"/>
      <c r="L72" s="30"/>
      <c r="M72" s="39"/>
    </row>
    <row r="73" spans="1:13" x14ac:dyDescent="0.2">
      <c r="A73" s="30"/>
      <c r="B73" s="30"/>
      <c r="C73" s="30"/>
      <c r="D73" s="30"/>
      <c r="E73" s="30"/>
      <c r="F73" s="30"/>
      <c r="G73" s="30"/>
      <c r="H73" s="30"/>
      <c r="I73" s="30"/>
      <c r="J73" s="65"/>
      <c r="K73" s="83"/>
      <c r="L73" s="30"/>
      <c r="M73" s="39"/>
    </row>
    <row r="74" spans="1:13" x14ac:dyDescent="0.2">
      <c r="A74" s="30"/>
      <c r="B74" s="30"/>
      <c r="C74" s="30"/>
      <c r="D74" s="30"/>
      <c r="E74" s="30"/>
      <c r="F74" s="30"/>
      <c r="G74" s="30"/>
      <c r="H74" s="30"/>
      <c r="I74" s="30"/>
      <c r="J74" s="65"/>
      <c r="K74" s="83"/>
      <c r="L74" s="30"/>
      <c r="M74" s="39"/>
    </row>
    <row r="75" spans="1:13" x14ac:dyDescent="0.2">
      <c r="A75" s="30"/>
      <c r="B75" s="30"/>
      <c r="C75" s="30"/>
      <c r="D75" s="30"/>
      <c r="E75" s="30"/>
      <c r="F75" s="30"/>
      <c r="G75" s="30"/>
      <c r="H75" s="30"/>
      <c r="I75" s="30"/>
      <c r="J75" s="65"/>
      <c r="K75" s="83"/>
      <c r="L75" s="30"/>
      <c r="M75" s="39"/>
    </row>
    <row r="76" spans="1:13" x14ac:dyDescent="0.2">
      <c r="A76" s="30"/>
      <c r="B76" s="30"/>
      <c r="C76" s="30"/>
      <c r="D76" s="30"/>
      <c r="E76" s="30"/>
      <c r="F76" s="30"/>
      <c r="G76" s="30"/>
      <c r="H76" s="30"/>
      <c r="I76" s="30"/>
      <c r="J76" s="65"/>
      <c r="K76" s="83"/>
      <c r="L76" s="30"/>
      <c r="M76" s="39"/>
    </row>
    <row r="77" spans="1:13" x14ac:dyDescent="0.2">
      <c r="A77" s="30"/>
      <c r="B77" s="30"/>
      <c r="C77" s="30"/>
      <c r="D77" s="30"/>
      <c r="E77" s="30"/>
      <c r="F77" s="30"/>
      <c r="G77" s="30"/>
      <c r="H77" s="30"/>
      <c r="I77" s="30"/>
      <c r="J77" s="65"/>
      <c r="K77" s="83"/>
      <c r="L77" s="30"/>
      <c r="M77" s="39"/>
    </row>
    <row r="78" spans="1:13" x14ac:dyDescent="0.2">
      <c r="A78" s="30"/>
      <c r="B78" s="30"/>
      <c r="C78" s="30"/>
      <c r="D78" s="30"/>
      <c r="E78" s="30"/>
      <c r="F78" s="30"/>
      <c r="G78" s="30"/>
      <c r="H78" s="30"/>
      <c r="I78" s="30"/>
      <c r="J78" s="65"/>
      <c r="K78" s="83"/>
      <c r="L78" s="30"/>
      <c r="M78" s="39"/>
    </row>
    <row r="79" spans="1:13" x14ac:dyDescent="0.2">
      <c r="A79" s="30"/>
      <c r="B79" s="30"/>
      <c r="C79" s="30"/>
      <c r="D79" s="30"/>
      <c r="E79" s="30"/>
      <c r="F79" s="30"/>
      <c r="G79" s="30"/>
      <c r="H79" s="30"/>
      <c r="I79" s="30"/>
      <c r="J79" s="65"/>
      <c r="K79" s="83"/>
      <c r="L79" s="30"/>
      <c r="M79" s="39"/>
    </row>
    <row r="80" spans="1:13" x14ac:dyDescent="0.2">
      <c r="A80" s="30"/>
      <c r="B80" s="30"/>
      <c r="C80" s="30"/>
      <c r="D80" s="30"/>
      <c r="E80" s="30"/>
      <c r="F80" s="30"/>
      <c r="G80" s="30"/>
      <c r="H80" s="30"/>
      <c r="I80" s="30"/>
      <c r="J80" s="65"/>
      <c r="K80" s="83"/>
      <c r="L80" s="30"/>
      <c r="M80" s="39"/>
    </row>
    <row r="81" spans="1:13" x14ac:dyDescent="0.2">
      <c r="A81" s="30"/>
      <c r="B81" s="30"/>
      <c r="C81" s="30"/>
      <c r="D81" s="30"/>
      <c r="E81" s="30"/>
      <c r="F81" s="30"/>
      <c r="G81" s="30"/>
      <c r="H81" s="30"/>
      <c r="I81" s="30"/>
      <c r="J81" s="65"/>
      <c r="K81" s="83"/>
      <c r="L81" s="30"/>
      <c r="M81" s="39"/>
    </row>
    <row r="82" spans="1:13" x14ac:dyDescent="0.2">
      <c r="A82" s="30"/>
      <c r="B82" s="30"/>
      <c r="C82" s="30"/>
      <c r="D82" s="30"/>
      <c r="E82" s="30"/>
      <c r="F82" s="30"/>
      <c r="G82" s="30"/>
      <c r="H82" s="30"/>
      <c r="I82" s="30"/>
      <c r="J82" s="65"/>
      <c r="K82" s="83"/>
      <c r="L82" s="30"/>
      <c r="M82" s="39"/>
    </row>
    <row r="83" spans="1:13" x14ac:dyDescent="0.2">
      <c r="A83" s="30"/>
      <c r="B83" s="30"/>
      <c r="C83" s="30"/>
      <c r="D83" s="30"/>
      <c r="E83" s="30"/>
      <c r="F83" s="30"/>
      <c r="G83" s="30"/>
      <c r="H83" s="30"/>
      <c r="I83" s="30"/>
      <c r="J83" s="65"/>
      <c r="K83" s="83"/>
      <c r="L83" s="30"/>
      <c r="M83" s="39"/>
    </row>
    <row r="84" spans="1:13" x14ac:dyDescent="0.2">
      <c r="A84" s="30"/>
      <c r="B84" s="30"/>
      <c r="C84" s="30"/>
      <c r="D84" s="30"/>
      <c r="E84" s="30"/>
      <c r="F84" s="30"/>
      <c r="G84" s="30"/>
      <c r="H84" s="30"/>
      <c r="I84" s="30"/>
      <c r="J84" s="65"/>
      <c r="K84" s="83"/>
      <c r="L84" s="30"/>
      <c r="M84" s="39"/>
    </row>
    <row r="85" spans="1:13" x14ac:dyDescent="0.2">
      <c r="A85" s="30"/>
      <c r="B85" s="30"/>
      <c r="C85" s="30"/>
      <c r="D85" s="30"/>
      <c r="E85" s="30"/>
      <c r="F85" s="30"/>
      <c r="G85" s="30"/>
      <c r="H85" s="30"/>
      <c r="I85" s="30"/>
      <c r="J85" s="65"/>
      <c r="K85" s="83"/>
      <c r="L85" s="30"/>
      <c r="M85" s="39"/>
    </row>
    <row r="86" spans="1:13" x14ac:dyDescent="0.2">
      <c r="A86" s="30"/>
      <c r="B86" s="30"/>
      <c r="C86" s="30"/>
      <c r="D86" s="30"/>
      <c r="E86" s="30"/>
      <c r="F86" s="30"/>
      <c r="G86" s="30"/>
      <c r="H86" s="30"/>
      <c r="I86" s="30"/>
      <c r="J86" s="65"/>
      <c r="K86" s="83"/>
      <c r="L86" s="30"/>
      <c r="M86" s="39"/>
    </row>
    <row r="87" spans="1:13" x14ac:dyDescent="0.2">
      <c r="A87" s="30"/>
      <c r="B87" s="30"/>
      <c r="C87" s="30"/>
      <c r="D87" s="30"/>
      <c r="E87" s="30"/>
      <c r="F87" s="30"/>
      <c r="G87" s="30"/>
      <c r="H87" s="30"/>
      <c r="I87" s="30"/>
      <c r="J87" s="65"/>
      <c r="K87" s="83"/>
      <c r="L87" s="30"/>
      <c r="M87" s="39"/>
    </row>
    <row r="88" spans="1:13" x14ac:dyDescent="0.2">
      <c r="A88" s="30"/>
      <c r="B88" s="30"/>
      <c r="C88" s="30"/>
      <c r="D88" s="30"/>
      <c r="E88" s="30"/>
      <c r="F88" s="30"/>
      <c r="G88" s="30"/>
      <c r="H88" s="30"/>
      <c r="I88" s="30"/>
      <c r="J88" s="65"/>
      <c r="K88" s="83"/>
      <c r="L88" s="30"/>
      <c r="M88" s="39"/>
    </row>
    <row r="89" spans="1:13" x14ac:dyDescent="0.2">
      <c r="A89" s="30"/>
      <c r="B89" s="30"/>
      <c r="C89" s="30"/>
      <c r="D89" s="30"/>
      <c r="E89" s="30"/>
      <c r="F89" s="30"/>
      <c r="G89" s="30"/>
      <c r="H89" s="30"/>
      <c r="I89" s="30"/>
      <c r="J89" s="65"/>
      <c r="K89" s="83"/>
      <c r="L89" s="30"/>
      <c r="M89" s="39"/>
    </row>
    <row r="90" spans="1:13" x14ac:dyDescent="0.2">
      <c r="A90" s="30"/>
      <c r="B90" s="30"/>
      <c r="C90" s="30"/>
      <c r="D90" s="30"/>
      <c r="E90" s="30"/>
      <c r="F90" s="30"/>
      <c r="G90" s="30"/>
      <c r="H90" s="30"/>
      <c r="I90" s="30"/>
      <c r="J90" s="65"/>
      <c r="K90" s="83"/>
      <c r="L90" s="30"/>
      <c r="M90" s="39"/>
    </row>
    <row r="91" spans="1:13" x14ac:dyDescent="0.2">
      <c r="A91" s="30"/>
      <c r="B91" s="30"/>
      <c r="C91" s="30"/>
      <c r="D91" s="30"/>
      <c r="E91" s="30"/>
      <c r="F91" s="30"/>
      <c r="G91" s="30"/>
      <c r="H91" s="30"/>
      <c r="I91" s="30"/>
      <c r="J91" s="65"/>
      <c r="K91" s="83"/>
      <c r="L91" s="30"/>
      <c r="M91" s="39"/>
    </row>
    <row r="92" spans="1:13" x14ac:dyDescent="0.2">
      <c r="A92" s="30"/>
      <c r="B92" s="30"/>
      <c r="C92" s="30"/>
      <c r="D92" s="30"/>
      <c r="E92" s="30"/>
      <c r="F92" s="30"/>
      <c r="G92" s="30"/>
      <c r="H92" s="30"/>
      <c r="I92" s="30"/>
      <c r="J92" s="65"/>
      <c r="K92" s="83"/>
      <c r="L92" s="30"/>
      <c r="M92" s="39"/>
    </row>
    <row r="93" spans="1:13" x14ac:dyDescent="0.2">
      <c r="A93" s="30"/>
      <c r="B93" s="30"/>
      <c r="C93" s="30"/>
      <c r="D93" s="30"/>
      <c r="E93" s="30"/>
      <c r="F93" s="30"/>
      <c r="G93" s="30"/>
      <c r="H93" s="30"/>
      <c r="I93" s="30"/>
      <c r="J93" s="65"/>
      <c r="K93" s="83"/>
      <c r="L93" s="30"/>
      <c r="M93" s="39"/>
    </row>
    <row r="94" spans="1:13" x14ac:dyDescent="0.2">
      <c r="A94" s="30"/>
      <c r="B94" s="30"/>
      <c r="C94" s="30"/>
      <c r="D94" s="30"/>
      <c r="E94" s="30"/>
      <c r="F94" s="30"/>
      <c r="G94" s="30"/>
      <c r="H94" s="30"/>
      <c r="I94" s="30"/>
      <c r="J94" s="65"/>
      <c r="K94" s="83"/>
      <c r="L94" s="30"/>
      <c r="M94" s="39"/>
    </row>
    <row r="95" spans="1:13" x14ac:dyDescent="0.2">
      <c r="A95" s="30"/>
      <c r="B95" s="30"/>
      <c r="C95" s="30"/>
      <c r="D95" s="30"/>
      <c r="E95" s="30"/>
      <c r="F95" s="30"/>
      <c r="G95" s="30"/>
      <c r="H95" s="30"/>
      <c r="I95" s="30"/>
      <c r="J95" s="65"/>
      <c r="K95" s="83"/>
      <c r="L95" s="30"/>
      <c r="M95" s="39"/>
    </row>
    <row r="96" spans="1:13" x14ac:dyDescent="0.2">
      <c r="A96" s="30"/>
      <c r="B96" s="30"/>
      <c r="C96" s="30"/>
      <c r="D96" s="30"/>
      <c r="E96" s="30"/>
      <c r="F96" s="30"/>
      <c r="G96" s="30"/>
      <c r="H96" s="30"/>
      <c r="I96" s="30"/>
      <c r="J96" s="65"/>
      <c r="K96" s="83"/>
      <c r="L96" s="30"/>
      <c r="M96" s="39"/>
    </row>
    <row r="97" spans="1:13" x14ac:dyDescent="0.2">
      <c r="A97" s="30"/>
      <c r="B97" s="30"/>
      <c r="C97" s="30"/>
      <c r="D97" s="30"/>
      <c r="E97" s="30"/>
      <c r="F97" s="30"/>
      <c r="G97" s="30"/>
      <c r="H97" s="30"/>
      <c r="I97" s="30"/>
      <c r="J97" s="65"/>
      <c r="K97" s="83"/>
      <c r="L97" s="30"/>
      <c r="M97" s="39"/>
    </row>
    <row r="98" spans="1:13" x14ac:dyDescent="0.2">
      <c r="A98" s="30"/>
      <c r="B98" s="30"/>
      <c r="C98" s="30"/>
      <c r="D98" s="30"/>
      <c r="E98" s="30"/>
      <c r="F98" s="30"/>
      <c r="G98" s="30"/>
      <c r="H98" s="30"/>
      <c r="I98" s="30"/>
      <c r="J98" s="65"/>
      <c r="K98" s="83"/>
      <c r="L98" s="30"/>
      <c r="M98" s="39"/>
    </row>
    <row r="99" spans="1:13" x14ac:dyDescent="0.2">
      <c r="A99" s="30"/>
      <c r="B99" s="30"/>
      <c r="C99" s="30"/>
      <c r="D99" s="30"/>
      <c r="E99" s="30"/>
      <c r="F99" s="30"/>
      <c r="G99" s="30"/>
      <c r="H99" s="30"/>
      <c r="I99" s="30"/>
      <c r="J99" s="65"/>
      <c r="K99" s="83"/>
      <c r="L99" s="30"/>
      <c r="M99" s="39"/>
    </row>
    <row r="100" spans="1:13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65"/>
      <c r="K100" s="83"/>
      <c r="L100" s="30"/>
      <c r="M100" s="39"/>
    </row>
    <row r="101" spans="1:13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65"/>
      <c r="K101" s="83"/>
      <c r="L101" s="30"/>
      <c r="M101" s="39"/>
    </row>
    <row r="102" spans="1:13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65"/>
      <c r="K102" s="83"/>
      <c r="L102" s="30"/>
      <c r="M102" s="39"/>
    </row>
    <row r="103" spans="1:13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65"/>
      <c r="K103" s="83"/>
      <c r="L103" s="30"/>
      <c r="M103" s="39"/>
    </row>
    <row r="104" spans="1:13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65"/>
      <c r="K104" s="83"/>
      <c r="L104" s="30"/>
      <c r="M104" s="39"/>
    </row>
    <row r="105" spans="1:13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65"/>
      <c r="K105" s="83"/>
      <c r="L105" s="30"/>
      <c r="M105" s="39"/>
    </row>
    <row r="106" spans="1:13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65"/>
      <c r="K106" s="83"/>
      <c r="L106" s="30"/>
      <c r="M106" s="39"/>
    </row>
    <row r="107" spans="1:13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65"/>
      <c r="K107" s="83"/>
      <c r="L107" s="30"/>
      <c r="M107" s="39"/>
    </row>
    <row r="108" spans="1:13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65"/>
      <c r="K108" s="83"/>
      <c r="L108" s="30"/>
      <c r="M108" s="39"/>
    </row>
    <row r="109" spans="1:13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65"/>
      <c r="K109" s="83"/>
      <c r="L109" s="30"/>
      <c r="M109" s="39"/>
    </row>
    <row r="110" spans="1:13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65"/>
      <c r="K110" s="83"/>
      <c r="L110" s="30"/>
      <c r="M110" s="39"/>
    </row>
    <row r="111" spans="1:13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65"/>
      <c r="K111" s="83"/>
      <c r="L111" s="30"/>
      <c r="M111" s="39"/>
    </row>
    <row r="112" spans="1:13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65"/>
      <c r="K112" s="83"/>
      <c r="L112" s="30"/>
      <c r="M112" s="39"/>
    </row>
    <row r="113" spans="1:13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65"/>
      <c r="K113" s="83"/>
      <c r="L113" s="30"/>
      <c r="M113" s="39"/>
    </row>
    <row r="114" spans="1:13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65"/>
      <c r="K114" s="83"/>
      <c r="L114" s="30"/>
      <c r="M114" s="39"/>
    </row>
    <row r="115" spans="1:13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65"/>
      <c r="K115" s="83"/>
      <c r="L115" s="30"/>
      <c r="M115" s="39"/>
    </row>
    <row r="116" spans="1:13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65"/>
      <c r="K116" s="83"/>
      <c r="L116" s="30"/>
      <c r="M116" s="39"/>
    </row>
    <row r="117" spans="1:13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65"/>
      <c r="K117" s="83"/>
      <c r="L117" s="30"/>
      <c r="M117" s="39"/>
    </row>
    <row r="118" spans="1:13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65"/>
      <c r="K118" s="83"/>
      <c r="L118" s="30"/>
      <c r="M118" s="39"/>
    </row>
    <row r="119" spans="1:13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65"/>
      <c r="K119" s="83"/>
      <c r="L119" s="30"/>
      <c r="M119" s="39"/>
    </row>
    <row r="120" spans="1:13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65"/>
      <c r="K120" s="83"/>
      <c r="L120" s="30"/>
      <c r="M120" s="39"/>
    </row>
    <row r="121" spans="1:13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65"/>
      <c r="K121" s="83"/>
      <c r="L121" s="30"/>
      <c r="M121" s="39"/>
    </row>
    <row r="122" spans="1:13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65"/>
      <c r="K122" s="83"/>
      <c r="L122" s="30"/>
      <c r="M122" s="39"/>
    </row>
    <row r="123" spans="1:13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65"/>
      <c r="K123" s="83"/>
      <c r="L123" s="30"/>
      <c r="M123" s="39"/>
    </row>
    <row r="124" spans="1:13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65"/>
      <c r="K124" s="83"/>
      <c r="L124" s="30"/>
      <c r="M124" s="39"/>
    </row>
    <row r="125" spans="1:13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65"/>
      <c r="K125" s="83"/>
      <c r="L125" s="30"/>
      <c r="M125" s="39"/>
    </row>
    <row r="126" spans="1:13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65"/>
      <c r="K126" s="83"/>
      <c r="L126" s="30"/>
      <c r="M126" s="39"/>
    </row>
    <row r="127" spans="1:13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65"/>
      <c r="K127" s="83"/>
      <c r="L127" s="30"/>
      <c r="M127" s="39"/>
    </row>
    <row r="128" spans="1:13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65"/>
      <c r="K128" s="83"/>
      <c r="L128" s="30"/>
      <c r="M128" s="39"/>
    </row>
    <row r="129" spans="1:13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65"/>
      <c r="K129" s="83"/>
      <c r="L129" s="30"/>
      <c r="M129" s="39"/>
    </row>
    <row r="130" spans="1:13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65"/>
      <c r="K130" s="83"/>
      <c r="L130" s="30"/>
      <c r="M130" s="39"/>
    </row>
    <row r="131" spans="1:13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65"/>
      <c r="K131" s="83"/>
      <c r="L131" s="30"/>
      <c r="M131" s="39"/>
    </row>
    <row r="132" spans="1:13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65"/>
      <c r="K132" s="83"/>
      <c r="L132" s="30"/>
      <c r="M132" s="39"/>
    </row>
    <row r="133" spans="1:13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65"/>
      <c r="K133" s="83"/>
      <c r="L133" s="30"/>
      <c r="M133" s="39"/>
    </row>
    <row r="134" spans="1:13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65"/>
      <c r="K134" s="83"/>
      <c r="L134" s="30"/>
      <c r="M134" s="39"/>
    </row>
    <row r="135" spans="1:13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65"/>
      <c r="K135" s="83"/>
      <c r="L135" s="30"/>
      <c r="M135" s="39"/>
    </row>
    <row r="136" spans="1:13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65"/>
      <c r="K136" s="83"/>
      <c r="L136" s="30"/>
      <c r="M136" s="39"/>
    </row>
    <row r="137" spans="1:13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65"/>
      <c r="K137" s="83"/>
      <c r="L137" s="30"/>
      <c r="M137" s="39"/>
    </row>
    <row r="138" spans="1:13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65"/>
      <c r="K138" s="83"/>
      <c r="L138" s="30"/>
      <c r="M138" s="39"/>
    </row>
    <row r="139" spans="1:13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65"/>
      <c r="K139" s="83"/>
      <c r="L139" s="30"/>
      <c r="M139" s="39"/>
    </row>
    <row r="140" spans="1:13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65"/>
      <c r="K140" s="83"/>
      <c r="L140" s="30"/>
      <c r="M140" s="39"/>
    </row>
    <row r="141" spans="1:13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65"/>
      <c r="K141" s="83"/>
      <c r="L141" s="30"/>
      <c r="M141" s="39"/>
    </row>
    <row r="142" spans="1:13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65"/>
      <c r="K142" s="83"/>
      <c r="L142" s="30"/>
      <c r="M142" s="39"/>
    </row>
    <row r="143" spans="1:13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65"/>
      <c r="K143" s="83"/>
      <c r="L143" s="30"/>
      <c r="M143" s="39"/>
    </row>
    <row r="144" spans="1:13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65"/>
      <c r="K144" s="83"/>
      <c r="L144" s="30"/>
      <c r="M144" s="39"/>
    </row>
    <row r="145" spans="1:13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65"/>
      <c r="K145" s="83"/>
      <c r="L145" s="30"/>
      <c r="M145" s="39"/>
    </row>
    <row r="146" spans="1:13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65"/>
      <c r="K146" s="83"/>
      <c r="L146" s="30"/>
      <c r="M146" s="39"/>
    </row>
    <row r="147" spans="1:13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65"/>
      <c r="K147" s="83"/>
      <c r="L147" s="30"/>
      <c r="M147" s="39"/>
    </row>
    <row r="148" spans="1:13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65"/>
      <c r="K148" s="83"/>
      <c r="L148" s="30"/>
      <c r="M148" s="39"/>
    </row>
    <row r="149" spans="1:13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65"/>
      <c r="K149" s="83"/>
      <c r="L149" s="30"/>
      <c r="M149" s="39"/>
    </row>
    <row r="150" spans="1:13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65"/>
      <c r="K150" s="83"/>
      <c r="L150" s="30"/>
      <c r="M150" s="39"/>
    </row>
    <row r="151" spans="1:13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65"/>
      <c r="K151" s="83"/>
      <c r="L151" s="30"/>
      <c r="M151" s="39"/>
    </row>
    <row r="152" spans="1:13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65"/>
      <c r="K152" s="83"/>
      <c r="L152" s="30"/>
      <c r="M152" s="39"/>
    </row>
    <row r="153" spans="1:13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65"/>
      <c r="K153" s="83"/>
      <c r="L153" s="30"/>
      <c r="M153" s="39"/>
    </row>
    <row r="154" spans="1:13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65"/>
      <c r="K154" s="83"/>
      <c r="L154" s="30"/>
      <c r="M154" s="39"/>
    </row>
    <row r="155" spans="1:13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65"/>
      <c r="K155" s="83"/>
      <c r="L155" s="30"/>
      <c r="M155" s="39"/>
    </row>
    <row r="156" spans="1:13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65"/>
      <c r="K156" s="83"/>
      <c r="L156" s="30"/>
      <c r="M156" s="39"/>
    </row>
    <row r="157" spans="1:13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65"/>
      <c r="K157" s="83"/>
      <c r="L157" s="30"/>
      <c r="M157" s="39"/>
    </row>
    <row r="158" spans="1:13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65"/>
      <c r="K158" s="83"/>
      <c r="L158" s="30"/>
      <c r="M158" s="39"/>
    </row>
    <row r="159" spans="1:13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65"/>
      <c r="K159" s="83"/>
      <c r="L159" s="30"/>
      <c r="M159" s="39"/>
    </row>
    <row r="160" spans="1:13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65"/>
      <c r="K160" s="83"/>
      <c r="L160" s="30"/>
      <c r="M160" s="39"/>
    </row>
    <row r="161" spans="1:13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65"/>
      <c r="K161" s="83"/>
      <c r="L161" s="30"/>
      <c r="M161" s="39"/>
    </row>
    <row r="162" spans="1:13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65"/>
      <c r="K162" s="83"/>
      <c r="L162" s="30"/>
      <c r="M162" s="39"/>
    </row>
    <row r="163" spans="1:13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65"/>
      <c r="K163" s="83"/>
      <c r="L163" s="30"/>
      <c r="M163" s="39"/>
    </row>
    <row r="164" spans="1:13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65"/>
      <c r="K164" s="83"/>
      <c r="L164" s="30"/>
      <c r="M164" s="39"/>
    </row>
    <row r="165" spans="1:13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65"/>
      <c r="K165" s="83"/>
      <c r="L165" s="30"/>
      <c r="M165" s="39"/>
    </row>
    <row r="166" spans="1:13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65"/>
      <c r="K166" s="83"/>
      <c r="L166" s="30"/>
      <c r="M166" s="39"/>
    </row>
    <row r="167" spans="1:13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65"/>
      <c r="K167" s="83"/>
      <c r="L167" s="30"/>
      <c r="M167" s="39"/>
    </row>
    <row r="168" spans="1:13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65"/>
      <c r="K168" s="83"/>
      <c r="L168" s="30"/>
      <c r="M168" s="39"/>
    </row>
    <row r="169" spans="1:13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65"/>
      <c r="K169" s="83"/>
      <c r="L169" s="30"/>
      <c r="M169" s="39"/>
    </row>
    <row r="170" spans="1:13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65"/>
      <c r="K170" s="83"/>
      <c r="L170" s="30"/>
      <c r="M170" s="39"/>
    </row>
    <row r="171" spans="1:13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65"/>
      <c r="K171" s="83"/>
      <c r="L171" s="30"/>
      <c r="M171" s="39"/>
    </row>
    <row r="172" spans="1:13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65"/>
      <c r="K172" s="83"/>
      <c r="L172" s="30"/>
      <c r="M172" s="39"/>
    </row>
    <row r="173" spans="1:13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65"/>
      <c r="K173" s="83"/>
      <c r="L173" s="30"/>
      <c r="M173" s="39"/>
    </row>
    <row r="174" spans="1:13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65"/>
      <c r="K174" s="83"/>
      <c r="L174" s="30"/>
      <c r="M174" s="39"/>
    </row>
    <row r="175" spans="1:13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65"/>
      <c r="K175" s="83"/>
      <c r="L175" s="30"/>
      <c r="M175" s="39"/>
    </row>
    <row r="176" spans="1:13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65"/>
      <c r="K176" s="83"/>
      <c r="L176" s="30"/>
      <c r="M176" s="39"/>
    </row>
    <row r="177" spans="1:13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65"/>
      <c r="K177" s="83"/>
      <c r="L177" s="30"/>
      <c r="M177" s="39"/>
    </row>
    <row r="178" spans="1:13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65"/>
      <c r="K178" s="83"/>
      <c r="L178" s="30"/>
      <c r="M178" s="39"/>
    </row>
    <row r="179" spans="1:13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65"/>
      <c r="K179" s="83"/>
      <c r="L179" s="30"/>
      <c r="M179" s="39"/>
    </row>
    <row r="180" spans="1:13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65"/>
      <c r="K180" s="83"/>
      <c r="L180" s="30"/>
      <c r="M180" s="39"/>
    </row>
    <row r="181" spans="1:13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65"/>
      <c r="K181" s="83"/>
      <c r="L181" s="30"/>
      <c r="M181" s="39"/>
    </row>
    <row r="182" spans="1:13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65"/>
      <c r="K182" s="83"/>
      <c r="L182" s="30"/>
      <c r="M182" s="39"/>
    </row>
    <row r="183" spans="1:13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65"/>
      <c r="K183" s="83"/>
      <c r="L183" s="30"/>
      <c r="M183" s="39"/>
    </row>
    <row r="184" spans="1:13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65"/>
      <c r="K184" s="83"/>
      <c r="L184" s="30"/>
      <c r="M184" s="39"/>
    </row>
    <row r="185" spans="1:13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65"/>
      <c r="K185" s="83"/>
      <c r="L185" s="30"/>
      <c r="M185" s="39"/>
    </row>
    <row r="186" spans="1:13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65"/>
      <c r="K186" s="83"/>
      <c r="L186" s="30"/>
      <c r="M186" s="39"/>
    </row>
    <row r="187" spans="1:13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65"/>
      <c r="K187" s="83"/>
      <c r="L187" s="30"/>
      <c r="M187" s="39"/>
    </row>
    <row r="188" spans="1:13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65"/>
      <c r="K188" s="83"/>
      <c r="L188" s="30"/>
      <c r="M188" s="39"/>
    </row>
    <row r="189" spans="1:13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65"/>
      <c r="K189" s="83"/>
      <c r="L189" s="30"/>
      <c r="M189" s="39"/>
    </row>
    <row r="190" spans="1:13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65"/>
      <c r="K190" s="83"/>
      <c r="L190" s="30"/>
      <c r="M190" s="39"/>
    </row>
    <row r="191" spans="1:13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65"/>
      <c r="K191" s="83"/>
      <c r="L191" s="30"/>
      <c r="M191" s="39"/>
    </row>
    <row r="192" spans="1:13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65"/>
      <c r="K192" s="83"/>
      <c r="L192" s="30"/>
      <c r="M192" s="39"/>
    </row>
    <row r="193" spans="1:13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65"/>
      <c r="K193" s="83"/>
      <c r="L193" s="30"/>
      <c r="M193" s="39"/>
    </row>
    <row r="194" spans="1:13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65"/>
      <c r="K194" s="83"/>
      <c r="L194" s="30"/>
      <c r="M194" s="39"/>
    </row>
    <row r="195" spans="1:13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65"/>
      <c r="K195" s="83"/>
      <c r="L195" s="30"/>
      <c r="M195" s="39"/>
    </row>
    <row r="196" spans="1:13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65"/>
      <c r="K196" s="83"/>
      <c r="L196" s="30"/>
      <c r="M196" s="39"/>
    </row>
    <row r="197" spans="1:13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65"/>
      <c r="K197" s="83"/>
      <c r="L197" s="30"/>
      <c r="M197" s="39"/>
    </row>
    <row r="198" spans="1:13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65"/>
      <c r="K198" s="83"/>
      <c r="L198" s="30"/>
      <c r="M198" s="39"/>
    </row>
    <row r="199" spans="1:13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65"/>
      <c r="K199" s="83"/>
      <c r="L199" s="30"/>
      <c r="M199" s="39"/>
    </row>
    <row r="200" spans="1:13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65"/>
      <c r="K200" s="83"/>
      <c r="L200" s="30"/>
      <c r="M200" s="39"/>
    </row>
    <row r="201" spans="1:13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65"/>
      <c r="K201" s="83"/>
      <c r="L201" s="30"/>
      <c r="M201" s="39"/>
    </row>
    <row r="202" spans="1:13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65"/>
      <c r="K202" s="83"/>
      <c r="L202" s="30"/>
      <c r="M202" s="39"/>
    </row>
    <row r="203" spans="1:13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65"/>
      <c r="K203" s="83"/>
      <c r="L203" s="30"/>
      <c r="M203" s="39"/>
    </row>
    <row r="204" spans="1:13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65"/>
      <c r="K204" s="83"/>
      <c r="L204" s="30"/>
      <c r="M204" s="39"/>
    </row>
    <row r="205" spans="1:13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65"/>
      <c r="K205" s="83"/>
      <c r="L205" s="30"/>
      <c r="M205" s="39"/>
    </row>
    <row r="206" spans="1:13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65"/>
      <c r="K206" s="83"/>
      <c r="L206" s="30"/>
      <c r="M206" s="39"/>
    </row>
    <row r="207" spans="1:13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65"/>
      <c r="K207" s="83"/>
      <c r="L207" s="30"/>
      <c r="M207" s="39"/>
    </row>
    <row r="208" spans="1:13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65"/>
      <c r="K208" s="83"/>
      <c r="L208" s="30"/>
      <c r="M208" s="39"/>
    </row>
    <row r="209" spans="1:13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65"/>
      <c r="K209" s="83"/>
      <c r="L209" s="30"/>
      <c r="M209" s="39"/>
    </row>
    <row r="210" spans="1:13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65"/>
      <c r="K210" s="83"/>
      <c r="L210" s="30"/>
      <c r="M210" s="39"/>
    </row>
    <row r="211" spans="1:13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65"/>
      <c r="K211" s="83"/>
      <c r="L211" s="30"/>
      <c r="M211" s="39"/>
    </row>
    <row r="212" spans="1:13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65"/>
      <c r="K212" s="83"/>
      <c r="L212" s="30"/>
      <c r="M212" s="39"/>
    </row>
    <row r="213" spans="1:13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65"/>
      <c r="K213" s="83"/>
      <c r="L213" s="30"/>
      <c r="M213" s="39"/>
    </row>
    <row r="214" spans="1:13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65"/>
      <c r="K214" s="83"/>
      <c r="L214" s="30"/>
      <c r="M214" s="39"/>
    </row>
    <row r="215" spans="1:13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65"/>
      <c r="K215" s="83"/>
      <c r="L215" s="30"/>
      <c r="M215" s="39"/>
    </row>
    <row r="216" spans="1:13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65"/>
      <c r="K216" s="83"/>
      <c r="L216" s="30"/>
      <c r="M216" s="39"/>
    </row>
    <row r="217" spans="1:13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65"/>
      <c r="K217" s="83"/>
      <c r="L217" s="30"/>
      <c r="M217" s="39"/>
    </row>
    <row r="218" spans="1:13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65"/>
      <c r="K218" s="83"/>
      <c r="L218" s="30"/>
      <c r="M218" s="39"/>
    </row>
    <row r="219" spans="1:13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65"/>
      <c r="K219" s="83"/>
      <c r="L219" s="30"/>
      <c r="M219" s="39"/>
    </row>
    <row r="220" spans="1:13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65"/>
      <c r="K220" s="83"/>
      <c r="L220" s="30"/>
      <c r="M220" s="39"/>
    </row>
    <row r="221" spans="1:13" x14ac:dyDescent="0.2">
      <c r="A221" s="30"/>
      <c r="B221" s="30"/>
      <c r="C221" s="30"/>
      <c r="D221" s="30"/>
      <c r="E221" s="30"/>
      <c r="F221" s="30"/>
      <c r="G221" s="30"/>
      <c r="H221" s="30"/>
      <c r="I221" s="30"/>
      <c r="J221" s="65"/>
      <c r="K221" s="83"/>
      <c r="L221" s="30"/>
      <c r="M221" s="39"/>
    </row>
    <row r="222" spans="1:13" x14ac:dyDescent="0.2">
      <c r="A222" s="30"/>
      <c r="B222" s="30"/>
      <c r="C222" s="30"/>
      <c r="D222" s="30"/>
      <c r="E222" s="30"/>
      <c r="F222" s="30"/>
      <c r="G222" s="30"/>
      <c r="H222" s="30"/>
      <c r="I222" s="30"/>
      <c r="J222" s="65"/>
      <c r="K222" s="83"/>
      <c r="L222" s="30"/>
      <c r="M222" s="39"/>
    </row>
    <row r="223" spans="1:13" x14ac:dyDescent="0.2">
      <c r="A223" s="30"/>
      <c r="B223" s="30"/>
      <c r="C223" s="30"/>
      <c r="D223" s="30"/>
      <c r="E223" s="30"/>
      <c r="F223" s="30"/>
      <c r="G223" s="30"/>
      <c r="H223" s="30"/>
      <c r="I223" s="30"/>
      <c r="J223" s="65"/>
      <c r="K223" s="83"/>
      <c r="L223" s="30"/>
      <c r="M223" s="39"/>
    </row>
    <row r="224" spans="1:13" x14ac:dyDescent="0.2">
      <c r="A224" s="30"/>
      <c r="B224" s="30"/>
      <c r="C224" s="30"/>
      <c r="D224" s="30"/>
      <c r="E224" s="30"/>
      <c r="F224" s="30"/>
      <c r="G224" s="30"/>
      <c r="H224" s="30"/>
      <c r="I224" s="30"/>
      <c r="J224" s="65"/>
      <c r="K224" s="83"/>
      <c r="L224" s="30"/>
      <c r="M224" s="39"/>
    </row>
    <row r="225" spans="1:13" x14ac:dyDescent="0.2">
      <c r="A225" s="30"/>
      <c r="B225" s="30"/>
      <c r="C225" s="30"/>
      <c r="D225" s="30"/>
      <c r="E225" s="30"/>
      <c r="F225" s="30"/>
      <c r="G225" s="30"/>
      <c r="H225" s="30"/>
      <c r="I225" s="30"/>
      <c r="J225" s="65"/>
      <c r="K225" s="83"/>
      <c r="L225" s="30"/>
      <c r="M225" s="39"/>
    </row>
    <row r="226" spans="1:13" x14ac:dyDescent="0.2">
      <c r="A226" s="30"/>
      <c r="B226" s="30"/>
      <c r="C226" s="30"/>
      <c r="D226" s="30"/>
      <c r="E226" s="30"/>
      <c r="F226" s="30"/>
      <c r="G226" s="30"/>
      <c r="H226" s="30"/>
      <c r="I226" s="30"/>
      <c r="J226" s="65"/>
      <c r="K226" s="83"/>
      <c r="L226" s="30"/>
      <c r="M226" s="39"/>
    </row>
    <row r="227" spans="1:13" x14ac:dyDescent="0.2">
      <c r="A227" s="30"/>
      <c r="B227" s="30"/>
      <c r="C227" s="30"/>
      <c r="D227" s="30"/>
      <c r="E227" s="30"/>
      <c r="F227" s="30"/>
      <c r="G227" s="30"/>
      <c r="H227" s="30"/>
      <c r="I227" s="30"/>
      <c r="J227" s="65"/>
      <c r="K227" s="83"/>
      <c r="L227" s="30"/>
      <c r="M227" s="39"/>
    </row>
    <row r="228" spans="1:13" x14ac:dyDescent="0.2">
      <c r="A228" s="30"/>
      <c r="B228" s="30"/>
      <c r="C228" s="30"/>
      <c r="D228" s="30"/>
      <c r="E228" s="30"/>
      <c r="F228" s="30"/>
      <c r="G228" s="30"/>
      <c r="H228" s="30"/>
      <c r="I228" s="30"/>
      <c r="J228" s="65"/>
      <c r="K228" s="83"/>
      <c r="L228" s="30"/>
      <c r="M228" s="39"/>
    </row>
    <row r="229" spans="1:13" x14ac:dyDescent="0.2">
      <c r="A229" s="30"/>
      <c r="B229" s="30"/>
      <c r="C229" s="30"/>
      <c r="D229" s="30"/>
      <c r="E229" s="30"/>
      <c r="F229" s="30"/>
      <c r="G229" s="30"/>
      <c r="H229" s="30"/>
      <c r="I229" s="30"/>
      <c r="J229" s="65"/>
      <c r="K229" s="83"/>
      <c r="L229" s="30"/>
      <c r="M229" s="39"/>
    </row>
    <row r="230" spans="1:13" x14ac:dyDescent="0.2">
      <c r="A230" s="30"/>
      <c r="B230" s="30"/>
      <c r="C230" s="30"/>
      <c r="D230" s="30"/>
      <c r="E230" s="30"/>
      <c r="F230" s="30"/>
      <c r="G230" s="30"/>
      <c r="H230" s="30"/>
      <c r="I230" s="30"/>
      <c r="J230" s="65"/>
      <c r="K230" s="83"/>
      <c r="L230" s="30"/>
      <c r="M230" s="39"/>
    </row>
    <row r="231" spans="1:13" x14ac:dyDescent="0.2">
      <c r="A231" s="30"/>
      <c r="B231" s="30"/>
      <c r="C231" s="30"/>
      <c r="D231" s="30"/>
      <c r="E231" s="30"/>
      <c r="F231" s="30"/>
      <c r="G231" s="30"/>
      <c r="H231" s="30"/>
      <c r="I231" s="30"/>
      <c r="J231" s="65"/>
      <c r="K231" s="83"/>
      <c r="L231" s="30"/>
      <c r="M231" s="39"/>
    </row>
    <row r="232" spans="1:13" x14ac:dyDescent="0.2">
      <c r="A232" s="30"/>
      <c r="B232" s="30"/>
      <c r="C232" s="30"/>
      <c r="D232" s="30"/>
      <c r="E232" s="30"/>
      <c r="F232" s="30"/>
      <c r="G232" s="30"/>
      <c r="H232" s="30"/>
      <c r="I232" s="30"/>
      <c r="J232" s="65"/>
      <c r="K232" s="83"/>
      <c r="L232" s="30"/>
      <c r="M232" s="39"/>
    </row>
    <row r="233" spans="1:13" x14ac:dyDescent="0.2">
      <c r="A233" s="30"/>
      <c r="B233" s="30"/>
      <c r="C233" s="30"/>
      <c r="D233" s="30"/>
      <c r="E233" s="30"/>
      <c r="F233" s="30"/>
      <c r="G233" s="30"/>
      <c r="H233" s="30"/>
      <c r="I233" s="30"/>
      <c r="J233" s="65"/>
      <c r="K233" s="83"/>
      <c r="L233" s="30"/>
      <c r="M233" s="39"/>
    </row>
    <row r="234" spans="1:13" x14ac:dyDescent="0.2">
      <c r="A234" s="30"/>
      <c r="B234" s="30"/>
      <c r="C234" s="30"/>
      <c r="D234" s="30"/>
      <c r="E234" s="30"/>
      <c r="F234" s="30"/>
      <c r="G234" s="30"/>
      <c r="H234" s="30"/>
      <c r="I234" s="30"/>
      <c r="J234" s="65"/>
      <c r="K234" s="83"/>
      <c r="L234" s="30"/>
      <c r="M234" s="39"/>
    </row>
    <row r="235" spans="1:13" x14ac:dyDescent="0.2">
      <c r="A235" s="30"/>
      <c r="B235" s="30"/>
      <c r="C235" s="30"/>
      <c r="D235" s="30"/>
      <c r="E235" s="30"/>
      <c r="F235" s="30"/>
      <c r="G235" s="30"/>
      <c r="H235" s="30"/>
      <c r="I235" s="30"/>
      <c r="J235" s="65"/>
      <c r="K235" s="83"/>
      <c r="L235" s="30"/>
      <c r="M235" s="39"/>
    </row>
    <row r="236" spans="1:13" x14ac:dyDescent="0.2">
      <c r="A236" s="30"/>
      <c r="B236" s="30"/>
      <c r="C236" s="30"/>
      <c r="D236" s="30"/>
      <c r="E236" s="30"/>
      <c r="F236" s="30"/>
      <c r="G236" s="30"/>
      <c r="H236" s="30"/>
      <c r="I236" s="30"/>
      <c r="J236" s="65"/>
      <c r="K236" s="83"/>
      <c r="L236" s="30"/>
      <c r="M236" s="39"/>
    </row>
    <row r="237" spans="1:13" x14ac:dyDescent="0.2">
      <c r="A237" s="30"/>
      <c r="B237" s="30"/>
      <c r="C237" s="30"/>
      <c r="D237" s="30"/>
      <c r="E237" s="30"/>
      <c r="F237" s="30"/>
      <c r="G237" s="30"/>
      <c r="H237" s="30"/>
      <c r="I237" s="30"/>
      <c r="J237" s="65"/>
      <c r="K237" s="83"/>
      <c r="L237" s="30"/>
      <c r="M237" s="39"/>
    </row>
    <row r="238" spans="1:13" x14ac:dyDescent="0.2">
      <c r="A238" s="30"/>
      <c r="B238" s="30"/>
      <c r="C238" s="30"/>
      <c r="D238" s="30"/>
      <c r="E238" s="30"/>
      <c r="F238" s="30"/>
      <c r="G238" s="30"/>
      <c r="H238" s="30"/>
      <c r="I238" s="30"/>
      <c r="J238" s="65"/>
      <c r="K238" s="83"/>
      <c r="L238" s="30"/>
      <c r="M238" s="39"/>
    </row>
    <row r="239" spans="1:13" x14ac:dyDescent="0.2">
      <c r="A239" s="30"/>
      <c r="B239" s="30"/>
      <c r="C239" s="30"/>
      <c r="D239" s="30"/>
      <c r="E239" s="30"/>
      <c r="F239" s="30"/>
      <c r="G239" s="30"/>
      <c r="H239" s="30"/>
      <c r="I239" s="30"/>
      <c r="J239" s="65"/>
      <c r="K239" s="83"/>
      <c r="L239" s="30"/>
      <c r="M239" s="39"/>
    </row>
    <row r="240" spans="1:13" x14ac:dyDescent="0.2">
      <c r="A240" s="30"/>
      <c r="B240" s="30"/>
      <c r="C240" s="30"/>
      <c r="D240" s="30"/>
      <c r="E240" s="30"/>
      <c r="F240" s="30"/>
      <c r="G240" s="30"/>
      <c r="H240" s="30"/>
      <c r="I240" s="30"/>
      <c r="J240" s="65"/>
      <c r="K240" s="83"/>
      <c r="L240" s="30"/>
      <c r="M240" s="39"/>
    </row>
    <row r="241" spans="1:13" x14ac:dyDescent="0.2">
      <c r="A241" s="30"/>
      <c r="B241" s="30"/>
      <c r="C241" s="30"/>
      <c r="D241" s="30"/>
      <c r="E241" s="30"/>
      <c r="F241" s="30"/>
      <c r="G241" s="30"/>
      <c r="H241" s="30"/>
      <c r="I241" s="30"/>
      <c r="J241" s="65"/>
      <c r="K241" s="83"/>
      <c r="L241" s="30"/>
      <c r="M241" s="39"/>
    </row>
    <row r="242" spans="1:13" x14ac:dyDescent="0.2">
      <c r="A242" s="30"/>
      <c r="B242" s="30"/>
      <c r="C242" s="30"/>
      <c r="D242" s="30"/>
      <c r="E242" s="30"/>
      <c r="F242" s="30"/>
      <c r="G242" s="30"/>
      <c r="H242" s="30"/>
      <c r="I242" s="30"/>
      <c r="J242" s="65"/>
      <c r="K242" s="83"/>
      <c r="L242" s="30"/>
      <c r="M242" s="39"/>
    </row>
    <row r="243" spans="1:13" x14ac:dyDescent="0.2">
      <c r="A243" s="30"/>
      <c r="B243" s="30"/>
      <c r="C243" s="30"/>
      <c r="D243" s="30"/>
      <c r="E243" s="30"/>
      <c r="F243" s="30"/>
      <c r="G243" s="30"/>
      <c r="H243" s="30"/>
      <c r="I243" s="30"/>
      <c r="J243" s="65"/>
      <c r="K243" s="83"/>
      <c r="L243" s="30"/>
      <c r="M243" s="39"/>
    </row>
    <row r="244" spans="1:13" x14ac:dyDescent="0.2">
      <c r="A244" s="30"/>
      <c r="B244" s="30"/>
      <c r="C244" s="30"/>
      <c r="D244" s="30"/>
      <c r="E244" s="30"/>
      <c r="F244" s="30"/>
      <c r="G244" s="30"/>
      <c r="H244" s="30"/>
      <c r="I244" s="30"/>
      <c r="J244" s="65"/>
      <c r="K244" s="83"/>
      <c r="L244" s="30"/>
      <c r="M244" s="39"/>
    </row>
    <row r="245" spans="1:13" x14ac:dyDescent="0.2">
      <c r="A245" s="30"/>
      <c r="B245" s="30"/>
      <c r="C245" s="30"/>
      <c r="D245" s="30"/>
      <c r="E245" s="30"/>
      <c r="F245" s="30"/>
      <c r="G245" s="30"/>
      <c r="H245" s="30"/>
      <c r="I245" s="30"/>
      <c r="J245" s="65"/>
      <c r="K245" s="83"/>
      <c r="L245" s="30"/>
      <c r="M245" s="39"/>
    </row>
    <row r="246" spans="1:13" x14ac:dyDescent="0.2">
      <c r="A246" s="30"/>
      <c r="B246" s="30"/>
      <c r="C246" s="30"/>
      <c r="D246" s="30"/>
      <c r="E246" s="30"/>
      <c r="F246" s="30"/>
      <c r="G246" s="30"/>
      <c r="H246" s="30"/>
      <c r="I246" s="30"/>
      <c r="J246" s="65"/>
      <c r="K246" s="83"/>
      <c r="L246" s="30"/>
      <c r="M246" s="39"/>
    </row>
    <row r="247" spans="1:13" x14ac:dyDescent="0.2">
      <c r="A247" s="30"/>
      <c r="B247" s="30"/>
      <c r="C247" s="30"/>
      <c r="D247" s="30"/>
      <c r="E247" s="30"/>
      <c r="F247" s="30"/>
      <c r="G247" s="30"/>
      <c r="H247" s="30"/>
      <c r="I247" s="30"/>
      <c r="J247" s="65"/>
      <c r="K247" s="83"/>
      <c r="L247" s="30"/>
      <c r="M247" s="39"/>
    </row>
    <row r="248" spans="1:13" x14ac:dyDescent="0.2">
      <c r="A248" s="30"/>
      <c r="B248" s="30"/>
      <c r="C248" s="30"/>
      <c r="D248" s="30"/>
      <c r="E248" s="30"/>
      <c r="F248" s="30"/>
      <c r="G248" s="30"/>
      <c r="H248" s="30"/>
      <c r="I248" s="30"/>
      <c r="J248" s="65"/>
      <c r="K248" s="83"/>
      <c r="L248" s="30"/>
      <c r="M248" s="39"/>
    </row>
    <row r="249" spans="1:13" x14ac:dyDescent="0.2">
      <c r="A249" s="30"/>
      <c r="B249" s="30"/>
      <c r="C249" s="30"/>
      <c r="D249" s="30"/>
      <c r="E249" s="30"/>
      <c r="F249" s="30"/>
      <c r="G249" s="30"/>
      <c r="H249" s="30"/>
      <c r="I249" s="30"/>
      <c r="J249" s="65"/>
      <c r="K249" s="83"/>
      <c r="L249" s="30"/>
      <c r="M249" s="39"/>
    </row>
    <row r="250" spans="1:13" x14ac:dyDescent="0.2">
      <c r="A250" s="30"/>
      <c r="B250" s="30"/>
      <c r="C250" s="30"/>
      <c r="D250" s="30"/>
      <c r="E250" s="30"/>
      <c r="F250" s="30"/>
      <c r="G250" s="30"/>
      <c r="H250" s="30"/>
      <c r="I250" s="30"/>
      <c r="J250" s="65"/>
      <c r="K250" s="83"/>
      <c r="L250" s="30"/>
      <c r="M250" s="39"/>
    </row>
    <row r="251" spans="1:13" x14ac:dyDescent="0.2">
      <c r="A251" s="30"/>
      <c r="B251" s="30"/>
      <c r="C251" s="30"/>
      <c r="D251" s="30"/>
      <c r="E251" s="30"/>
      <c r="F251" s="30"/>
      <c r="G251" s="30"/>
      <c r="H251" s="30"/>
      <c r="I251" s="30"/>
      <c r="J251" s="65"/>
      <c r="K251" s="83"/>
      <c r="L251" s="30"/>
      <c r="M251" s="39"/>
    </row>
    <row r="252" spans="1:13" x14ac:dyDescent="0.2">
      <c r="A252" s="30"/>
      <c r="B252" s="30"/>
      <c r="C252" s="30"/>
      <c r="D252" s="30"/>
      <c r="E252" s="30"/>
      <c r="F252" s="30"/>
      <c r="G252" s="30"/>
      <c r="H252" s="30"/>
      <c r="I252" s="30"/>
      <c r="J252" s="65"/>
      <c r="K252" s="83"/>
      <c r="L252" s="30"/>
      <c r="M252" s="39"/>
    </row>
    <row r="253" spans="1:13" x14ac:dyDescent="0.2">
      <c r="A253" s="30"/>
      <c r="B253" s="30"/>
      <c r="C253" s="30"/>
      <c r="D253" s="30"/>
      <c r="E253" s="30"/>
      <c r="F253" s="30"/>
      <c r="G253" s="30"/>
      <c r="H253" s="30"/>
      <c r="I253" s="30"/>
      <c r="J253" s="65"/>
      <c r="K253" s="83"/>
      <c r="L253" s="30"/>
      <c r="M253" s="39"/>
    </row>
    <row r="254" spans="1:13" x14ac:dyDescent="0.2">
      <c r="A254" s="30"/>
      <c r="B254" s="30"/>
      <c r="C254" s="30"/>
      <c r="D254" s="30"/>
      <c r="E254" s="30"/>
      <c r="F254" s="30"/>
      <c r="G254" s="30"/>
      <c r="H254" s="30"/>
      <c r="I254" s="30"/>
      <c r="J254" s="65"/>
      <c r="K254" s="83"/>
      <c r="L254" s="30"/>
      <c r="M254" s="39"/>
    </row>
    <row r="255" spans="1:13" x14ac:dyDescent="0.2">
      <c r="A255" s="30"/>
      <c r="B255" s="30"/>
      <c r="C255" s="30"/>
      <c r="D255" s="30"/>
      <c r="E255" s="30"/>
      <c r="F255" s="30"/>
      <c r="G255" s="30"/>
      <c r="H255" s="30"/>
      <c r="I255" s="30"/>
      <c r="J255" s="65"/>
      <c r="K255" s="83"/>
      <c r="L255" s="30"/>
      <c r="M255" s="39"/>
    </row>
    <row r="256" spans="1:13" x14ac:dyDescent="0.2">
      <c r="A256" s="30"/>
      <c r="B256" s="30"/>
      <c r="C256" s="30"/>
      <c r="D256" s="30"/>
      <c r="E256" s="30"/>
      <c r="F256" s="30"/>
      <c r="G256" s="30"/>
      <c r="H256" s="30"/>
      <c r="I256" s="30"/>
      <c r="J256" s="65"/>
      <c r="K256" s="83"/>
      <c r="L256" s="30"/>
      <c r="M256" s="39"/>
    </row>
    <row r="257" spans="1:13" x14ac:dyDescent="0.2">
      <c r="A257" s="30"/>
      <c r="B257" s="30"/>
      <c r="C257" s="30"/>
      <c r="D257" s="30"/>
      <c r="E257" s="30"/>
      <c r="F257" s="30"/>
      <c r="G257" s="30"/>
      <c r="H257" s="30"/>
      <c r="I257" s="30"/>
      <c r="J257" s="65"/>
      <c r="K257" s="83"/>
      <c r="L257" s="30"/>
      <c r="M257" s="39"/>
    </row>
    <row r="258" spans="1:13" x14ac:dyDescent="0.2">
      <c r="A258" s="30"/>
      <c r="B258" s="30"/>
      <c r="C258" s="30"/>
      <c r="D258" s="30"/>
      <c r="E258" s="30"/>
      <c r="F258" s="30"/>
      <c r="G258" s="30"/>
      <c r="H258" s="30"/>
      <c r="I258" s="30"/>
      <c r="J258" s="65"/>
      <c r="K258" s="83"/>
      <c r="L258" s="30"/>
      <c r="M258" s="39"/>
    </row>
    <row r="259" spans="1:13" x14ac:dyDescent="0.2">
      <c r="A259" s="30"/>
      <c r="B259" s="30"/>
      <c r="C259" s="30"/>
      <c r="D259" s="30"/>
      <c r="E259" s="30"/>
      <c r="F259" s="30"/>
      <c r="G259" s="30"/>
      <c r="H259" s="30"/>
      <c r="I259" s="30"/>
      <c r="J259" s="65"/>
      <c r="K259" s="83"/>
      <c r="L259" s="30"/>
      <c r="M259" s="39"/>
    </row>
    <row r="260" spans="1:13" x14ac:dyDescent="0.2">
      <c r="A260" s="30"/>
      <c r="B260" s="30"/>
      <c r="C260" s="30"/>
      <c r="D260" s="30"/>
      <c r="E260" s="30"/>
      <c r="F260" s="30"/>
      <c r="G260" s="30"/>
      <c r="H260" s="30"/>
      <c r="I260" s="30"/>
      <c r="J260" s="65"/>
      <c r="K260" s="83"/>
      <c r="L260" s="30"/>
      <c r="M260" s="39"/>
    </row>
    <row r="261" spans="1:13" x14ac:dyDescent="0.2">
      <c r="A261" s="30"/>
      <c r="B261" s="30"/>
      <c r="C261" s="30"/>
      <c r="D261" s="30"/>
      <c r="E261" s="30"/>
      <c r="F261" s="30"/>
      <c r="G261" s="30"/>
      <c r="H261" s="30"/>
      <c r="I261" s="30"/>
      <c r="J261" s="65"/>
      <c r="K261" s="83"/>
      <c r="L261" s="30"/>
      <c r="M261" s="39"/>
    </row>
    <row r="262" spans="1:13" x14ac:dyDescent="0.2">
      <c r="A262" s="30"/>
      <c r="B262" s="30"/>
      <c r="C262" s="30"/>
      <c r="D262" s="30"/>
      <c r="E262" s="30"/>
      <c r="F262" s="30"/>
      <c r="G262" s="30"/>
      <c r="H262" s="30"/>
      <c r="I262" s="30"/>
      <c r="J262" s="65"/>
      <c r="K262" s="83"/>
      <c r="L262" s="30"/>
      <c r="M262" s="39"/>
    </row>
    <row r="263" spans="1:13" x14ac:dyDescent="0.2">
      <c r="A263" s="30"/>
      <c r="B263" s="30"/>
      <c r="C263" s="30"/>
      <c r="D263" s="30"/>
      <c r="E263" s="30"/>
      <c r="F263" s="30"/>
      <c r="G263" s="30"/>
      <c r="H263" s="30"/>
      <c r="I263" s="30"/>
      <c r="J263" s="65"/>
      <c r="K263" s="83"/>
      <c r="L263" s="30"/>
      <c r="M263" s="39"/>
    </row>
    <row r="264" spans="1:13" x14ac:dyDescent="0.2">
      <c r="A264" s="30"/>
      <c r="B264" s="30"/>
      <c r="C264" s="30"/>
      <c r="D264" s="30"/>
      <c r="E264" s="30"/>
      <c r="F264" s="30"/>
      <c r="G264" s="30"/>
      <c r="H264" s="30"/>
      <c r="I264" s="30"/>
      <c r="J264" s="65"/>
      <c r="K264" s="83"/>
      <c r="L264" s="30"/>
      <c r="M264" s="39"/>
    </row>
    <row r="265" spans="1:13" x14ac:dyDescent="0.2">
      <c r="A265" s="30"/>
      <c r="B265" s="30"/>
      <c r="C265" s="30"/>
      <c r="D265" s="30"/>
      <c r="E265" s="30"/>
      <c r="F265" s="30"/>
      <c r="G265" s="30"/>
      <c r="H265" s="30"/>
      <c r="I265" s="30"/>
      <c r="J265" s="65"/>
      <c r="K265" s="83"/>
      <c r="L265" s="30"/>
      <c r="M265" s="39"/>
    </row>
    <row r="266" spans="1:13" x14ac:dyDescent="0.2">
      <c r="A266" s="30"/>
      <c r="B266" s="30"/>
      <c r="C266" s="30"/>
      <c r="D266" s="30"/>
      <c r="E266" s="30"/>
      <c r="F266" s="30"/>
      <c r="G266" s="30"/>
      <c r="H266" s="30"/>
      <c r="I266" s="30"/>
      <c r="J266" s="65"/>
      <c r="K266" s="83"/>
      <c r="L266" s="30"/>
      <c r="M266" s="39"/>
    </row>
    <row r="267" spans="1:13" x14ac:dyDescent="0.2">
      <c r="A267" s="30"/>
      <c r="B267" s="30"/>
      <c r="C267" s="30"/>
      <c r="D267" s="30"/>
      <c r="E267" s="30"/>
      <c r="F267" s="30"/>
      <c r="G267" s="30"/>
      <c r="H267" s="30"/>
      <c r="I267" s="30"/>
      <c r="J267" s="65"/>
      <c r="K267" s="83"/>
      <c r="L267" s="30"/>
      <c r="M267" s="39"/>
    </row>
    <row r="268" spans="1:13" x14ac:dyDescent="0.2">
      <c r="A268" s="30"/>
      <c r="B268" s="30"/>
      <c r="C268" s="30"/>
      <c r="D268" s="30"/>
      <c r="E268" s="30"/>
      <c r="F268" s="30"/>
      <c r="G268" s="30"/>
      <c r="H268" s="30"/>
      <c r="I268" s="30"/>
      <c r="J268" s="65"/>
      <c r="K268" s="83"/>
      <c r="L268" s="30"/>
      <c r="M268" s="39"/>
    </row>
    <row r="269" spans="1:13" x14ac:dyDescent="0.2">
      <c r="A269" s="30"/>
      <c r="B269" s="30"/>
      <c r="C269" s="30"/>
      <c r="D269" s="30"/>
      <c r="E269" s="30"/>
      <c r="F269" s="30"/>
      <c r="G269" s="30"/>
      <c r="H269" s="30"/>
      <c r="I269" s="30"/>
      <c r="J269" s="65"/>
      <c r="K269" s="83"/>
      <c r="L269" s="30"/>
      <c r="M269" s="39"/>
    </row>
    <row r="270" spans="1:13" x14ac:dyDescent="0.2">
      <c r="A270" s="30"/>
      <c r="B270" s="30"/>
      <c r="C270" s="30"/>
      <c r="D270" s="30"/>
      <c r="E270" s="30"/>
      <c r="F270" s="30"/>
      <c r="G270" s="30"/>
      <c r="H270" s="30"/>
      <c r="I270" s="30"/>
      <c r="J270" s="65"/>
      <c r="K270" s="83"/>
      <c r="L270" s="30"/>
      <c r="M270" s="39"/>
    </row>
    <row r="271" spans="1:13" x14ac:dyDescent="0.2">
      <c r="A271" s="30"/>
      <c r="B271" s="30"/>
      <c r="C271" s="30"/>
      <c r="D271" s="30"/>
      <c r="E271" s="30"/>
      <c r="F271" s="30"/>
      <c r="G271" s="30"/>
      <c r="H271" s="30"/>
      <c r="I271" s="30"/>
      <c r="J271" s="65"/>
      <c r="K271" s="83"/>
      <c r="L271" s="30"/>
      <c r="M271" s="39"/>
    </row>
    <row r="272" spans="1:13" x14ac:dyDescent="0.2">
      <c r="A272" s="30"/>
      <c r="B272" s="30"/>
      <c r="C272" s="30"/>
      <c r="D272" s="30"/>
      <c r="E272" s="30"/>
      <c r="F272" s="30"/>
      <c r="G272" s="30"/>
      <c r="H272" s="30"/>
      <c r="I272" s="30"/>
      <c r="J272" s="65"/>
      <c r="K272" s="83"/>
      <c r="L272" s="30"/>
      <c r="M272" s="39"/>
    </row>
    <row r="273" spans="1:13" x14ac:dyDescent="0.2">
      <c r="A273" s="30"/>
      <c r="B273" s="30"/>
      <c r="C273" s="30"/>
      <c r="D273" s="30"/>
      <c r="E273" s="30"/>
      <c r="F273" s="30"/>
      <c r="G273" s="30"/>
      <c r="H273" s="30"/>
      <c r="I273" s="30"/>
      <c r="J273" s="65"/>
      <c r="K273" s="83"/>
      <c r="L273" s="30"/>
      <c r="M273" s="39"/>
    </row>
    <row r="274" spans="1:13" x14ac:dyDescent="0.2">
      <c r="A274" s="30"/>
      <c r="B274" s="30"/>
      <c r="C274" s="30"/>
      <c r="D274" s="30"/>
      <c r="E274" s="30"/>
      <c r="F274" s="30"/>
      <c r="G274" s="30"/>
      <c r="H274" s="30"/>
      <c r="I274" s="30"/>
      <c r="J274" s="65"/>
      <c r="K274" s="83"/>
      <c r="L274" s="30"/>
      <c r="M274" s="39"/>
    </row>
    <row r="275" spans="1:13" x14ac:dyDescent="0.2">
      <c r="A275" s="30"/>
      <c r="B275" s="30"/>
      <c r="C275" s="30"/>
      <c r="D275" s="30"/>
      <c r="E275" s="30"/>
      <c r="F275" s="30"/>
      <c r="G275" s="30"/>
      <c r="H275" s="30"/>
      <c r="I275" s="30"/>
      <c r="J275" s="65"/>
      <c r="K275" s="83"/>
      <c r="L275" s="30"/>
      <c r="M275" s="39"/>
    </row>
    <row r="276" spans="1:13" x14ac:dyDescent="0.2">
      <c r="A276" s="30"/>
      <c r="B276" s="30"/>
      <c r="C276" s="30"/>
      <c r="D276" s="30"/>
      <c r="E276" s="30"/>
      <c r="F276" s="30"/>
      <c r="G276" s="30"/>
      <c r="H276" s="30"/>
      <c r="I276" s="30"/>
      <c r="J276" s="65"/>
      <c r="K276" s="83"/>
      <c r="L276" s="30"/>
      <c r="M276" s="39"/>
    </row>
    <row r="277" spans="1:13" x14ac:dyDescent="0.2">
      <c r="A277" s="30"/>
      <c r="B277" s="30"/>
      <c r="C277" s="30"/>
      <c r="D277" s="30"/>
      <c r="E277" s="30"/>
      <c r="F277" s="30"/>
      <c r="G277" s="30"/>
      <c r="H277" s="30"/>
      <c r="I277" s="30"/>
      <c r="J277" s="65"/>
      <c r="K277" s="83"/>
      <c r="L277" s="30"/>
      <c r="M277" s="39"/>
    </row>
    <row r="278" spans="1:13" x14ac:dyDescent="0.2">
      <c r="A278" s="30"/>
      <c r="B278" s="30"/>
      <c r="C278" s="30"/>
      <c r="D278" s="30"/>
      <c r="E278" s="30"/>
      <c r="F278" s="30"/>
      <c r="G278" s="30"/>
      <c r="H278" s="30"/>
      <c r="I278" s="30"/>
      <c r="J278" s="65"/>
      <c r="K278" s="83"/>
      <c r="L278" s="30"/>
      <c r="M278" s="39"/>
    </row>
    <row r="279" spans="1:13" x14ac:dyDescent="0.2">
      <c r="A279" s="30"/>
      <c r="B279" s="30"/>
      <c r="C279" s="30"/>
      <c r="D279" s="30"/>
      <c r="E279" s="30"/>
      <c r="F279" s="30"/>
      <c r="G279" s="30"/>
      <c r="H279" s="30"/>
      <c r="I279" s="30"/>
      <c r="J279" s="65"/>
      <c r="K279" s="83"/>
      <c r="L279" s="30"/>
      <c r="M279" s="39"/>
    </row>
    <row r="280" spans="1:13" x14ac:dyDescent="0.2">
      <c r="A280" s="30"/>
      <c r="B280" s="30"/>
      <c r="C280" s="30"/>
      <c r="D280" s="30"/>
      <c r="E280" s="30"/>
      <c r="F280" s="30"/>
      <c r="G280" s="30"/>
      <c r="H280" s="30"/>
      <c r="I280" s="30"/>
      <c r="J280" s="65"/>
      <c r="K280" s="83"/>
      <c r="L280" s="30"/>
      <c r="M280" s="39"/>
    </row>
    <row r="281" spans="1:13" x14ac:dyDescent="0.2">
      <c r="A281" s="30"/>
      <c r="B281" s="30"/>
      <c r="C281" s="30"/>
      <c r="D281" s="30"/>
      <c r="E281" s="30"/>
      <c r="F281" s="30"/>
      <c r="G281" s="30"/>
      <c r="H281" s="30"/>
      <c r="I281" s="30"/>
      <c r="J281" s="65"/>
      <c r="K281" s="83"/>
      <c r="L281" s="30"/>
      <c r="M281" s="39"/>
    </row>
    <row r="282" spans="1:13" x14ac:dyDescent="0.2">
      <c r="A282" s="30"/>
      <c r="B282" s="30"/>
      <c r="C282" s="30"/>
      <c r="D282" s="30"/>
      <c r="E282" s="30"/>
      <c r="F282" s="30"/>
      <c r="G282" s="30"/>
      <c r="H282" s="30"/>
      <c r="I282" s="30"/>
      <c r="J282" s="65"/>
      <c r="K282" s="83"/>
      <c r="L282" s="30"/>
      <c r="M282" s="39"/>
    </row>
    <row r="283" spans="1:13" x14ac:dyDescent="0.2">
      <c r="A283" s="30"/>
      <c r="B283" s="30"/>
      <c r="C283" s="30"/>
      <c r="D283" s="30"/>
      <c r="E283" s="30"/>
      <c r="F283" s="30"/>
      <c r="G283" s="30"/>
      <c r="H283" s="30"/>
      <c r="I283" s="30"/>
      <c r="J283" s="65"/>
      <c r="K283" s="83"/>
      <c r="L283" s="30"/>
      <c r="M283" s="39"/>
    </row>
    <row r="284" spans="1:13" x14ac:dyDescent="0.2">
      <c r="A284" s="30"/>
      <c r="B284" s="30"/>
      <c r="C284" s="30"/>
      <c r="D284" s="30"/>
      <c r="E284" s="30"/>
      <c r="F284" s="30"/>
      <c r="G284" s="30"/>
      <c r="H284" s="30"/>
      <c r="I284" s="30"/>
      <c r="J284" s="65"/>
      <c r="K284" s="83"/>
      <c r="L284" s="30"/>
      <c r="M284" s="39"/>
    </row>
    <row r="285" spans="1:13" x14ac:dyDescent="0.2">
      <c r="A285" s="30"/>
      <c r="B285" s="30"/>
      <c r="C285" s="30"/>
      <c r="D285" s="30"/>
      <c r="E285" s="30"/>
      <c r="F285" s="30"/>
      <c r="G285" s="30"/>
      <c r="H285" s="30"/>
      <c r="I285" s="30"/>
      <c r="J285" s="65"/>
      <c r="K285" s="83"/>
      <c r="L285" s="30"/>
      <c r="M285" s="39"/>
    </row>
    <row r="286" spans="1:13" x14ac:dyDescent="0.2">
      <c r="A286" s="30"/>
      <c r="B286" s="30"/>
      <c r="C286" s="30"/>
      <c r="D286" s="30"/>
      <c r="E286" s="30"/>
      <c r="F286" s="30"/>
      <c r="G286" s="30"/>
      <c r="H286" s="30"/>
      <c r="I286" s="30"/>
      <c r="J286" s="65"/>
      <c r="K286" s="83"/>
      <c r="L286" s="30"/>
      <c r="M286" s="39"/>
    </row>
    <row r="287" spans="1:13" x14ac:dyDescent="0.2">
      <c r="A287" s="30"/>
      <c r="B287" s="30"/>
      <c r="C287" s="30"/>
      <c r="D287" s="30"/>
      <c r="E287" s="30"/>
      <c r="F287" s="30"/>
      <c r="G287" s="30"/>
      <c r="H287" s="30"/>
      <c r="I287" s="30"/>
      <c r="J287" s="65"/>
      <c r="K287" s="83"/>
      <c r="L287" s="30"/>
      <c r="M287" s="39"/>
    </row>
    <row r="288" spans="1:13" x14ac:dyDescent="0.2">
      <c r="A288" s="30"/>
      <c r="B288" s="30"/>
      <c r="C288" s="30"/>
      <c r="D288" s="30"/>
      <c r="E288" s="30"/>
      <c r="F288" s="30"/>
      <c r="G288" s="30"/>
      <c r="H288" s="30"/>
      <c r="I288" s="30"/>
      <c r="J288" s="65"/>
      <c r="K288" s="83"/>
      <c r="L288" s="30"/>
      <c r="M288" s="39"/>
    </row>
    <row r="289" spans="1:13" x14ac:dyDescent="0.2">
      <c r="A289" s="30"/>
      <c r="B289" s="30"/>
      <c r="C289" s="30"/>
      <c r="D289" s="30"/>
      <c r="E289" s="30"/>
      <c r="F289" s="30"/>
      <c r="G289" s="30"/>
      <c r="H289" s="30"/>
      <c r="I289" s="30"/>
      <c r="J289" s="65"/>
      <c r="K289" s="83"/>
      <c r="L289" s="30"/>
      <c r="M289" s="39"/>
    </row>
    <row r="290" spans="1:13" x14ac:dyDescent="0.2">
      <c r="A290" s="30"/>
      <c r="B290" s="30"/>
      <c r="C290" s="30"/>
      <c r="D290" s="30"/>
      <c r="E290" s="30"/>
      <c r="F290" s="30"/>
      <c r="G290" s="30"/>
      <c r="H290" s="30"/>
      <c r="I290" s="30"/>
      <c r="J290" s="65"/>
      <c r="K290" s="83"/>
      <c r="L290" s="30"/>
      <c r="M290" s="39"/>
    </row>
    <row r="291" spans="1:13" x14ac:dyDescent="0.2">
      <c r="A291" s="30"/>
      <c r="B291" s="30"/>
      <c r="C291" s="30"/>
      <c r="D291" s="30"/>
      <c r="E291" s="30"/>
      <c r="F291" s="30"/>
      <c r="G291" s="30"/>
      <c r="H291" s="30"/>
      <c r="I291" s="30"/>
      <c r="J291" s="65"/>
      <c r="K291" s="83"/>
      <c r="L291" s="30"/>
      <c r="M291" s="39"/>
    </row>
    <row r="292" spans="1:13" x14ac:dyDescent="0.2">
      <c r="A292" s="30"/>
      <c r="B292" s="30"/>
      <c r="C292" s="30"/>
      <c r="D292" s="30"/>
      <c r="E292" s="30"/>
      <c r="F292" s="30"/>
      <c r="G292" s="30"/>
      <c r="H292" s="30"/>
      <c r="I292" s="30"/>
      <c r="J292" s="65"/>
      <c r="K292" s="83"/>
      <c r="L292" s="30"/>
      <c r="M292" s="39"/>
    </row>
    <row r="293" spans="1:13" x14ac:dyDescent="0.2">
      <c r="A293" s="30"/>
      <c r="B293" s="30"/>
      <c r="C293" s="30"/>
      <c r="D293" s="30"/>
      <c r="E293" s="30"/>
      <c r="F293" s="30"/>
      <c r="G293" s="30"/>
      <c r="H293" s="30"/>
      <c r="I293" s="30"/>
      <c r="J293" s="65"/>
      <c r="K293" s="83"/>
      <c r="L293" s="30"/>
      <c r="M293" s="39"/>
    </row>
    <row r="294" spans="1:13" x14ac:dyDescent="0.2">
      <c r="A294" s="30"/>
      <c r="B294" s="30"/>
      <c r="C294" s="30"/>
      <c r="D294" s="30"/>
      <c r="E294" s="30"/>
      <c r="F294" s="30"/>
      <c r="G294" s="30"/>
      <c r="H294" s="30"/>
      <c r="I294" s="30"/>
      <c r="J294" s="65"/>
      <c r="K294" s="83"/>
      <c r="L294" s="30"/>
      <c r="M294" s="39"/>
    </row>
    <row r="295" spans="1:13" x14ac:dyDescent="0.2">
      <c r="A295" s="30"/>
      <c r="B295" s="30"/>
      <c r="C295" s="30"/>
      <c r="D295" s="30"/>
      <c r="E295" s="30"/>
      <c r="F295" s="30"/>
      <c r="G295" s="30"/>
      <c r="H295" s="30"/>
      <c r="I295" s="30"/>
      <c r="J295" s="65"/>
      <c r="K295" s="83"/>
      <c r="L295" s="30"/>
      <c r="M295" s="39"/>
    </row>
    <row r="296" spans="1:13" x14ac:dyDescent="0.2">
      <c r="A296" s="30"/>
      <c r="B296" s="30"/>
      <c r="C296" s="30"/>
      <c r="D296" s="30"/>
      <c r="E296" s="30"/>
      <c r="F296" s="30"/>
      <c r="G296" s="30"/>
      <c r="H296" s="30"/>
      <c r="I296" s="30"/>
      <c r="J296" s="65"/>
      <c r="K296" s="83"/>
      <c r="L296" s="30"/>
      <c r="M296" s="39"/>
    </row>
    <row r="297" spans="1:13" x14ac:dyDescent="0.2">
      <c r="A297" s="30"/>
      <c r="B297" s="30"/>
      <c r="C297" s="30"/>
      <c r="D297" s="30"/>
      <c r="E297" s="30"/>
      <c r="F297" s="30"/>
      <c r="G297" s="30"/>
      <c r="H297" s="30"/>
      <c r="I297" s="30"/>
      <c r="J297" s="65"/>
      <c r="K297" s="83"/>
      <c r="L297" s="30"/>
      <c r="M297" s="39"/>
    </row>
    <row r="298" spans="1:13" x14ac:dyDescent="0.2">
      <c r="A298" s="30"/>
      <c r="B298" s="30"/>
      <c r="C298" s="30"/>
      <c r="D298" s="30"/>
      <c r="E298" s="30"/>
      <c r="F298" s="30"/>
      <c r="G298" s="30"/>
      <c r="H298" s="30"/>
      <c r="I298" s="30"/>
      <c r="J298" s="65"/>
      <c r="K298" s="83"/>
      <c r="L298" s="30"/>
      <c r="M298" s="39"/>
    </row>
    <row r="299" spans="1:13" x14ac:dyDescent="0.2">
      <c r="A299" s="30"/>
      <c r="B299" s="30"/>
      <c r="C299" s="30"/>
      <c r="D299" s="30"/>
      <c r="E299" s="30"/>
      <c r="F299" s="30"/>
      <c r="G299" s="30"/>
      <c r="H299" s="30"/>
      <c r="I299" s="30"/>
      <c r="J299" s="65"/>
      <c r="K299" s="83"/>
      <c r="L299" s="30"/>
      <c r="M299" s="39"/>
    </row>
    <row r="300" spans="1:13" x14ac:dyDescent="0.2">
      <c r="A300" s="30"/>
      <c r="B300" s="30"/>
      <c r="C300" s="30"/>
      <c r="D300" s="30"/>
      <c r="E300" s="30"/>
      <c r="F300" s="30"/>
      <c r="G300" s="30"/>
      <c r="H300" s="30"/>
      <c r="I300" s="30"/>
      <c r="J300" s="65"/>
      <c r="K300" s="83"/>
      <c r="L300" s="30"/>
      <c r="M300" s="39"/>
    </row>
    <row r="301" spans="1:13" x14ac:dyDescent="0.2">
      <c r="A301" s="30"/>
      <c r="B301" s="30"/>
      <c r="C301" s="30"/>
      <c r="D301" s="30"/>
      <c r="E301" s="30"/>
      <c r="F301" s="30"/>
      <c r="G301" s="30"/>
      <c r="H301" s="30"/>
      <c r="I301" s="30"/>
      <c r="J301" s="65"/>
      <c r="K301" s="83"/>
      <c r="L301" s="30"/>
      <c r="M301" s="39"/>
    </row>
    <row r="302" spans="1:13" x14ac:dyDescent="0.2">
      <c r="A302" s="30"/>
      <c r="B302" s="30"/>
      <c r="C302" s="30"/>
      <c r="D302" s="30"/>
      <c r="E302" s="30"/>
      <c r="F302" s="30"/>
      <c r="G302" s="30"/>
      <c r="H302" s="30"/>
      <c r="I302" s="30"/>
      <c r="J302" s="65"/>
      <c r="K302" s="83"/>
      <c r="L302" s="30"/>
      <c r="M302" s="39"/>
    </row>
    <row r="303" spans="1:13" x14ac:dyDescent="0.2">
      <c r="A303" s="30"/>
      <c r="B303" s="30"/>
      <c r="C303" s="30"/>
      <c r="D303" s="30"/>
      <c r="E303" s="30"/>
      <c r="F303" s="30"/>
      <c r="G303" s="30"/>
      <c r="H303" s="30"/>
      <c r="I303" s="30"/>
      <c r="J303" s="65"/>
      <c r="K303" s="83"/>
      <c r="L303" s="30"/>
      <c r="M303" s="39"/>
    </row>
    <row r="304" spans="1:13" x14ac:dyDescent="0.2">
      <c r="A304" s="30"/>
      <c r="B304" s="30"/>
      <c r="C304" s="30"/>
      <c r="D304" s="30"/>
      <c r="E304" s="30"/>
      <c r="F304" s="30"/>
      <c r="G304" s="30"/>
      <c r="H304" s="30"/>
      <c r="I304" s="30"/>
      <c r="J304" s="65"/>
      <c r="K304" s="83"/>
      <c r="L304" s="30"/>
      <c r="M304" s="39"/>
    </row>
    <row r="305" spans="1:13" x14ac:dyDescent="0.2">
      <c r="A305" s="30"/>
      <c r="B305" s="30"/>
      <c r="C305" s="30"/>
      <c r="D305" s="30"/>
      <c r="E305" s="30"/>
      <c r="F305" s="30"/>
      <c r="G305" s="30"/>
      <c r="H305" s="30"/>
      <c r="I305" s="30"/>
      <c r="J305" s="65"/>
      <c r="K305" s="83"/>
      <c r="L305" s="30"/>
      <c r="M305" s="39"/>
    </row>
    <row r="306" spans="1:13" x14ac:dyDescent="0.2">
      <c r="A306" s="30"/>
      <c r="B306" s="30"/>
      <c r="C306" s="30"/>
      <c r="D306" s="30"/>
      <c r="E306" s="30"/>
      <c r="F306" s="30"/>
      <c r="G306" s="30"/>
      <c r="H306" s="30"/>
      <c r="I306" s="30"/>
      <c r="J306" s="65"/>
      <c r="K306" s="83"/>
      <c r="L306" s="30"/>
      <c r="M306" s="39"/>
    </row>
    <row r="307" spans="1:13" x14ac:dyDescent="0.2">
      <c r="A307" s="30"/>
      <c r="B307" s="30"/>
      <c r="C307" s="30"/>
      <c r="D307" s="30"/>
      <c r="E307" s="30"/>
      <c r="F307" s="30"/>
      <c r="G307" s="30"/>
      <c r="H307" s="30"/>
      <c r="I307" s="30"/>
      <c r="J307" s="65"/>
      <c r="K307" s="83"/>
      <c r="L307" s="30"/>
      <c r="M307" s="39"/>
    </row>
    <row r="308" spans="1:13" x14ac:dyDescent="0.2">
      <c r="A308" s="30"/>
      <c r="B308" s="30"/>
      <c r="C308" s="30"/>
      <c r="D308" s="30"/>
      <c r="E308" s="30"/>
      <c r="F308" s="30"/>
      <c r="G308" s="30"/>
      <c r="H308" s="30"/>
      <c r="I308" s="30"/>
      <c r="J308" s="65"/>
      <c r="K308" s="83"/>
      <c r="L308" s="30"/>
      <c r="M308" s="39"/>
    </row>
    <row r="309" spans="1:13" x14ac:dyDescent="0.2">
      <c r="A309" s="30"/>
      <c r="B309" s="30"/>
      <c r="C309" s="30"/>
      <c r="D309" s="30"/>
      <c r="E309" s="30"/>
      <c r="F309" s="30"/>
      <c r="G309" s="30"/>
      <c r="H309" s="30"/>
      <c r="I309" s="30"/>
      <c r="J309" s="65"/>
      <c r="K309" s="83"/>
      <c r="L309" s="30"/>
      <c r="M309" s="39"/>
    </row>
    <row r="310" spans="1:13" x14ac:dyDescent="0.2">
      <c r="A310" s="30"/>
      <c r="B310" s="30"/>
      <c r="C310" s="30"/>
      <c r="D310" s="30"/>
      <c r="E310" s="30"/>
      <c r="F310" s="30"/>
      <c r="G310" s="30"/>
      <c r="H310" s="30"/>
      <c r="I310" s="30"/>
      <c r="J310" s="65"/>
      <c r="K310" s="83"/>
      <c r="L310" s="30"/>
      <c r="M310" s="39"/>
    </row>
    <row r="311" spans="1:13" x14ac:dyDescent="0.2">
      <c r="A311" s="30"/>
      <c r="B311" s="30"/>
      <c r="C311" s="30"/>
      <c r="D311" s="30"/>
      <c r="E311" s="30"/>
      <c r="F311" s="30"/>
      <c r="G311" s="30"/>
      <c r="H311" s="30"/>
      <c r="I311" s="30"/>
      <c r="J311" s="65"/>
      <c r="K311" s="83"/>
      <c r="L311" s="30"/>
      <c r="M311" s="39"/>
    </row>
    <row r="312" spans="1:13" x14ac:dyDescent="0.2">
      <c r="A312" s="30"/>
      <c r="B312" s="30"/>
      <c r="C312" s="30"/>
      <c r="D312" s="30"/>
      <c r="E312" s="30"/>
      <c r="F312" s="30"/>
      <c r="G312" s="30"/>
      <c r="H312" s="30"/>
      <c r="I312" s="30"/>
      <c r="J312" s="65"/>
      <c r="K312" s="83"/>
      <c r="L312" s="30"/>
      <c r="M312" s="39"/>
    </row>
    <row r="313" spans="1:13" x14ac:dyDescent="0.2">
      <c r="A313" s="30"/>
      <c r="B313" s="30"/>
      <c r="C313" s="30"/>
      <c r="D313" s="30"/>
      <c r="E313" s="30"/>
      <c r="F313" s="30"/>
      <c r="G313" s="30"/>
      <c r="H313" s="30"/>
      <c r="I313" s="30"/>
      <c r="J313" s="65"/>
      <c r="K313" s="83"/>
      <c r="L313" s="30"/>
      <c r="M313" s="39"/>
    </row>
    <row r="314" spans="1:13" x14ac:dyDescent="0.2">
      <c r="A314" s="30"/>
      <c r="B314" s="30"/>
      <c r="C314" s="30"/>
      <c r="D314" s="30"/>
      <c r="E314" s="30"/>
      <c r="F314" s="30"/>
      <c r="G314" s="30"/>
      <c r="H314" s="30"/>
      <c r="I314" s="30"/>
      <c r="J314" s="65"/>
      <c r="K314" s="83"/>
      <c r="L314" s="30"/>
      <c r="M314" s="39"/>
    </row>
    <row r="315" spans="1:13" x14ac:dyDescent="0.2">
      <c r="A315" s="30"/>
      <c r="B315" s="30"/>
      <c r="C315" s="30"/>
      <c r="D315" s="30"/>
      <c r="E315" s="30"/>
      <c r="F315" s="30"/>
      <c r="G315" s="30"/>
      <c r="H315" s="30"/>
      <c r="I315" s="30"/>
      <c r="J315" s="65"/>
      <c r="K315" s="83"/>
      <c r="L315" s="30"/>
      <c r="M315" s="39"/>
    </row>
    <row r="316" spans="1:13" x14ac:dyDescent="0.2">
      <c r="A316" s="30"/>
      <c r="B316" s="30"/>
      <c r="C316" s="30"/>
      <c r="D316" s="30"/>
      <c r="E316" s="30"/>
      <c r="F316" s="30"/>
      <c r="G316" s="30"/>
      <c r="H316" s="30"/>
      <c r="I316" s="30"/>
      <c r="J316" s="65"/>
      <c r="K316" s="83"/>
      <c r="L316" s="30"/>
      <c r="M316" s="39"/>
    </row>
    <row r="317" spans="1:13" x14ac:dyDescent="0.2">
      <c r="A317" s="30"/>
      <c r="B317" s="30"/>
      <c r="C317" s="30"/>
      <c r="D317" s="30"/>
      <c r="E317" s="30"/>
      <c r="F317" s="30"/>
      <c r="G317" s="30"/>
      <c r="H317" s="30"/>
      <c r="I317" s="30"/>
      <c r="J317" s="65"/>
      <c r="K317" s="83"/>
      <c r="L317" s="30"/>
      <c r="M317" s="39"/>
    </row>
    <row r="318" spans="1:13" x14ac:dyDescent="0.2">
      <c r="A318" s="30"/>
      <c r="B318" s="30"/>
      <c r="C318" s="30"/>
      <c r="D318" s="30"/>
      <c r="E318" s="30"/>
      <c r="F318" s="30"/>
      <c r="G318" s="30"/>
      <c r="H318" s="30"/>
      <c r="I318" s="30"/>
      <c r="J318" s="65"/>
      <c r="K318" s="83"/>
      <c r="L318" s="30"/>
      <c r="M318" s="39"/>
    </row>
    <row r="319" spans="1:13" x14ac:dyDescent="0.2">
      <c r="A319" s="30"/>
      <c r="B319" s="30"/>
      <c r="C319" s="30"/>
      <c r="D319" s="30"/>
      <c r="E319" s="30"/>
      <c r="F319" s="30"/>
      <c r="G319" s="30"/>
      <c r="H319" s="30"/>
      <c r="I319" s="30"/>
      <c r="J319" s="65"/>
      <c r="K319" s="83"/>
      <c r="L319" s="30"/>
      <c r="M319" s="39"/>
    </row>
    <row r="320" spans="1:13" x14ac:dyDescent="0.2">
      <c r="A320" s="30"/>
      <c r="B320" s="30"/>
      <c r="C320" s="30"/>
      <c r="D320" s="30"/>
      <c r="E320" s="30"/>
      <c r="F320" s="30"/>
      <c r="G320" s="30"/>
      <c r="H320" s="30"/>
      <c r="I320" s="30"/>
      <c r="J320" s="65"/>
      <c r="K320" s="83"/>
      <c r="L320" s="30"/>
      <c r="M320" s="39"/>
    </row>
    <row r="321" spans="1:13" x14ac:dyDescent="0.2">
      <c r="A321" s="30"/>
      <c r="B321" s="30"/>
      <c r="C321" s="30"/>
      <c r="D321" s="30"/>
      <c r="E321" s="30"/>
      <c r="F321" s="30"/>
      <c r="G321" s="30"/>
      <c r="H321" s="30"/>
      <c r="I321" s="30"/>
      <c r="J321" s="65"/>
      <c r="K321" s="83"/>
      <c r="L321" s="30"/>
      <c r="M321" s="39"/>
    </row>
    <row r="322" spans="1:13" x14ac:dyDescent="0.2">
      <c r="A322" s="30"/>
      <c r="B322" s="30"/>
      <c r="C322" s="30"/>
      <c r="D322" s="30"/>
      <c r="E322" s="30"/>
      <c r="F322" s="30"/>
      <c r="G322" s="30"/>
      <c r="H322" s="30"/>
      <c r="I322" s="30"/>
      <c r="J322" s="65"/>
      <c r="K322" s="83"/>
      <c r="L322" s="30"/>
      <c r="M322" s="39"/>
    </row>
    <row r="323" spans="1:13" x14ac:dyDescent="0.2">
      <c r="A323" s="30"/>
      <c r="B323" s="30"/>
      <c r="C323" s="30"/>
      <c r="D323" s="30"/>
      <c r="E323" s="30"/>
      <c r="F323" s="30"/>
      <c r="G323" s="30"/>
      <c r="H323" s="30"/>
      <c r="I323" s="30"/>
      <c r="J323" s="65"/>
      <c r="K323" s="83"/>
      <c r="L323" s="30"/>
      <c r="M323" s="39"/>
    </row>
    <row r="324" spans="1:13" x14ac:dyDescent="0.2">
      <c r="A324" s="30"/>
      <c r="B324" s="30"/>
      <c r="C324" s="30"/>
      <c r="D324" s="30"/>
      <c r="E324" s="30"/>
      <c r="F324" s="30"/>
      <c r="G324" s="30"/>
      <c r="H324" s="30"/>
      <c r="I324" s="30"/>
      <c r="J324" s="65"/>
      <c r="K324" s="83"/>
      <c r="L324" s="30"/>
      <c r="M324" s="39"/>
    </row>
    <row r="325" spans="1:13" x14ac:dyDescent="0.2">
      <c r="A325" s="30"/>
      <c r="B325" s="30"/>
      <c r="C325" s="30"/>
      <c r="D325" s="30"/>
      <c r="E325" s="30"/>
      <c r="F325" s="30"/>
      <c r="G325" s="30"/>
      <c r="H325" s="30"/>
      <c r="I325" s="30"/>
      <c r="J325" s="65"/>
      <c r="K325" s="83"/>
      <c r="L325" s="30"/>
      <c r="M325" s="39"/>
    </row>
    <row r="326" spans="1:13" x14ac:dyDescent="0.2">
      <c r="A326" s="30"/>
      <c r="B326" s="30"/>
      <c r="C326" s="30"/>
      <c r="D326" s="30"/>
      <c r="E326" s="30"/>
      <c r="F326" s="30"/>
      <c r="G326" s="30"/>
      <c r="H326" s="30"/>
      <c r="I326" s="30"/>
      <c r="J326" s="65"/>
      <c r="K326" s="83"/>
      <c r="L326" s="30"/>
      <c r="M326" s="39"/>
    </row>
    <row r="327" spans="1:13" x14ac:dyDescent="0.2">
      <c r="A327" s="30"/>
      <c r="B327" s="30"/>
      <c r="C327" s="30"/>
      <c r="D327" s="30"/>
      <c r="E327" s="30"/>
      <c r="F327" s="30"/>
      <c r="G327" s="30"/>
      <c r="H327" s="30"/>
      <c r="I327" s="30"/>
      <c r="J327" s="65"/>
      <c r="K327" s="83"/>
      <c r="L327" s="30"/>
      <c r="M327" s="39"/>
    </row>
    <row r="328" spans="1:13" x14ac:dyDescent="0.2">
      <c r="A328" s="30"/>
      <c r="B328" s="30"/>
      <c r="C328" s="30"/>
      <c r="D328" s="30"/>
      <c r="E328" s="30"/>
      <c r="F328" s="30"/>
      <c r="G328" s="30"/>
      <c r="H328" s="30"/>
      <c r="I328" s="30"/>
      <c r="J328" s="65"/>
      <c r="K328" s="83"/>
      <c r="L328" s="30"/>
      <c r="M328" s="39"/>
    </row>
    <row r="329" spans="1:13" x14ac:dyDescent="0.2">
      <c r="A329" s="30"/>
      <c r="B329" s="30"/>
      <c r="C329" s="30"/>
      <c r="D329" s="30"/>
      <c r="E329" s="30"/>
      <c r="F329" s="30"/>
      <c r="G329" s="30"/>
      <c r="H329" s="30"/>
      <c r="I329" s="30"/>
      <c r="J329" s="65"/>
      <c r="K329" s="83"/>
      <c r="L329" s="30"/>
      <c r="M329" s="39"/>
    </row>
    <row r="330" spans="1:13" x14ac:dyDescent="0.2">
      <c r="A330" s="30"/>
      <c r="B330" s="30"/>
      <c r="C330" s="30"/>
      <c r="D330" s="30"/>
      <c r="E330" s="30"/>
      <c r="F330" s="30"/>
      <c r="G330" s="30"/>
      <c r="H330" s="30"/>
      <c r="I330" s="30"/>
      <c r="J330" s="65"/>
      <c r="K330" s="83"/>
      <c r="L330" s="30"/>
      <c r="M330" s="39"/>
    </row>
    <row r="331" spans="1:13" x14ac:dyDescent="0.2">
      <c r="A331" s="30"/>
      <c r="B331" s="30"/>
      <c r="C331" s="30"/>
      <c r="D331" s="30"/>
      <c r="E331" s="30"/>
      <c r="F331" s="30"/>
      <c r="G331" s="30"/>
      <c r="H331" s="30"/>
      <c r="I331" s="30"/>
      <c r="J331" s="65"/>
      <c r="K331" s="83"/>
      <c r="L331" s="30"/>
      <c r="M331" s="39"/>
    </row>
    <row r="332" spans="1:13" x14ac:dyDescent="0.2">
      <c r="A332" s="30"/>
      <c r="B332" s="30"/>
      <c r="C332" s="30"/>
      <c r="D332" s="30"/>
      <c r="E332" s="30"/>
      <c r="F332" s="30"/>
      <c r="G332" s="30"/>
      <c r="H332" s="30"/>
      <c r="I332" s="30"/>
      <c r="J332" s="65"/>
      <c r="K332" s="83"/>
      <c r="L332" s="30"/>
      <c r="M332" s="39"/>
    </row>
    <row r="333" spans="1:13" x14ac:dyDescent="0.2">
      <c r="A333" s="30"/>
      <c r="B333" s="30"/>
      <c r="C333" s="30"/>
      <c r="D333" s="30"/>
      <c r="E333" s="30"/>
      <c r="F333" s="30"/>
      <c r="G333" s="30"/>
      <c r="H333" s="30"/>
      <c r="I333" s="30"/>
      <c r="J333" s="65"/>
      <c r="K333" s="83"/>
      <c r="L333" s="30"/>
      <c r="M333" s="39"/>
    </row>
    <row r="334" spans="1:13" x14ac:dyDescent="0.2">
      <c r="A334" s="30"/>
      <c r="B334" s="30"/>
      <c r="C334" s="30"/>
      <c r="D334" s="30"/>
      <c r="E334" s="30"/>
      <c r="F334" s="30"/>
      <c r="G334" s="30"/>
      <c r="H334" s="30"/>
      <c r="I334" s="30"/>
      <c r="J334" s="65"/>
      <c r="K334" s="83"/>
      <c r="L334" s="30"/>
      <c r="M334" s="39"/>
    </row>
    <row r="335" spans="1:13" x14ac:dyDescent="0.2">
      <c r="A335" s="30"/>
      <c r="B335" s="30"/>
      <c r="C335" s="30"/>
      <c r="D335" s="30"/>
      <c r="E335" s="30"/>
      <c r="F335" s="30"/>
      <c r="G335" s="30"/>
      <c r="H335" s="30"/>
      <c r="I335" s="30"/>
      <c r="J335" s="65"/>
      <c r="K335" s="83"/>
      <c r="L335" s="30"/>
      <c r="M335" s="39"/>
    </row>
    <row r="336" spans="1:13" x14ac:dyDescent="0.2">
      <c r="A336" s="30"/>
      <c r="B336" s="30"/>
      <c r="C336" s="30"/>
      <c r="D336" s="30"/>
      <c r="E336" s="30"/>
      <c r="F336" s="30"/>
      <c r="G336" s="30"/>
      <c r="H336" s="30"/>
      <c r="I336" s="30"/>
      <c r="J336" s="65"/>
      <c r="K336" s="83"/>
      <c r="L336" s="30"/>
      <c r="M336" s="39"/>
    </row>
    <row r="337" spans="1:13" x14ac:dyDescent="0.2">
      <c r="A337" s="30"/>
      <c r="B337" s="30"/>
      <c r="C337" s="30"/>
      <c r="D337" s="30"/>
      <c r="E337" s="30"/>
      <c r="F337" s="30"/>
      <c r="G337" s="30"/>
      <c r="H337" s="30"/>
      <c r="I337" s="30"/>
      <c r="J337" s="65"/>
      <c r="K337" s="83"/>
      <c r="L337" s="30"/>
      <c r="M337" s="39"/>
    </row>
    <row r="338" spans="1:13" x14ac:dyDescent="0.2">
      <c r="A338" s="30"/>
      <c r="B338" s="30"/>
      <c r="C338" s="30"/>
      <c r="D338" s="30"/>
      <c r="E338" s="30"/>
      <c r="F338" s="30"/>
      <c r="G338" s="30"/>
      <c r="H338" s="30"/>
      <c r="I338" s="30"/>
      <c r="J338" s="65"/>
      <c r="K338" s="83"/>
      <c r="L338" s="30"/>
      <c r="M338" s="39"/>
    </row>
    <row r="339" spans="1:13" x14ac:dyDescent="0.2">
      <c r="A339" s="30"/>
      <c r="B339" s="30"/>
      <c r="C339" s="30"/>
      <c r="D339" s="30"/>
      <c r="E339" s="30"/>
      <c r="F339" s="30"/>
      <c r="G339" s="30"/>
      <c r="H339" s="30"/>
      <c r="I339" s="30"/>
      <c r="J339" s="65"/>
      <c r="K339" s="83"/>
      <c r="L339" s="30"/>
      <c r="M339" s="39"/>
    </row>
    <row r="340" spans="1:13" x14ac:dyDescent="0.2">
      <c r="A340" s="30"/>
      <c r="B340" s="30"/>
      <c r="C340" s="30"/>
      <c r="D340" s="30"/>
      <c r="E340" s="30"/>
      <c r="F340" s="30"/>
      <c r="G340" s="30"/>
      <c r="H340" s="30"/>
      <c r="I340" s="30"/>
      <c r="J340" s="65"/>
      <c r="K340" s="83"/>
      <c r="L340" s="30"/>
      <c r="M340" s="39"/>
    </row>
    <row r="341" spans="1:13" x14ac:dyDescent="0.2">
      <c r="A341" s="30"/>
      <c r="B341" s="30"/>
      <c r="C341" s="30"/>
      <c r="D341" s="30"/>
      <c r="E341" s="30"/>
      <c r="F341" s="30"/>
      <c r="G341" s="30"/>
      <c r="H341" s="30"/>
      <c r="I341" s="30"/>
      <c r="J341" s="65"/>
      <c r="K341" s="83"/>
      <c r="L341" s="30"/>
      <c r="M341" s="39"/>
    </row>
    <row r="342" spans="1:13" x14ac:dyDescent="0.2">
      <c r="A342" s="30"/>
      <c r="B342" s="30"/>
      <c r="C342" s="30"/>
      <c r="D342" s="30"/>
      <c r="E342" s="30"/>
      <c r="F342" s="30"/>
      <c r="G342" s="30"/>
      <c r="H342" s="30"/>
      <c r="I342" s="30"/>
      <c r="J342" s="65"/>
      <c r="K342" s="83"/>
      <c r="L342" s="30"/>
      <c r="M342" s="39"/>
    </row>
    <row r="343" spans="1:13" x14ac:dyDescent="0.2">
      <c r="A343" s="30"/>
      <c r="B343" s="30"/>
      <c r="C343" s="30"/>
      <c r="D343" s="30"/>
      <c r="E343" s="30"/>
      <c r="F343" s="30"/>
      <c r="G343" s="30"/>
      <c r="H343" s="30"/>
      <c r="I343" s="30"/>
      <c r="J343" s="65"/>
      <c r="K343" s="83"/>
      <c r="L343" s="30"/>
      <c r="M343" s="39"/>
    </row>
    <row r="344" spans="1:13" x14ac:dyDescent="0.2">
      <c r="A344" s="30"/>
      <c r="B344" s="30"/>
      <c r="C344" s="30"/>
      <c r="D344" s="30"/>
      <c r="E344" s="30"/>
      <c r="F344" s="30"/>
      <c r="G344" s="30"/>
      <c r="H344" s="30"/>
      <c r="I344" s="30"/>
      <c r="J344" s="65"/>
      <c r="K344" s="83"/>
      <c r="L344" s="30"/>
      <c r="M344" s="39"/>
    </row>
    <row r="345" spans="1:13" x14ac:dyDescent="0.2">
      <c r="A345" s="30"/>
      <c r="B345" s="30"/>
      <c r="C345" s="30"/>
      <c r="D345" s="30"/>
      <c r="E345" s="30"/>
      <c r="F345" s="30"/>
      <c r="G345" s="30"/>
      <c r="H345" s="30"/>
      <c r="I345" s="30"/>
      <c r="J345" s="65"/>
      <c r="K345" s="83"/>
      <c r="L345" s="30"/>
      <c r="M345" s="39"/>
    </row>
    <row r="346" spans="1:13" x14ac:dyDescent="0.2">
      <c r="A346" s="30"/>
      <c r="B346" s="30"/>
      <c r="C346" s="30"/>
      <c r="D346" s="30"/>
      <c r="E346" s="30"/>
      <c r="F346" s="30"/>
      <c r="G346" s="30"/>
      <c r="H346" s="30"/>
      <c r="I346" s="30"/>
      <c r="J346" s="65"/>
      <c r="K346" s="83"/>
      <c r="L346" s="30"/>
      <c r="M346" s="39"/>
    </row>
    <row r="347" spans="1:13" x14ac:dyDescent="0.2">
      <c r="A347" s="30"/>
      <c r="B347" s="30"/>
      <c r="C347" s="30"/>
      <c r="D347" s="30"/>
      <c r="E347" s="30"/>
      <c r="F347" s="30"/>
      <c r="G347" s="30"/>
      <c r="H347" s="30"/>
      <c r="I347" s="30"/>
      <c r="J347" s="65"/>
      <c r="K347" s="83"/>
      <c r="L347" s="30"/>
      <c r="M347" s="39"/>
    </row>
    <row r="348" spans="1:13" x14ac:dyDescent="0.2">
      <c r="A348" s="30"/>
      <c r="B348" s="30"/>
      <c r="C348" s="30"/>
      <c r="D348" s="30"/>
      <c r="E348" s="30"/>
      <c r="F348" s="30"/>
      <c r="G348" s="30"/>
      <c r="H348" s="30"/>
      <c r="I348" s="30"/>
      <c r="J348" s="65"/>
      <c r="K348" s="83"/>
      <c r="L348" s="30"/>
      <c r="M348" s="39"/>
    </row>
    <row r="349" spans="1:13" x14ac:dyDescent="0.2">
      <c r="A349" s="30"/>
      <c r="B349" s="30"/>
      <c r="C349" s="30"/>
      <c r="D349" s="30"/>
      <c r="E349" s="30"/>
      <c r="F349" s="30"/>
      <c r="G349" s="30"/>
      <c r="H349" s="30"/>
      <c r="I349" s="30"/>
      <c r="J349" s="65"/>
      <c r="K349" s="83"/>
      <c r="L349" s="30"/>
      <c r="M349" s="39"/>
    </row>
    <row r="350" spans="1:13" x14ac:dyDescent="0.2">
      <c r="A350" s="30"/>
      <c r="B350" s="30"/>
      <c r="C350" s="30"/>
      <c r="D350" s="30"/>
      <c r="E350" s="30"/>
      <c r="F350" s="30"/>
      <c r="G350" s="30"/>
      <c r="H350" s="30"/>
      <c r="I350" s="30"/>
      <c r="J350" s="65"/>
      <c r="K350" s="83"/>
      <c r="L350" s="30"/>
      <c r="M350" s="39"/>
    </row>
    <row r="351" spans="1:13" x14ac:dyDescent="0.2">
      <c r="A351" s="30"/>
      <c r="B351" s="30"/>
      <c r="C351" s="30"/>
      <c r="D351" s="30"/>
      <c r="E351" s="30"/>
      <c r="F351" s="30"/>
      <c r="G351" s="30"/>
      <c r="H351" s="30"/>
      <c r="I351" s="30"/>
      <c r="J351" s="65"/>
      <c r="K351" s="83"/>
      <c r="L351" s="30"/>
      <c r="M351" s="39"/>
    </row>
    <row r="352" spans="1:13" x14ac:dyDescent="0.2">
      <c r="A352" s="30"/>
      <c r="B352" s="30"/>
      <c r="C352" s="30"/>
      <c r="D352" s="30"/>
      <c r="E352" s="30"/>
      <c r="F352" s="30"/>
      <c r="G352" s="30"/>
      <c r="H352" s="30"/>
      <c r="I352" s="30"/>
      <c r="J352" s="65"/>
      <c r="K352" s="83"/>
      <c r="L352" s="30"/>
      <c r="M352" s="39"/>
    </row>
    <row r="353" spans="1:13" x14ac:dyDescent="0.2">
      <c r="A353" s="30"/>
      <c r="B353" s="30"/>
      <c r="C353" s="30"/>
      <c r="D353" s="30"/>
      <c r="E353" s="30"/>
      <c r="F353" s="30"/>
      <c r="G353" s="30"/>
      <c r="H353" s="30"/>
      <c r="I353" s="30"/>
      <c r="J353" s="65"/>
      <c r="K353" s="83"/>
      <c r="L353" s="30"/>
      <c r="M353" s="39"/>
    </row>
    <row r="354" spans="1:13" x14ac:dyDescent="0.2">
      <c r="A354" s="30"/>
      <c r="B354" s="30"/>
      <c r="C354" s="30"/>
      <c r="D354" s="30"/>
      <c r="E354" s="30"/>
      <c r="F354" s="30"/>
      <c r="G354" s="30"/>
      <c r="H354" s="30"/>
      <c r="I354" s="30"/>
      <c r="J354" s="65"/>
      <c r="K354" s="83"/>
      <c r="L354" s="30"/>
      <c r="M354" s="39"/>
    </row>
    <row r="355" spans="1:13" x14ac:dyDescent="0.2">
      <c r="A355" s="30"/>
      <c r="B355" s="30"/>
      <c r="C355" s="30"/>
      <c r="D355" s="30"/>
      <c r="E355" s="30"/>
      <c r="F355" s="30"/>
      <c r="G355" s="30"/>
      <c r="H355" s="30"/>
      <c r="I355" s="30"/>
      <c r="J355" s="65"/>
      <c r="K355" s="83"/>
      <c r="L355" s="30"/>
      <c r="M355" s="39"/>
    </row>
    <row r="356" spans="1:13" x14ac:dyDescent="0.2">
      <c r="A356" s="30"/>
      <c r="B356" s="30"/>
      <c r="C356" s="30"/>
      <c r="D356" s="30"/>
      <c r="E356" s="30"/>
      <c r="F356" s="30"/>
      <c r="G356" s="30"/>
      <c r="H356" s="30"/>
      <c r="I356" s="30"/>
      <c r="J356" s="65"/>
      <c r="K356" s="83"/>
      <c r="L356" s="30"/>
      <c r="M356" s="39"/>
    </row>
    <row r="357" spans="1:13" x14ac:dyDescent="0.2">
      <c r="A357" s="30"/>
      <c r="B357" s="30"/>
      <c r="C357" s="30"/>
      <c r="D357" s="30"/>
      <c r="E357" s="30"/>
      <c r="F357" s="30"/>
      <c r="G357" s="30"/>
      <c r="H357" s="30"/>
      <c r="I357" s="30"/>
      <c r="J357" s="65"/>
      <c r="K357" s="83"/>
      <c r="L357" s="30"/>
      <c r="M357" s="39"/>
    </row>
    <row r="358" spans="1:13" x14ac:dyDescent="0.2">
      <c r="A358" s="30"/>
      <c r="B358" s="30"/>
      <c r="C358" s="30"/>
      <c r="D358" s="30"/>
      <c r="E358" s="30"/>
      <c r="F358" s="30"/>
      <c r="G358" s="30"/>
      <c r="H358" s="30"/>
      <c r="I358" s="30"/>
      <c r="J358" s="65"/>
      <c r="K358" s="83"/>
      <c r="L358" s="30"/>
      <c r="M358" s="39"/>
    </row>
    <row r="359" spans="1:13" x14ac:dyDescent="0.2">
      <c r="A359" s="30"/>
      <c r="B359" s="30"/>
      <c r="C359" s="30"/>
      <c r="D359" s="30"/>
      <c r="E359" s="30"/>
      <c r="F359" s="30"/>
      <c r="G359" s="30"/>
      <c r="H359" s="30"/>
      <c r="I359" s="30"/>
      <c r="J359" s="65"/>
      <c r="K359" s="83"/>
      <c r="L359" s="30"/>
      <c r="M359" s="39"/>
    </row>
    <row r="360" spans="1:13" x14ac:dyDescent="0.2">
      <c r="A360" s="30"/>
      <c r="B360" s="30"/>
      <c r="C360" s="30"/>
      <c r="D360" s="30"/>
      <c r="E360" s="30"/>
      <c r="F360" s="30"/>
      <c r="G360" s="30"/>
      <c r="H360" s="30"/>
      <c r="I360" s="30"/>
      <c r="J360" s="65"/>
      <c r="K360" s="83"/>
      <c r="L360" s="30"/>
      <c r="M360" s="39"/>
    </row>
    <row r="361" spans="1:13" x14ac:dyDescent="0.2">
      <c r="A361" s="30"/>
      <c r="B361" s="30"/>
      <c r="C361" s="30"/>
      <c r="D361" s="30"/>
      <c r="E361" s="30"/>
      <c r="F361" s="30"/>
      <c r="G361" s="30"/>
      <c r="H361" s="30"/>
      <c r="I361" s="30"/>
      <c r="J361" s="65"/>
      <c r="K361" s="83"/>
      <c r="L361" s="30"/>
      <c r="M361" s="39"/>
    </row>
    <row r="362" spans="1:13" x14ac:dyDescent="0.2">
      <c r="A362" s="30"/>
      <c r="B362" s="30"/>
      <c r="C362" s="30"/>
      <c r="D362" s="30"/>
      <c r="E362" s="30"/>
      <c r="F362" s="30"/>
      <c r="G362" s="30"/>
      <c r="H362" s="30"/>
      <c r="I362" s="30"/>
      <c r="J362" s="65"/>
      <c r="K362" s="83"/>
      <c r="L362" s="30"/>
      <c r="M362" s="39"/>
    </row>
    <row r="363" spans="1:13" x14ac:dyDescent="0.2">
      <c r="A363" s="30"/>
      <c r="B363" s="30"/>
      <c r="C363" s="30"/>
      <c r="D363" s="30"/>
      <c r="E363" s="30"/>
      <c r="F363" s="30"/>
      <c r="G363" s="30"/>
      <c r="H363" s="30"/>
      <c r="I363" s="30"/>
      <c r="J363" s="65"/>
      <c r="K363" s="83"/>
      <c r="L363" s="30"/>
      <c r="M363" s="39"/>
    </row>
    <row r="364" spans="1:13" x14ac:dyDescent="0.2">
      <c r="A364" s="30"/>
      <c r="B364" s="30"/>
      <c r="C364" s="30"/>
      <c r="D364" s="30"/>
      <c r="E364" s="30"/>
      <c r="F364" s="30"/>
      <c r="G364" s="30"/>
      <c r="H364" s="30"/>
      <c r="I364" s="30"/>
      <c r="J364" s="65"/>
      <c r="K364" s="83"/>
      <c r="L364" s="30"/>
      <c r="M364" s="39"/>
    </row>
    <row r="365" spans="1:13" x14ac:dyDescent="0.2">
      <c r="A365" s="30"/>
      <c r="B365" s="30"/>
      <c r="C365" s="30"/>
      <c r="D365" s="30"/>
      <c r="E365" s="30"/>
      <c r="F365" s="30"/>
      <c r="G365" s="30"/>
      <c r="H365" s="30"/>
      <c r="I365" s="30"/>
      <c r="J365" s="65"/>
      <c r="K365" s="83"/>
      <c r="L365" s="30"/>
      <c r="M365" s="39"/>
    </row>
    <row r="366" spans="1:13" x14ac:dyDescent="0.2">
      <c r="A366" s="30"/>
      <c r="B366" s="30"/>
      <c r="C366" s="30"/>
      <c r="D366" s="30"/>
      <c r="E366" s="30"/>
      <c r="F366" s="30"/>
      <c r="G366" s="30"/>
      <c r="H366" s="30"/>
      <c r="I366" s="30"/>
      <c r="J366" s="65"/>
      <c r="K366" s="83"/>
      <c r="L366" s="30"/>
      <c r="M366" s="39"/>
    </row>
    <row r="367" spans="1:13" x14ac:dyDescent="0.2">
      <c r="A367" s="30"/>
      <c r="B367" s="30"/>
      <c r="C367" s="30"/>
      <c r="D367" s="30"/>
      <c r="E367" s="30"/>
      <c r="F367" s="30"/>
      <c r="G367" s="30"/>
      <c r="H367" s="30"/>
      <c r="I367" s="30"/>
      <c r="J367" s="65"/>
      <c r="K367" s="83"/>
      <c r="L367" s="30"/>
      <c r="M367" s="39"/>
    </row>
    <row r="368" spans="1:13" x14ac:dyDescent="0.2">
      <c r="A368" s="30"/>
      <c r="B368" s="30"/>
      <c r="C368" s="30"/>
      <c r="D368" s="30"/>
      <c r="E368" s="30"/>
      <c r="F368" s="30"/>
      <c r="G368" s="30"/>
      <c r="H368" s="30"/>
      <c r="I368" s="30"/>
      <c r="J368" s="65"/>
      <c r="K368" s="83"/>
      <c r="L368" s="30"/>
      <c r="M368" s="39"/>
    </row>
    <row r="369" spans="1:13" x14ac:dyDescent="0.2">
      <c r="A369" s="30"/>
      <c r="B369" s="30"/>
      <c r="C369" s="30"/>
      <c r="D369" s="30"/>
      <c r="E369" s="30"/>
      <c r="F369" s="30"/>
      <c r="G369" s="30"/>
      <c r="H369" s="30"/>
      <c r="I369" s="30"/>
      <c r="J369" s="65"/>
      <c r="K369" s="83"/>
      <c r="L369" s="30"/>
      <c r="M369" s="39"/>
    </row>
    <row r="370" spans="1:13" x14ac:dyDescent="0.2">
      <c r="A370" s="30"/>
      <c r="B370" s="30"/>
      <c r="C370" s="30"/>
      <c r="D370" s="30"/>
      <c r="E370" s="30"/>
      <c r="F370" s="30"/>
      <c r="G370" s="30"/>
      <c r="H370" s="30"/>
      <c r="I370" s="30"/>
      <c r="J370" s="65"/>
      <c r="K370" s="83"/>
      <c r="L370" s="30"/>
      <c r="M370" s="39"/>
    </row>
    <row r="371" spans="1:13" x14ac:dyDescent="0.2">
      <c r="A371" s="30"/>
      <c r="B371" s="30"/>
      <c r="C371" s="30"/>
      <c r="D371" s="30"/>
      <c r="E371" s="30"/>
      <c r="F371" s="30"/>
      <c r="G371" s="30"/>
      <c r="H371" s="30"/>
      <c r="I371" s="30"/>
      <c r="J371" s="65"/>
      <c r="K371" s="83"/>
      <c r="L371" s="30"/>
      <c r="M371" s="39"/>
    </row>
    <row r="372" spans="1:13" x14ac:dyDescent="0.2">
      <c r="A372" s="30"/>
      <c r="B372" s="30"/>
      <c r="C372" s="30"/>
      <c r="D372" s="30"/>
      <c r="E372" s="30"/>
      <c r="F372" s="30"/>
      <c r="G372" s="30"/>
      <c r="H372" s="30"/>
      <c r="I372" s="30"/>
      <c r="J372" s="65"/>
      <c r="K372" s="83"/>
      <c r="L372" s="30"/>
      <c r="M372" s="39"/>
    </row>
    <row r="373" spans="1:13" x14ac:dyDescent="0.2">
      <c r="A373" s="30"/>
      <c r="B373" s="30"/>
      <c r="C373" s="30"/>
      <c r="D373" s="30"/>
      <c r="E373" s="30"/>
      <c r="F373" s="30"/>
      <c r="G373" s="30"/>
      <c r="H373" s="30"/>
      <c r="I373" s="30"/>
      <c r="J373" s="65"/>
      <c r="K373" s="83"/>
      <c r="L373" s="30"/>
      <c r="M373" s="39"/>
    </row>
    <row r="374" spans="1:13" x14ac:dyDescent="0.2">
      <c r="A374" s="30"/>
      <c r="B374" s="30"/>
      <c r="C374" s="30"/>
      <c r="D374" s="30"/>
      <c r="E374" s="30"/>
      <c r="F374" s="30"/>
      <c r="G374" s="30"/>
      <c r="H374" s="30"/>
      <c r="I374" s="30"/>
      <c r="J374" s="65"/>
      <c r="K374" s="83"/>
      <c r="L374" s="30"/>
      <c r="M374" s="39"/>
    </row>
    <row r="375" spans="1:13" x14ac:dyDescent="0.2">
      <c r="A375" s="30"/>
      <c r="B375" s="30"/>
      <c r="C375" s="30"/>
      <c r="D375" s="30"/>
      <c r="E375" s="30"/>
      <c r="F375" s="30"/>
      <c r="G375" s="30"/>
      <c r="H375" s="30"/>
      <c r="I375" s="30"/>
      <c r="J375" s="65"/>
      <c r="K375" s="83"/>
      <c r="L375" s="30"/>
      <c r="M375" s="39"/>
    </row>
    <row r="376" spans="1:13" x14ac:dyDescent="0.2">
      <c r="A376" s="30"/>
      <c r="B376" s="30"/>
      <c r="C376" s="30"/>
      <c r="D376" s="30"/>
      <c r="E376" s="30"/>
      <c r="F376" s="30"/>
      <c r="G376" s="30"/>
      <c r="H376" s="30"/>
      <c r="I376" s="30"/>
      <c r="J376" s="65"/>
      <c r="K376" s="83"/>
      <c r="L376" s="30"/>
      <c r="M376" s="39"/>
    </row>
    <row r="377" spans="1:13" x14ac:dyDescent="0.2">
      <c r="A377" s="30"/>
      <c r="B377" s="30"/>
      <c r="C377" s="30"/>
      <c r="D377" s="30"/>
      <c r="E377" s="30"/>
      <c r="F377" s="30"/>
      <c r="G377" s="30"/>
      <c r="H377" s="30"/>
      <c r="I377" s="30"/>
      <c r="J377" s="65"/>
      <c r="K377" s="83"/>
      <c r="L377" s="30"/>
      <c r="M377" s="39"/>
    </row>
    <row r="378" spans="1:13" x14ac:dyDescent="0.2">
      <c r="A378" s="30"/>
      <c r="B378" s="30"/>
      <c r="C378" s="30"/>
      <c r="D378" s="30"/>
      <c r="E378" s="30"/>
      <c r="F378" s="30"/>
      <c r="G378" s="30"/>
      <c r="H378" s="30"/>
      <c r="I378" s="30"/>
      <c r="J378" s="65"/>
      <c r="K378" s="83"/>
      <c r="L378" s="30"/>
      <c r="M378" s="39"/>
    </row>
    <row r="379" spans="1:13" x14ac:dyDescent="0.2">
      <c r="A379" s="30"/>
      <c r="B379" s="30"/>
      <c r="C379" s="30"/>
      <c r="D379" s="30"/>
      <c r="E379" s="30"/>
      <c r="F379" s="30"/>
      <c r="G379" s="30"/>
      <c r="H379" s="30"/>
      <c r="I379" s="30"/>
      <c r="J379" s="65"/>
      <c r="K379" s="83"/>
      <c r="L379" s="30"/>
      <c r="M379" s="39"/>
    </row>
    <row r="380" spans="1:13" x14ac:dyDescent="0.2">
      <c r="A380" s="30"/>
      <c r="B380" s="30"/>
      <c r="C380" s="30"/>
      <c r="D380" s="30"/>
      <c r="E380" s="30"/>
      <c r="F380" s="30"/>
      <c r="G380" s="30"/>
      <c r="H380" s="30"/>
      <c r="I380" s="30"/>
      <c r="J380" s="65"/>
      <c r="K380" s="83"/>
      <c r="L380" s="30"/>
      <c r="M380" s="39"/>
    </row>
    <row r="381" spans="1:13" x14ac:dyDescent="0.2">
      <c r="A381" s="30"/>
      <c r="B381" s="30"/>
      <c r="C381" s="30"/>
      <c r="D381" s="30"/>
      <c r="E381" s="30"/>
      <c r="F381" s="30"/>
      <c r="G381" s="30"/>
      <c r="H381" s="30"/>
      <c r="I381" s="30"/>
      <c r="J381" s="65"/>
      <c r="K381" s="83"/>
      <c r="L381" s="30"/>
      <c r="M381" s="39"/>
    </row>
    <row r="382" spans="1:13" x14ac:dyDescent="0.2">
      <c r="A382" s="30"/>
      <c r="B382" s="30"/>
      <c r="C382" s="30"/>
      <c r="D382" s="30"/>
      <c r="E382" s="30"/>
      <c r="F382" s="30"/>
      <c r="G382" s="30"/>
      <c r="H382" s="30"/>
      <c r="I382" s="30"/>
      <c r="J382" s="65"/>
      <c r="K382" s="83"/>
      <c r="L382" s="30"/>
      <c r="M382" s="39"/>
    </row>
    <row r="383" spans="1:13" x14ac:dyDescent="0.2">
      <c r="A383" s="30"/>
      <c r="B383" s="30"/>
      <c r="C383" s="30"/>
      <c r="D383" s="30"/>
      <c r="E383" s="30"/>
      <c r="F383" s="30"/>
      <c r="G383" s="30"/>
      <c r="H383" s="30"/>
      <c r="I383" s="30"/>
      <c r="J383" s="65"/>
      <c r="K383" s="83"/>
      <c r="L383" s="30"/>
      <c r="M383" s="39"/>
    </row>
    <row r="384" spans="1:13" x14ac:dyDescent="0.2">
      <c r="A384" s="30"/>
      <c r="B384" s="30"/>
      <c r="C384" s="30"/>
      <c r="D384" s="30"/>
      <c r="E384" s="30"/>
      <c r="F384" s="30"/>
      <c r="G384" s="30"/>
      <c r="H384" s="30"/>
      <c r="I384" s="30"/>
      <c r="J384" s="65"/>
      <c r="K384" s="83"/>
      <c r="L384" s="30"/>
      <c r="M384" s="39"/>
    </row>
    <row r="385" spans="1:13" x14ac:dyDescent="0.2">
      <c r="A385" s="30"/>
      <c r="B385" s="30"/>
      <c r="C385" s="30"/>
      <c r="D385" s="30"/>
      <c r="E385" s="30"/>
      <c r="F385" s="30"/>
      <c r="G385" s="30"/>
      <c r="H385" s="30"/>
      <c r="I385" s="30"/>
      <c r="J385" s="65"/>
      <c r="K385" s="83"/>
      <c r="L385" s="30"/>
      <c r="M385" s="39"/>
    </row>
    <row r="386" spans="1:13" x14ac:dyDescent="0.2">
      <c r="A386" s="30"/>
      <c r="B386" s="30"/>
      <c r="C386" s="30"/>
      <c r="D386" s="30"/>
      <c r="E386" s="30"/>
      <c r="F386" s="30"/>
      <c r="G386" s="30"/>
      <c r="H386" s="30"/>
      <c r="I386" s="30"/>
      <c r="J386" s="65"/>
      <c r="K386" s="83"/>
      <c r="L386" s="30"/>
      <c r="M386" s="39"/>
    </row>
    <row r="387" spans="1:13" x14ac:dyDescent="0.2">
      <c r="A387" s="30"/>
      <c r="B387" s="30"/>
      <c r="C387" s="30"/>
      <c r="D387" s="30"/>
      <c r="E387" s="30"/>
      <c r="F387" s="30"/>
      <c r="G387" s="30"/>
      <c r="H387" s="30"/>
      <c r="I387" s="30"/>
      <c r="J387" s="65"/>
      <c r="K387" s="83"/>
      <c r="L387" s="30"/>
      <c r="M387" s="39"/>
    </row>
    <row r="388" spans="1:13" x14ac:dyDescent="0.2">
      <c r="A388" s="30"/>
      <c r="B388" s="30"/>
      <c r="C388" s="30"/>
      <c r="D388" s="30"/>
      <c r="E388" s="30"/>
      <c r="F388" s="30"/>
      <c r="G388" s="30"/>
      <c r="H388" s="30"/>
      <c r="I388" s="30"/>
      <c r="J388" s="65"/>
      <c r="K388" s="83"/>
      <c r="L388" s="30"/>
      <c r="M388" s="39"/>
    </row>
    <row r="389" spans="1:13" x14ac:dyDescent="0.2">
      <c r="A389" s="30"/>
      <c r="B389" s="30"/>
      <c r="C389" s="30"/>
      <c r="D389" s="30"/>
      <c r="E389" s="30"/>
      <c r="F389" s="30"/>
      <c r="G389" s="30"/>
      <c r="H389" s="30"/>
      <c r="I389" s="30"/>
      <c r="J389" s="65"/>
      <c r="K389" s="83"/>
      <c r="L389" s="30"/>
      <c r="M389" s="39"/>
    </row>
    <row r="390" spans="1:13" x14ac:dyDescent="0.2">
      <c r="A390" s="30"/>
      <c r="B390" s="30"/>
      <c r="C390" s="30"/>
      <c r="D390" s="30"/>
      <c r="E390" s="30"/>
      <c r="F390" s="30"/>
      <c r="G390" s="30"/>
      <c r="H390" s="30"/>
      <c r="I390" s="30"/>
      <c r="J390" s="65"/>
      <c r="K390" s="83"/>
      <c r="L390" s="30"/>
      <c r="M390" s="39"/>
    </row>
    <row r="391" spans="1:13" x14ac:dyDescent="0.2">
      <c r="A391" s="30"/>
      <c r="B391" s="30"/>
      <c r="C391" s="30"/>
      <c r="D391" s="30"/>
      <c r="E391" s="30"/>
      <c r="F391" s="30"/>
      <c r="G391" s="30"/>
      <c r="H391" s="30"/>
      <c r="I391" s="30"/>
      <c r="J391" s="65"/>
      <c r="K391" s="83"/>
      <c r="L391" s="30"/>
      <c r="M391" s="39"/>
    </row>
    <row r="392" spans="1:13" x14ac:dyDescent="0.2">
      <c r="A392" s="30"/>
      <c r="B392" s="30"/>
      <c r="C392" s="30"/>
      <c r="D392" s="30"/>
      <c r="E392" s="30"/>
      <c r="F392" s="30"/>
      <c r="G392" s="30"/>
      <c r="H392" s="30"/>
      <c r="I392" s="30"/>
      <c r="J392" s="65"/>
      <c r="K392" s="83"/>
      <c r="L392" s="30"/>
      <c r="M392" s="39"/>
    </row>
    <row r="393" spans="1:13" x14ac:dyDescent="0.2">
      <c r="A393" s="30"/>
      <c r="B393" s="30"/>
      <c r="C393" s="30"/>
      <c r="D393" s="30"/>
      <c r="E393" s="30"/>
      <c r="F393" s="30"/>
      <c r="G393" s="30"/>
      <c r="H393" s="30"/>
      <c r="I393" s="30"/>
      <c r="J393" s="65"/>
      <c r="K393" s="83"/>
      <c r="L393" s="30"/>
      <c r="M393" s="39"/>
    </row>
    <row r="394" spans="1:13" x14ac:dyDescent="0.2">
      <c r="A394" s="30"/>
      <c r="B394" s="30"/>
      <c r="C394" s="30"/>
      <c r="D394" s="30"/>
      <c r="E394" s="30"/>
      <c r="F394" s="30"/>
      <c r="G394" s="30"/>
      <c r="H394" s="30"/>
      <c r="I394" s="30"/>
      <c r="J394" s="65"/>
      <c r="K394" s="83"/>
      <c r="L394" s="30"/>
      <c r="M394" s="39"/>
    </row>
    <row r="395" spans="1:13" x14ac:dyDescent="0.2">
      <c r="A395" s="30"/>
      <c r="B395" s="30"/>
      <c r="C395" s="30"/>
      <c r="D395" s="30"/>
      <c r="E395" s="30"/>
      <c r="F395" s="30"/>
      <c r="G395" s="30"/>
      <c r="H395" s="30"/>
      <c r="I395" s="30"/>
      <c r="J395" s="65"/>
      <c r="K395" s="83"/>
      <c r="L395" s="30"/>
      <c r="M395" s="39"/>
    </row>
    <row r="396" spans="1:13" x14ac:dyDescent="0.2">
      <c r="A396" s="30"/>
      <c r="B396" s="30"/>
      <c r="C396" s="30"/>
      <c r="D396" s="30"/>
      <c r="E396" s="30"/>
      <c r="F396" s="30"/>
      <c r="G396" s="30"/>
      <c r="H396" s="30"/>
      <c r="I396" s="30"/>
      <c r="J396" s="65"/>
      <c r="K396" s="83"/>
      <c r="L396" s="30"/>
      <c r="M396" s="39"/>
    </row>
    <row r="397" spans="1:13" x14ac:dyDescent="0.2">
      <c r="A397" s="30"/>
      <c r="B397" s="30"/>
      <c r="C397" s="30"/>
      <c r="D397" s="30"/>
      <c r="E397" s="30"/>
      <c r="F397" s="30"/>
      <c r="G397" s="30"/>
      <c r="H397" s="30"/>
      <c r="I397" s="30"/>
      <c r="J397" s="65"/>
      <c r="K397" s="83"/>
      <c r="L397" s="30"/>
      <c r="M397" s="39"/>
    </row>
    <row r="398" spans="1:13" x14ac:dyDescent="0.2">
      <c r="A398" s="30"/>
      <c r="B398" s="30"/>
      <c r="C398" s="30"/>
      <c r="D398" s="30"/>
      <c r="E398" s="30"/>
      <c r="F398" s="30"/>
      <c r="G398" s="30"/>
      <c r="H398" s="30"/>
      <c r="I398" s="30"/>
      <c r="J398" s="65"/>
      <c r="K398" s="83"/>
      <c r="L398" s="30"/>
      <c r="M398" s="39"/>
    </row>
    <row r="399" spans="1:13" x14ac:dyDescent="0.2">
      <c r="A399" s="30"/>
      <c r="B399" s="30"/>
      <c r="C399" s="30"/>
      <c r="D399" s="30"/>
      <c r="E399" s="30"/>
      <c r="F399" s="30"/>
      <c r="G399" s="30"/>
      <c r="H399" s="30"/>
      <c r="I399" s="30"/>
      <c r="J399" s="65"/>
      <c r="K399" s="83"/>
      <c r="L399" s="30"/>
      <c r="M399" s="39"/>
    </row>
    <row r="400" spans="1:13" x14ac:dyDescent="0.2">
      <c r="A400" s="30"/>
      <c r="B400" s="30"/>
      <c r="C400" s="30"/>
      <c r="D400" s="30"/>
      <c r="E400" s="30"/>
      <c r="F400" s="30"/>
      <c r="G400" s="30"/>
      <c r="H400" s="30"/>
      <c r="I400" s="30"/>
      <c r="J400" s="65"/>
      <c r="K400" s="83"/>
      <c r="L400" s="30"/>
      <c r="M400" s="39"/>
    </row>
    <row r="401" spans="1:13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65"/>
      <c r="K401" s="83"/>
      <c r="L401" s="30"/>
      <c r="M401" s="39"/>
    </row>
    <row r="402" spans="1:13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65"/>
      <c r="K402" s="83"/>
      <c r="L402" s="30"/>
      <c r="M402" s="39"/>
    </row>
    <row r="403" spans="1:13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65"/>
      <c r="K403" s="83"/>
      <c r="L403" s="30"/>
      <c r="M403" s="39"/>
    </row>
    <row r="404" spans="1:13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65"/>
      <c r="K404" s="83"/>
      <c r="L404" s="30"/>
      <c r="M404" s="39"/>
    </row>
    <row r="405" spans="1:13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65"/>
      <c r="K405" s="83"/>
      <c r="L405" s="30"/>
      <c r="M405" s="39"/>
    </row>
    <row r="406" spans="1:13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65"/>
      <c r="K406" s="83"/>
      <c r="L406" s="30"/>
      <c r="M406" s="39"/>
    </row>
    <row r="407" spans="1:13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65"/>
      <c r="K407" s="83"/>
      <c r="L407" s="30"/>
      <c r="M407" s="39"/>
    </row>
    <row r="408" spans="1:13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65"/>
      <c r="K408" s="83"/>
      <c r="L408" s="30"/>
      <c r="M408" s="39"/>
    </row>
    <row r="409" spans="1:13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65"/>
      <c r="K409" s="83"/>
      <c r="L409" s="30"/>
      <c r="M409" s="39"/>
    </row>
    <row r="410" spans="1:13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65"/>
      <c r="K410" s="83"/>
      <c r="L410" s="30"/>
      <c r="M410" s="39"/>
    </row>
    <row r="411" spans="1:13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65"/>
      <c r="K411" s="83"/>
      <c r="L411" s="30"/>
      <c r="M411" s="39"/>
    </row>
    <row r="412" spans="1:13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65"/>
      <c r="K412" s="83"/>
      <c r="L412" s="30"/>
      <c r="M412" s="39"/>
    </row>
    <row r="413" spans="1:13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65"/>
      <c r="K413" s="83"/>
      <c r="L413" s="30"/>
      <c r="M413" s="39"/>
    </row>
    <row r="414" spans="1:13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65"/>
      <c r="K414" s="83"/>
      <c r="L414" s="30"/>
      <c r="M414" s="39"/>
    </row>
    <row r="415" spans="1:13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65"/>
      <c r="K415" s="83"/>
      <c r="L415" s="30"/>
      <c r="M415" s="39"/>
    </row>
    <row r="416" spans="1:13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65"/>
      <c r="K416" s="83"/>
      <c r="L416" s="30"/>
      <c r="M416" s="39"/>
    </row>
    <row r="417" spans="1:13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65"/>
      <c r="K417" s="83"/>
      <c r="L417" s="30"/>
      <c r="M417" s="39"/>
    </row>
    <row r="418" spans="1:13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65"/>
      <c r="K418" s="83"/>
      <c r="L418" s="30"/>
      <c r="M418" s="39"/>
    </row>
    <row r="419" spans="1:13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65"/>
      <c r="K419" s="83"/>
      <c r="L419" s="30"/>
      <c r="M419" s="39"/>
    </row>
    <row r="420" spans="1:13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65"/>
      <c r="K420" s="83"/>
      <c r="L420" s="30"/>
      <c r="M420" s="39"/>
    </row>
    <row r="421" spans="1:13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65"/>
      <c r="K421" s="83"/>
      <c r="L421" s="30"/>
      <c r="M421" s="39"/>
    </row>
    <row r="422" spans="1:13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65"/>
      <c r="K422" s="83"/>
      <c r="L422" s="30"/>
      <c r="M422" s="39"/>
    </row>
    <row r="423" spans="1:13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65"/>
      <c r="K423" s="83"/>
      <c r="L423" s="30"/>
      <c r="M423" s="39"/>
    </row>
    <row r="424" spans="1:13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65"/>
      <c r="K424" s="83"/>
      <c r="L424" s="30"/>
      <c r="M424" s="39"/>
    </row>
    <row r="425" spans="1:13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65"/>
      <c r="K425" s="83"/>
      <c r="L425" s="30"/>
      <c r="M425" s="39"/>
    </row>
    <row r="426" spans="1:13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65"/>
      <c r="K426" s="83"/>
      <c r="L426" s="30"/>
      <c r="M426" s="39"/>
    </row>
    <row r="427" spans="1:13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65"/>
      <c r="K427" s="83"/>
      <c r="L427" s="30"/>
      <c r="M427" s="39"/>
    </row>
    <row r="428" spans="1:13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65"/>
      <c r="K428" s="83"/>
      <c r="L428" s="30"/>
      <c r="M428" s="39"/>
    </row>
    <row r="429" spans="1:13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65"/>
      <c r="K429" s="83"/>
      <c r="L429" s="30"/>
      <c r="M429" s="39"/>
    </row>
    <row r="430" spans="1:13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65"/>
      <c r="K430" s="83"/>
      <c r="L430" s="30"/>
      <c r="M430" s="39"/>
    </row>
    <row r="431" spans="1:13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65"/>
      <c r="K431" s="83"/>
      <c r="L431" s="30"/>
      <c r="M431" s="39"/>
    </row>
    <row r="432" spans="1:13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65"/>
      <c r="K432" s="83"/>
      <c r="L432" s="30"/>
      <c r="M432" s="39"/>
    </row>
    <row r="433" spans="1:13" x14ac:dyDescent="0.2">
      <c r="A433" s="30"/>
      <c r="B433" s="30"/>
      <c r="C433" s="30"/>
      <c r="D433" s="30"/>
      <c r="E433" s="30"/>
      <c r="F433" s="30"/>
      <c r="G433" s="30"/>
      <c r="H433" s="30"/>
      <c r="I433" s="30"/>
      <c r="J433" s="65"/>
      <c r="K433" s="83"/>
      <c r="L433" s="30"/>
      <c r="M433" s="39"/>
    </row>
    <row r="434" spans="1:13" x14ac:dyDescent="0.2">
      <c r="A434" s="30"/>
      <c r="B434" s="30"/>
      <c r="C434" s="30"/>
      <c r="D434" s="30"/>
      <c r="E434" s="30"/>
      <c r="F434" s="30"/>
      <c r="G434" s="30"/>
      <c r="H434" s="30"/>
      <c r="I434" s="30"/>
      <c r="J434" s="65"/>
      <c r="K434" s="83"/>
      <c r="L434" s="30"/>
      <c r="M434" s="39"/>
    </row>
    <row r="435" spans="1:13" x14ac:dyDescent="0.2">
      <c r="A435" s="30"/>
      <c r="B435" s="30"/>
      <c r="C435" s="30"/>
      <c r="D435" s="30"/>
      <c r="E435" s="30"/>
      <c r="F435" s="30"/>
      <c r="G435" s="30"/>
      <c r="H435" s="30"/>
      <c r="I435" s="30"/>
      <c r="J435" s="65"/>
      <c r="K435" s="83"/>
      <c r="L435" s="30"/>
      <c r="M435" s="39"/>
    </row>
    <row r="436" spans="1:13" x14ac:dyDescent="0.2">
      <c r="A436" s="30"/>
      <c r="B436" s="30"/>
      <c r="C436" s="30"/>
      <c r="D436" s="30"/>
      <c r="E436" s="30"/>
      <c r="F436" s="30"/>
      <c r="G436" s="30"/>
      <c r="H436" s="30"/>
      <c r="I436" s="30"/>
      <c r="J436" s="65"/>
      <c r="K436" s="83"/>
      <c r="L436" s="30"/>
      <c r="M436" s="39"/>
    </row>
    <row r="437" spans="1:13" x14ac:dyDescent="0.2">
      <c r="A437" s="30"/>
      <c r="B437" s="30"/>
      <c r="C437" s="30"/>
      <c r="D437" s="30"/>
      <c r="E437" s="30"/>
      <c r="F437" s="30"/>
      <c r="G437" s="30"/>
      <c r="H437" s="30"/>
      <c r="I437" s="30"/>
      <c r="J437" s="65"/>
      <c r="K437" s="83"/>
      <c r="L437" s="30"/>
      <c r="M437" s="39"/>
    </row>
    <row r="438" spans="1:13" x14ac:dyDescent="0.2">
      <c r="A438" s="30"/>
      <c r="B438" s="30"/>
      <c r="C438" s="30"/>
      <c r="D438" s="30"/>
      <c r="E438" s="30"/>
      <c r="F438" s="30"/>
      <c r="G438" s="30"/>
      <c r="H438" s="30"/>
      <c r="I438" s="30"/>
      <c r="J438" s="65"/>
      <c r="K438" s="83"/>
      <c r="L438" s="30"/>
      <c r="M438" s="39"/>
    </row>
    <row r="439" spans="1:13" x14ac:dyDescent="0.2">
      <c r="A439" s="30"/>
      <c r="B439" s="30"/>
      <c r="C439" s="30"/>
      <c r="D439" s="30"/>
      <c r="E439" s="30"/>
      <c r="F439" s="30"/>
      <c r="G439" s="30"/>
      <c r="H439" s="30"/>
      <c r="I439" s="30"/>
      <c r="J439" s="65"/>
      <c r="K439" s="83"/>
      <c r="L439" s="30"/>
      <c r="M439" s="39"/>
    </row>
    <row r="440" spans="1:13" x14ac:dyDescent="0.2">
      <c r="A440" s="30"/>
      <c r="B440" s="30"/>
      <c r="C440" s="30"/>
      <c r="D440" s="30"/>
      <c r="E440" s="30"/>
      <c r="F440" s="30"/>
      <c r="G440" s="30"/>
      <c r="H440" s="30"/>
      <c r="I440" s="30"/>
      <c r="J440" s="65"/>
      <c r="K440" s="83"/>
      <c r="L440" s="30"/>
      <c r="M440" s="39"/>
    </row>
    <row r="441" spans="1:13" x14ac:dyDescent="0.2">
      <c r="A441" s="30"/>
      <c r="B441" s="30"/>
      <c r="C441" s="30"/>
      <c r="D441" s="30"/>
      <c r="E441" s="30"/>
      <c r="F441" s="30"/>
      <c r="G441" s="30"/>
      <c r="H441" s="30"/>
      <c r="I441" s="30"/>
      <c r="J441" s="65"/>
      <c r="K441" s="83"/>
      <c r="L441" s="30"/>
      <c r="M441" s="39"/>
    </row>
    <row r="442" spans="1:13" x14ac:dyDescent="0.2">
      <c r="A442" s="30"/>
      <c r="B442" s="30"/>
      <c r="C442" s="30"/>
      <c r="D442" s="30"/>
      <c r="E442" s="30"/>
      <c r="F442" s="30"/>
      <c r="G442" s="30"/>
      <c r="H442" s="30"/>
      <c r="I442" s="30"/>
      <c r="J442" s="65"/>
      <c r="K442" s="83"/>
      <c r="L442" s="30"/>
      <c r="M442" s="39"/>
    </row>
    <row r="443" spans="1:13" x14ac:dyDescent="0.2">
      <c r="A443" s="30"/>
      <c r="B443" s="30"/>
      <c r="C443" s="30"/>
      <c r="D443" s="30"/>
      <c r="E443" s="30"/>
      <c r="F443" s="30"/>
      <c r="G443" s="30"/>
      <c r="H443" s="30"/>
      <c r="I443" s="30"/>
      <c r="J443" s="65"/>
      <c r="K443" s="83"/>
      <c r="L443" s="30"/>
      <c r="M443" s="39"/>
    </row>
    <row r="444" spans="1:13" x14ac:dyDescent="0.2">
      <c r="A444" s="30"/>
      <c r="B444" s="30"/>
      <c r="C444" s="30"/>
      <c r="D444" s="30"/>
      <c r="E444" s="30"/>
      <c r="F444" s="30"/>
      <c r="G444" s="30"/>
      <c r="H444" s="30"/>
      <c r="I444" s="30"/>
      <c r="J444" s="65"/>
      <c r="K444" s="83"/>
      <c r="L444" s="30"/>
      <c r="M444" s="39"/>
    </row>
    <row r="445" spans="1:13" x14ac:dyDescent="0.2">
      <c r="A445" s="30"/>
      <c r="B445" s="30"/>
      <c r="C445" s="30"/>
      <c r="D445" s="30"/>
      <c r="E445" s="30"/>
      <c r="F445" s="30"/>
      <c r="G445" s="30"/>
      <c r="H445" s="30"/>
      <c r="I445" s="30"/>
      <c r="J445" s="65"/>
      <c r="K445" s="83"/>
      <c r="L445" s="30"/>
      <c r="M445" s="39"/>
    </row>
    <row r="446" spans="1:13" x14ac:dyDescent="0.2">
      <c r="A446" s="30"/>
      <c r="B446" s="30"/>
      <c r="C446" s="30"/>
      <c r="D446" s="30"/>
      <c r="E446" s="30"/>
      <c r="F446" s="30"/>
      <c r="G446" s="30"/>
      <c r="H446" s="30"/>
      <c r="I446" s="30"/>
      <c r="J446" s="65"/>
      <c r="K446" s="83"/>
      <c r="L446" s="30"/>
      <c r="M446" s="39"/>
    </row>
    <row r="447" spans="1:13" x14ac:dyDescent="0.2">
      <c r="A447" s="30"/>
      <c r="B447" s="30"/>
      <c r="C447" s="30"/>
      <c r="D447" s="30"/>
      <c r="E447" s="30"/>
      <c r="F447" s="30"/>
      <c r="G447" s="30"/>
      <c r="H447" s="30"/>
      <c r="I447" s="30"/>
      <c r="J447" s="65"/>
      <c r="K447" s="83"/>
      <c r="L447" s="30"/>
      <c r="M447" s="39"/>
    </row>
    <row r="448" spans="1:13" x14ac:dyDescent="0.2">
      <c r="A448" s="30"/>
      <c r="B448" s="30"/>
      <c r="C448" s="30"/>
      <c r="D448" s="30"/>
      <c r="E448" s="30"/>
      <c r="F448" s="30"/>
      <c r="G448" s="30"/>
      <c r="H448" s="30"/>
      <c r="I448" s="30"/>
      <c r="J448" s="65"/>
      <c r="K448" s="83"/>
      <c r="L448" s="30"/>
      <c r="M448" s="39"/>
    </row>
    <row r="449" spans="1:13" x14ac:dyDescent="0.2">
      <c r="A449" s="30"/>
      <c r="B449" s="30"/>
      <c r="C449" s="30"/>
      <c r="D449" s="30"/>
      <c r="E449" s="30"/>
      <c r="F449" s="30"/>
      <c r="G449" s="30"/>
      <c r="H449" s="30"/>
      <c r="I449" s="30"/>
      <c r="J449" s="65"/>
      <c r="K449" s="83"/>
      <c r="L449" s="30"/>
      <c r="M449" s="39"/>
    </row>
    <row r="450" spans="1:13" x14ac:dyDescent="0.2">
      <c r="A450" s="30"/>
      <c r="B450" s="30"/>
      <c r="C450" s="30"/>
      <c r="D450" s="30"/>
      <c r="E450" s="30"/>
      <c r="F450" s="30"/>
      <c r="G450" s="30"/>
      <c r="H450" s="30"/>
      <c r="I450" s="30"/>
      <c r="J450" s="65"/>
      <c r="K450" s="83"/>
      <c r="L450" s="30"/>
      <c r="M450" s="39"/>
    </row>
    <row r="451" spans="1:13" x14ac:dyDescent="0.2">
      <c r="A451" s="30"/>
      <c r="B451" s="30"/>
      <c r="C451" s="30"/>
      <c r="D451" s="30"/>
      <c r="E451" s="30"/>
      <c r="F451" s="30"/>
      <c r="G451" s="30"/>
      <c r="H451" s="30"/>
      <c r="I451" s="30"/>
      <c r="J451" s="65"/>
      <c r="K451" s="83"/>
      <c r="L451" s="30"/>
      <c r="M451" s="39"/>
    </row>
    <row r="452" spans="1:13" x14ac:dyDescent="0.2">
      <c r="A452" s="30"/>
      <c r="B452" s="30"/>
      <c r="C452" s="30"/>
      <c r="D452" s="30"/>
      <c r="E452" s="30"/>
      <c r="F452" s="30"/>
      <c r="G452" s="30"/>
      <c r="H452" s="30"/>
      <c r="I452" s="30"/>
      <c r="J452" s="65"/>
      <c r="K452" s="83"/>
      <c r="L452" s="30"/>
      <c r="M452" s="39"/>
    </row>
    <row r="453" spans="1:13" x14ac:dyDescent="0.2">
      <c r="A453" s="30"/>
      <c r="B453" s="30"/>
      <c r="C453" s="30"/>
      <c r="D453" s="30"/>
      <c r="E453" s="30"/>
      <c r="F453" s="30"/>
      <c r="G453" s="30"/>
      <c r="H453" s="30"/>
      <c r="I453" s="30"/>
      <c r="J453" s="65"/>
      <c r="K453" s="83"/>
      <c r="L453" s="30"/>
      <c r="M453" s="39"/>
    </row>
    <row r="454" spans="1:13" x14ac:dyDescent="0.2">
      <c r="A454" s="30"/>
      <c r="B454" s="30"/>
      <c r="C454" s="30"/>
      <c r="D454" s="30"/>
      <c r="E454" s="30"/>
      <c r="F454" s="30"/>
      <c r="G454" s="30"/>
      <c r="H454" s="30"/>
      <c r="I454" s="30"/>
      <c r="J454" s="65"/>
      <c r="K454" s="83"/>
      <c r="L454" s="30"/>
      <c r="M454" s="39"/>
    </row>
    <row r="455" spans="1:13" x14ac:dyDescent="0.2">
      <c r="A455" s="30"/>
      <c r="B455" s="30"/>
      <c r="C455" s="30"/>
      <c r="D455" s="30"/>
      <c r="E455" s="30"/>
      <c r="F455" s="30"/>
      <c r="G455" s="30"/>
      <c r="H455" s="30"/>
      <c r="I455" s="30"/>
      <c r="J455" s="65"/>
      <c r="K455" s="83"/>
      <c r="L455" s="30"/>
      <c r="M455" s="39"/>
    </row>
    <row r="456" spans="1:13" x14ac:dyDescent="0.2">
      <c r="A456" s="30"/>
      <c r="B456" s="30"/>
      <c r="C456" s="30"/>
      <c r="D456" s="30"/>
      <c r="E456" s="30"/>
      <c r="F456" s="30"/>
      <c r="G456" s="30"/>
      <c r="H456" s="30"/>
      <c r="I456" s="30"/>
      <c r="J456" s="65"/>
      <c r="K456" s="83"/>
      <c r="L456" s="30"/>
      <c r="M456" s="39"/>
    </row>
    <row r="457" spans="1:13" x14ac:dyDescent="0.2">
      <c r="A457" s="30"/>
      <c r="B457" s="30"/>
      <c r="C457" s="30"/>
      <c r="D457" s="30"/>
      <c r="E457" s="30"/>
      <c r="F457" s="30"/>
      <c r="G457" s="30"/>
      <c r="H457" s="30"/>
      <c r="I457" s="30"/>
      <c r="J457" s="65"/>
      <c r="K457" s="83"/>
      <c r="L457" s="30"/>
      <c r="M457" s="39"/>
    </row>
    <row r="458" spans="1:13" x14ac:dyDescent="0.2">
      <c r="A458" s="30"/>
      <c r="B458" s="30"/>
      <c r="C458" s="30"/>
      <c r="D458" s="30"/>
      <c r="E458" s="30"/>
      <c r="F458" s="30"/>
      <c r="G458" s="30"/>
      <c r="H458" s="30"/>
      <c r="I458" s="30"/>
      <c r="J458" s="65"/>
      <c r="K458" s="83"/>
      <c r="L458" s="30"/>
      <c r="M458" s="39"/>
    </row>
    <row r="459" spans="1:13" x14ac:dyDescent="0.2">
      <c r="A459" s="30"/>
      <c r="B459" s="30"/>
      <c r="C459" s="30"/>
      <c r="D459" s="30"/>
      <c r="E459" s="30"/>
      <c r="F459" s="30"/>
      <c r="G459" s="30"/>
      <c r="H459" s="30"/>
      <c r="I459" s="30"/>
      <c r="J459" s="65"/>
      <c r="K459" s="83"/>
      <c r="L459" s="30"/>
      <c r="M459" s="39"/>
    </row>
    <row r="460" spans="1:13" x14ac:dyDescent="0.2">
      <c r="A460" s="30"/>
      <c r="B460" s="30"/>
      <c r="C460" s="30"/>
      <c r="D460" s="30"/>
      <c r="E460" s="30"/>
      <c r="F460" s="30"/>
      <c r="G460" s="30"/>
      <c r="H460" s="30"/>
      <c r="I460" s="30"/>
      <c r="J460" s="65"/>
      <c r="K460" s="83"/>
      <c r="L460" s="30"/>
      <c r="M460" s="39"/>
    </row>
    <row r="461" spans="1:13" x14ac:dyDescent="0.2">
      <c r="A461" s="30"/>
      <c r="B461" s="30"/>
      <c r="C461" s="30"/>
      <c r="D461" s="30"/>
      <c r="E461" s="30"/>
      <c r="F461" s="30"/>
      <c r="G461" s="30"/>
      <c r="H461" s="30"/>
      <c r="I461" s="30"/>
      <c r="J461" s="65"/>
      <c r="K461" s="83"/>
      <c r="L461" s="30"/>
      <c r="M461" s="39"/>
    </row>
    <row r="462" spans="1:13" x14ac:dyDescent="0.2">
      <c r="A462" s="30"/>
      <c r="B462" s="30"/>
      <c r="C462" s="30"/>
      <c r="D462" s="30"/>
      <c r="E462" s="30"/>
      <c r="F462" s="30"/>
      <c r="G462" s="30"/>
      <c r="H462" s="30"/>
      <c r="I462" s="30"/>
      <c r="J462" s="65"/>
      <c r="K462" s="83"/>
      <c r="L462" s="30"/>
      <c r="M462" s="39"/>
    </row>
    <row r="463" spans="1:13" x14ac:dyDescent="0.2">
      <c r="A463" s="30"/>
      <c r="B463" s="30"/>
      <c r="C463" s="30"/>
      <c r="D463" s="30"/>
      <c r="E463" s="30"/>
      <c r="F463" s="30"/>
      <c r="G463" s="30"/>
      <c r="H463" s="30"/>
      <c r="I463" s="30"/>
      <c r="J463" s="65"/>
      <c r="K463" s="83"/>
      <c r="L463" s="30"/>
      <c r="M463" s="39"/>
    </row>
    <row r="464" spans="1:13" x14ac:dyDescent="0.2">
      <c r="A464" s="30"/>
      <c r="B464" s="30"/>
      <c r="C464" s="30"/>
      <c r="D464" s="30"/>
      <c r="E464" s="30"/>
      <c r="F464" s="30"/>
      <c r="G464" s="30"/>
      <c r="H464" s="30"/>
      <c r="I464" s="30"/>
      <c r="J464" s="65"/>
      <c r="K464" s="83"/>
      <c r="L464" s="30"/>
      <c r="M464" s="39"/>
    </row>
    <row r="465" spans="1:13" x14ac:dyDescent="0.2">
      <c r="A465" s="30"/>
      <c r="B465" s="30"/>
      <c r="C465" s="30"/>
      <c r="D465" s="30"/>
      <c r="E465" s="30"/>
      <c r="F465" s="30"/>
      <c r="G465" s="30"/>
      <c r="H465" s="30"/>
      <c r="I465" s="30"/>
      <c r="J465" s="65"/>
      <c r="K465" s="83"/>
      <c r="L465" s="30"/>
      <c r="M465" s="39"/>
    </row>
    <row r="466" spans="1:13" x14ac:dyDescent="0.2">
      <c r="A466" s="30"/>
      <c r="B466" s="30"/>
      <c r="C466" s="30"/>
      <c r="D466" s="30"/>
      <c r="E466" s="30"/>
      <c r="F466" s="30"/>
      <c r="G466" s="30"/>
      <c r="H466" s="30"/>
      <c r="I466" s="30"/>
      <c r="J466" s="65"/>
      <c r="K466" s="83"/>
      <c r="L466" s="30"/>
      <c r="M466" s="39"/>
    </row>
    <row r="467" spans="1:13" x14ac:dyDescent="0.2">
      <c r="A467" s="30"/>
      <c r="B467" s="30"/>
      <c r="C467" s="30"/>
      <c r="D467" s="30"/>
      <c r="E467" s="30"/>
      <c r="F467" s="30"/>
      <c r="G467" s="30"/>
      <c r="H467" s="30"/>
      <c r="I467" s="30"/>
      <c r="J467" s="65"/>
      <c r="K467" s="83"/>
      <c r="L467" s="30"/>
      <c r="M467" s="39"/>
    </row>
    <row r="468" spans="1:13" x14ac:dyDescent="0.2">
      <c r="A468" s="30"/>
      <c r="B468" s="30"/>
      <c r="C468" s="30"/>
      <c r="D468" s="30"/>
      <c r="E468" s="30"/>
      <c r="F468" s="30"/>
      <c r="G468" s="30"/>
      <c r="H468" s="30"/>
      <c r="I468" s="30"/>
      <c r="J468" s="65"/>
      <c r="K468" s="83"/>
      <c r="L468" s="30"/>
      <c r="M468" s="39"/>
    </row>
    <row r="469" spans="1:13" x14ac:dyDescent="0.2">
      <c r="A469" s="30"/>
      <c r="B469" s="30"/>
      <c r="C469" s="30"/>
      <c r="D469" s="30"/>
      <c r="E469" s="30"/>
      <c r="F469" s="30"/>
      <c r="G469" s="30"/>
      <c r="H469" s="30"/>
      <c r="I469" s="30"/>
      <c r="J469" s="65"/>
      <c r="K469" s="83"/>
      <c r="L469" s="30"/>
      <c r="M469" s="39"/>
    </row>
    <row r="470" spans="1:13" x14ac:dyDescent="0.2">
      <c r="A470" s="30"/>
      <c r="B470" s="30"/>
      <c r="C470" s="30"/>
      <c r="D470" s="30"/>
      <c r="E470" s="30"/>
      <c r="F470" s="30"/>
      <c r="G470" s="30"/>
      <c r="H470" s="30"/>
      <c r="I470" s="30"/>
      <c r="J470" s="65"/>
      <c r="K470" s="83"/>
      <c r="L470" s="30"/>
      <c r="M470" s="39"/>
    </row>
    <row r="471" spans="1:13" x14ac:dyDescent="0.2">
      <c r="A471" s="30"/>
      <c r="B471" s="30"/>
      <c r="C471" s="30"/>
      <c r="D471" s="30"/>
      <c r="E471" s="30"/>
      <c r="F471" s="30"/>
      <c r="G471" s="30"/>
      <c r="H471" s="30"/>
      <c r="I471" s="30"/>
      <c r="J471" s="65"/>
      <c r="K471" s="83"/>
      <c r="L471" s="30"/>
      <c r="M471" s="39"/>
    </row>
    <row r="472" spans="1:13" x14ac:dyDescent="0.2">
      <c r="A472" s="30"/>
      <c r="B472" s="30"/>
      <c r="C472" s="30"/>
      <c r="D472" s="30"/>
      <c r="E472" s="30"/>
      <c r="F472" s="30"/>
      <c r="G472" s="30"/>
      <c r="H472" s="30"/>
      <c r="I472" s="30"/>
      <c r="J472" s="65"/>
      <c r="K472" s="83"/>
      <c r="L472" s="30"/>
      <c r="M472" s="39"/>
    </row>
    <row r="473" spans="1:13" x14ac:dyDescent="0.2">
      <c r="A473" s="30"/>
      <c r="B473" s="30"/>
      <c r="C473" s="30"/>
      <c r="D473" s="30"/>
      <c r="E473" s="30"/>
      <c r="F473" s="30"/>
      <c r="G473" s="30"/>
      <c r="H473" s="30"/>
      <c r="I473" s="30"/>
      <c r="J473" s="65"/>
      <c r="K473" s="83"/>
      <c r="L473" s="30"/>
      <c r="M473" s="39"/>
    </row>
    <row r="474" spans="1:13" x14ac:dyDescent="0.2">
      <c r="A474" s="30"/>
      <c r="B474" s="30"/>
      <c r="C474" s="30"/>
      <c r="D474" s="30"/>
      <c r="E474" s="30"/>
      <c r="F474" s="30"/>
      <c r="G474" s="30"/>
      <c r="H474" s="30"/>
      <c r="I474" s="30"/>
      <c r="J474" s="65"/>
      <c r="K474" s="83"/>
      <c r="L474" s="30"/>
      <c r="M474" s="39"/>
    </row>
    <row r="475" spans="1:13" x14ac:dyDescent="0.2">
      <c r="A475" s="30"/>
      <c r="B475" s="30"/>
      <c r="C475" s="30"/>
      <c r="D475" s="30"/>
      <c r="E475" s="30"/>
      <c r="F475" s="30"/>
      <c r="G475" s="30"/>
      <c r="H475" s="30"/>
      <c r="I475" s="30"/>
      <c r="J475" s="65"/>
      <c r="K475" s="83"/>
      <c r="L475" s="30"/>
      <c r="M475" s="39"/>
    </row>
    <row r="476" spans="1:13" x14ac:dyDescent="0.2">
      <c r="A476" s="30"/>
      <c r="B476" s="30"/>
      <c r="C476" s="30"/>
      <c r="D476" s="30"/>
      <c r="E476" s="30"/>
      <c r="F476" s="30"/>
      <c r="G476" s="30"/>
      <c r="H476" s="30"/>
      <c r="I476" s="30"/>
      <c r="J476" s="65"/>
      <c r="K476" s="83"/>
      <c r="L476" s="30"/>
      <c r="M476" s="39"/>
    </row>
    <row r="477" spans="1:13" x14ac:dyDescent="0.2">
      <c r="A477" s="30"/>
      <c r="B477" s="30"/>
      <c r="C477" s="30"/>
      <c r="D477" s="30"/>
      <c r="E477" s="30"/>
      <c r="F477" s="30"/>
      <c r="G477" s="30"/>
      <c r="H477" s="30"/>
      <c r="I477" s="30"/>
      <c r="J477" s="65"/>
      <c r="K477" s="83"/>
      <c r="L477" s="30"/>
      <c r="M477" s="39"/>
    </row>
    <row r="478" spans="1:13" x14ac:dyDescent="0.2">
      <c r="A478" s="30"/>
      <c r="B478" s="30"/>
      <c r="C478" s="30"/>
      <c r="D478" s="30"/>
      <c r="E478" s="30"/>
      <c r="F478" s="30"/>
      <c r="G478" s="30"/>
      <c r="H478" s="30"/>
      <c r="I478" s="30"/>
      <c r="J478" s="65"/>
      <c r="K478" s="83"/>
      <c r="L478" s="30"/>
      <c r="M478" s="39"/>
    </row>
    <row r="479" spans="1:13" x14ac:dyDescent="0.2">
      <c r="A479" s="30"/>
      <c r="B479" s="30"/>
      <c r="C479" s="30"/>
      <c r="D479" s="30"/>
      <c r="E479" s="30"/>
      <c r="F479" s="30"/>
      <c r="G479" s="30"/>
      <c r="H479" s="30"/>
      <c r="I479" s="30"/>
      <c r="J479" s="65"/>
      <c r="K479" s="83"/>
      <c r="L479" s="30"/>
      <c r="M479" s="39"/>
    </row>
    <row r="480" spans="1:13" x14ac:dyDescent="0.2">
      <c r="A480" s="30"/>
      <c r="B480" s="30"/>
      <c r="C480" s="30"/>
      <c r="D480" s="30"/>
      <c r="E480" s="30"/>
      <c r="F480" s="30"/>
      <c r="G480" s="30"/>
      <c r="H480" s="30"/>
      <c r="I480" s="30"/>
      <c r="J480" s="65"/>
      <c r="K480" s="83"/>
      <c r="L480" s="30"/>
      <c r="M480" s="39"/>
    </row>
    <row r="481" spans="1:13" x14ac:dyDescent="0.2">
      <c r="A481" s="30"/>
      <c r="B481" s="30"/>
      <c r="C481" s="30"/>
      <c r="D481" s="30"/>
      <c r="E481" s="30"/>
      <c r="F481" s="30"/>
      <c r="G481" s="30"/>
      <c r="H481" s="30"/>
      <c r="I481" s="30"/>
      <c r="J481" s="65"/>
      <c r="K481" s="83"/>
      <c r="L481" s="30"/>
      <c r="M481" s="39"/>
    </row>
    <row r="482" spans="1:13" x14ac:dyDescent="0.2">
      <c r="A482" s="30"/>
      <c r="B482" s="30"/>
      <c r="C482" s="30"/>
      <c r="D482" s="30"/>
      <c r="E482" s="30"/>
      <c r="F482" s="30"/>
      <c r="G482" s="30"/>
      <c r="H482" s="30"/>
      <c r="I482" s="30"/>
      <c r="J482" s="65"/>
      <c r="K482" s="83"/>
      <c r="L482" s="30"/>
      <c r="M482" s="39"/>
    </row>
    <row r="483" spans="1:13" x14ac:dyDescent="0.2">
      <c r="A483" s="30"/>
      <c r="B483" s="30"/>
      <c r="C483" s="30"/>
      <c r="D483" s="30"/>
      <c r="E483" s="30"/>
      <c r="F483" s="30"/>
      <c r="G483" s="30"/>
      <c r="H483" s="30"/>
      <c r="I483" s="30"/>
      <c r="J483" s="65"/>
      <c r="K483" s="83"/>
      <c r="L483" s="30"/>
      <c r="M483" s="39"/>
    </row>
    <row r="484" spans="1:13" x14ac:dyDescent="0.2">
      <c r="A484" s="30"/>
      <c r="B484" s="30"/>
      <c r="C484" s="30"/>
      <c r="D484" s="30"/>
      <c r="E484" s="30"/>
      <c r="F484" s="30"/>
      <c r="G484" s="30"/>
      <c r="H484" s="30"/>
      <c r="I484" s="30"/>
      <c r="J484" s="65"/>
      <c r="K484" s="83"/>
      <c r="L484" s="30"/>
      <c r="M484" s="39"/>
    </row>
    <row r="485" spans="1:13" x14ac:dyDescent="0.2">
      <c r="A485" s="30"/>
      <c r="B485" s="30"/>
      <c r="C485" s="30"/>
      <c r="D485" s="30"/>
      <c r="E485" s="30"/>
      <c r="F485" s="30"/>
      <c r="G485" s="30"/>
      <c r="H485" s="30"/>
      <c r="I485" s="30"/>
      <c r="J485" s="65"/>
      <c r="K485" s="83"/>
      <c r="L485" s="30"/>
      <c r="M485" s="39"/>
    </row>
    <row r="486" spans="1:13" x14ac:dyDescent="0.2">
      <c r="A486" s="30"/>
      <c r="B486" s="30"/>
      <c r="C486" s="30"/>
      <c r="D486" s="30"/>
      <c r="E486" s="30"/>
      <c r="F486" s="30"/>
      <c r="G486" s="30"/>
      <c r="H486" s="30"/>
      <c r="I486" s="30"/>
      <c r="J486" s="65"/>
      <c r="K486" s="83"/>
      <c r="L486" s="30"/>
      <c r="M486" s="39"/>
    </row>
    <row r="487" spans="1:13" x14ac:dyDescent="0.2">
      <c r="A487" s="30"/>
      <c r="B487" s="30"/>
      <c r="C487" s="30"/>
      <c r="D487" s="30"/>
      <c r="E487" s="30"/>
      <c r="F487" s="30"/>
      <c r="G487" s="30"/>
      <c r="H487" s="30"/>
      <c r="I487" s="30"/>
      <c r="J487" s="65"/>
      <c r="K487" s="83"/>
      <c r="L487" s="30"/>
      <c r="M487" s="39"/>
    </row>
    <row r="488" spans="1:13" x14ac:dyDescent="0.2">
      <c r="A488" s="30"/>
      <c r="B488" s="30"/>
      <c r="C488" s="30"/>
      <c r="D488" s="30"/>
      <c r="E488" s="30"/>
      <c r="F488" s="30"/>
      <c r="G488" s="30"/>
      <c r="H488" s="30"/>
      <c r="I488" s="30"/>
      <c r="J488" s="65"/>
      <c r="K488" s="83"/>
      <c r="L488" s="30"/>
      <c r="M488" s="39"/>
    </row>
    <row r="489" spans="1:13" x14ac:dyDescent="0.2">
      <c r="A489" s="30"/>
      <c r="B489" s="30"/>
      <c r="C489" s="30"/>
      <c r="D489" s="30"/>
      <c r="E489" s="30"/>
      <c r="F489" s="30"/>
      <c r="G489" s="30"/>
      <c r="H489" s="30"/>
      <c r="I489" s="30"/>
      <c r="J489" s="65"/>
      <c r="K489" s="83"/>
      <c r="L489" s="30"/>
      <c r="M489" s="39"/>
    </row>
    <row r="490" spans="1:13" x14ac:dyDescent="0.2">
      <c r="A490" s="30"/>
      <c r="B490" s="30"/>
      <c r="C490" s="30"/>
      <c r="D490" s="30"/>
      <c r="E490" s="30"/>
      <c r="F490" s="30"/>
      <c r="G490" s="30"/>
      <c r="H490" s="30"/>
      <c r="I490" s="30"/>
      <c r="J490" s="65"/>
      <c r="K490" s="83"/>
      <c r="L490" s="30"/>
      <c r="M490" s="39"/>
    </row>
    <row r="491" spans="1:13" x14ac:dyDescent="0.2">
      <c r="A491" s="30"/>
      <c r="B491" s="30"/>
      <c r="C491" s="30"/>
      <c r="D491" s="30"/>
      <c r="E491" s="30"/>
      <c r="F491" s="30"/>
      <c r="G491" s="30"/>
      <c r="H491" s="30"/>
      <c r="I491" s="30"/>
      <c r="J491" s="65"/>
      <c r="K491" s="83"/>
      <c r="L491" s="30"/>
      <c r="M491" s="39"/>
    </row>
    <row r="492" spans="1:13" x14ac:dyDescent="0.2">
      <c r="A492" s="30"/>
      <c r="B492" s="30"/>
      <c r="C492" s="30"/>
      <c r="D492" s="30"/>
      <c r="E492" s="30"/>
      <c r="F492" s="30"/>
      <c r="G492" s="30"/>
      <c r="H492" s="30"/>
      <c r="I492" s="30"/>
      <c r="J492" s="65"/>
      <c r="K492" s="83"/>
      <c r="L492" s="30"/>
      <c r="M492" s="39"/>
    </row>
    <row r="493" spans="1:13" x14ac:dyDescent="0.2">
      <c r="A493" s="30"/>
      <c r="B493" s="30"/>
      <c r="C493" s="30"/>
      <c r="D493" s="30"/>
      <c r="E493" s="30"/>
      <c r="F493" s="30"/>
      <c r="G493" s="30"/>
      <c r="H493" s="30"/>
      <c r="I493" s="30"/>
      <c r="J493" s="65"/>
      <c r="K493" s="83"/>
      <c r="L493" s="30"/>
      <c r="M493" s="39"/>
    </row>
    <row r="494" spans="1:13" x14ac:dyDescent="0.2">
      <c r="A494" s="30"/>
      <c r="B494" s="30"/>
      <c r="C494" s="30"/>
      <c r="D494" s="30"/>
      <c r="E494" s="30"/>
      <c r="F494" s="30"/>
      <c r="G494" s="30"/>
      <c r="H494" s="30"/>
      <c r="I494" s="30"/>
      <c r="J494" s="65"/>
      <c r="K494" s="83"/>
      <c r="L494" s="30"/>
      <c r="M494" s="39"/>
    </row>
    <row r="495" spans="1:13" x14ac:dyDescent="0.2">
      <c r="A495" s="30"/>
      <c r="B495" s="30"/>
      <c r="C495" s="30"/>
      <c r="D495" s="30"/>
      <c r="E495" s="30"/>
      <c r="F495" s="30"/>
      <c r="G495" s="30"/>
      <c r="H495" s="30"/>
      <c r="I495" s="30"/>
      <c r="J495" s="65"/>
      <c r="K495" s="83"/>
      <c r="L495" s="30"/>
      <c r="M495" s="39"/>
    </row>
    <row r="496" spans="1:13" x14ac:dyDescent="0.2">
      <c r="A496" s="30"/>
      <c r="B496" s="30"/>
      <c r="C496" s="30"/>
      <c r="D496" s="30"/>
      <c r="E496" s="30"/>
      <c r="F496" s="30"/>
      <c r="G496" s="30"/>
      <c r="H496" s="30"/>
      <c r="I496" s="30"/>
      <c r="J496" s="65"/>
      <c r="K496" s="83"/>
      <c r="L496" s="30"/>
      <c r="M496" s="39"/>
    </row>
    <row r="497" spans="1:13" x14ac:dyDescent="0.2">
      <c r="A497" s="30"/>
      <c r="B497" s="30"/>
      <c r="C497" s="30"/>
      <c r="D497" s="30"/>
      <c r="E497" s="30"/>
      <c r="F497" s="30"/>
      <c r="G497" s="30"/>
      <c r="H497" s="30"/>
      <c r="I497" s="30"/>
      <c r="J497" s="65"/>
      <c r="K497" s="83"/>
      <c r="L497" s="30"/>
      <c r="M497" s="39"/>
    </row>
    <row r="498" spans="1:13" x14ac:dyDescent="0.2">
      <c r="A498" s="30"/>
      <c r="B498" s="30"/>
      <c r="C498" s="30"/>
      <c r="D498" s="30"/>
      <c r="E498" s="30"/>
      <c r="F498" s="30"/>
      <c r="G498" s="30"/>
      <c r="H498" s="30"/>
      <c r="I498" s="30"/>
      <c r="J498" s="65"/>
      <c r="K498" s="83"/>
      <c r="L498" s="30"/>
      <c r="M498" s="39"/>
    </row>
    <row r="499" spans="1:13" x14ac:dyDescent="0.2">
      <c r="A499" s="30"/>
      <c r="B499" s="30"/>
      <c r="C499" s="30"/>
      <c r="D499" s="30"/>
      <c r="E499" s="30"/>
      <c r="F499" s="30"/>
      <c r="G499" s="30"/>
      <c r="H499" s="30"/>
      <c r="I499" s="30"/>
      <c r="J499" s="65"/>
      <c r="K499" s="83"/>
      <c r="L499" s="30"/>
      <c r="M499" s="39"/>
    </row>
    <row r="500" spans="1:13" x14ac:dyDescent="0.2">
      <c r="A500" s="30"/>
      <c r="B500" s="30"/>
      <c r="C500" s="30"/>
      <c r="D500" s="30"/>
      <c r="E500" s="30"/>
      <c r="F500" s="30"/>
      <c r="G500" s="30"/>
      <c r="H500" s="30"/>
      <c r="I500" s="30"/>
      <c r="J500" s="65"/>
      <c r="K500" s="83"/>
      <c r="L500" s="30"/>
      <c r="M500" s="39"/>
    </row>
    <row r="501" spans="1:13" x14ac:dyDescent="0.2">
      <c r="A501" s="30"/>
      <c r="B501" s="30"/>
      <c r="C501" s="30"/>
      <c r="D501" s="30"/>
      <c r="E501" s="30"/>
      <c r="F501" s="30"/>
      <c r="G501" s="30"/>
      <c r="H501" s="30"/>
      <c r="I501" s="30"/>
      <c r="J501" s="65"/>
      <c r="K501" s="83"/>
      <c r="L501" s="30"/>
      <c r="M501" s="39"/>
    </row>
    <row r="502" spans="1:13" x14ac:dyDescent="0.2">
      <c r="A502" s="30"/>
      <c r="B502" s="30"/>
      <c r="C502" s="30"/>
      <c r="D502" s="30"/>
      <c r="E502" s="30"/>
      <c r="F502" s="30"/>
      <c r="G502" s="30"/>
      <c r="H502" s="30"/>
      <c r="I502" s="30"/>
      <c r="J502" s="65"/>
      <c r="K502" s="83"/>
      <c r="L502" s="30"/>
      <c r="M502" s="39"/>
    </row>
    <row r="503" spans="1:13" x14ac:dyDescent="0.2">
      <c r="A503" s="30"/>
      <c r="B503" s="30"/>
      <c r="C503" s="30"/>
      <c r="D503" s="30"/>
      <c r="E503" s="30"/>
      <c r="F503" s="30"/>
      <c r="G503" s="30"/>
      <c r="H503" s="30"/>
      <c r="I503" s="30"/>
      <c r="J503" s="65"/>
      <c r="K503" s="83"/>
      <c r="L503" s="30"/>
      <c r="M503" s="39"/>
    </row>
    <row r="504" spans="1:13" x14ac:dyDescent="0.2">
      <c r="A504" s="30"/>
      <c r="B504" s="30"/>
      <c r="C504" s="30"/>
      <c r="D504" s="30"/>
      <c r="E504" s="30"/>
      <c r="F504" s="30"/>
      <c r="G504" s="30"/>
      <c r="H504" s="30"/>
      <c r="I504" s="30"/>
      <c r="J504" s="65"/>
      <c r="K504" s="83"/>
      <c r="L504" s="30"/>
      <c r="M504" s="39"/>
    </row>
    <row r="505" spans="1:13" x14ac:dyDescent="0.2">
      <c r="A505" s="30"/>
      <c r="B505" s="30"/>
      <c r="C505" s="30"/>
      <c r="D505" s="30"/>
      <c r="E505" s="30"/>
      <c r="F505" s="30"/>
      <c r="G505" s="30"/>
      <c r="H505" s="30"/>
      <c r="I505" s="30"/>
      <c r="J505" s="65"/>
      <c r="K505" s="83"/>
      <c r="L505" s="30"/>
      <c r="M505" s="39"/>
    </row>
    <row r="506" spans="1:13" x14ac:dyDescent="0.2">
      <c r="A506" s="30"/>
      <c r="B506" s="30"/>
      <c r="C506" s="30"/>
      <c r="D506" s="30"/>
      <c r="E506" s="30"/>
      <c r="F506" s="30"/>
      <c r="G506" s="30"/>
      <c r="H506" s="30"/>
      <c r="I506" s="30"/>
      <c r="J506" s="65"/>
      <c r="K506" s="83"/>
      <c r="L506" s="30"/>
      <c r="M506" s="39"/>
    </row>
    <row r="507" spans="1:13" x14ac:dyDescent="0.2">
      <c r="A507" s="30"/>
      <c r="B507" s="30"/>
      <c r="C507" s="30"/>
      <c r="D507" s="30"/>
      <c r="E507" s="30"/>
      <c r="F507" s="30"/>
      <c r="G507" s="30"/>
      <c r="H507" s="30"/>
      <c r="I507" s="30"/>
      <c r="J507" s="65"/>
      <c r="K507" s="83"/>
      <c r="L507" s="30"/>
      <c r="M507" s="39"/>
    </row>
    <row r="508" spans="1:13" x14ac:dyDescent="0.2">
      <c r="A508" s="30"/>
      <c r="B508" s="30"/>
      <c r="C508" s="30"/>
      <c r="D508" s="30"/>
      <c r="E508" s="30"/>
      <c r="F508" s="30"/>
      <c r="G508" s="30"/>
      <c r="H508" s="30"/>
      <c r="I508" s="30"/>
      <c r="J508" s="65"/>
      <c r="K508" s="83"/>
      <c r="L508" s="30"/>
      <c r="M508" s="39"/>
    </row>
    <row r="509" spans="1:13" x14ac:dyDescent="0.2">
      <c r="A509" s="30"/>
      <c r="B509" s="30"/>
      <c r="C509" s="30"/>
      <c r="D509" s="30"/>
      <c r="E509" s="30"/>
      <c r="F509" s="30"/>
      <c r="G509" s="30"/>
      <c r="H509" s="30"/>
      <c r="I509" s="30"/>
      <c r="J509" s="65"/>
      <c r="K509" s="83"/>
      <c r="L509" s="30"/>
      <c r="M509" s="39"/>
    </row>
    <row r="510" spans="1:13" x14ac:dyDescent="0.2">
      <c r="A510" s="30"/>
      <c r="B510" s="30"/>
      <c r="C510" s="30"/>
      <c r="D510" s="30"/>
      <c r="E510" s="30"/>
      <c r="F510" s="30"/>
      <c r="G510" s="30"/>
      <c r="H510" s="30"/>
      <c r="I510" s="30"/>
      <c r="J510" s="65"/>
      <c r="K510" s="83"/>
      <c r="L510" s="30"/>
      <c r="M510" s="39"/>
    </row>
    <row r="511" spans="1:13" x14ac:dyDescent="0.2">
      <c r="A511" s="30"/>
      <c r="B511" s="30"/>
      <c r="C511" s="30"/>
      <c r="D511" s="30"/>
      <c r="E511" s="30"/>
      <c r="F511" s="30"/>
      <c r="G511" s="30"/>
      <c r="H511" s="30"/>
      <c r="I511" s="30"/>
      <c r="J511" s="65"/>
      <c r="K511" s="83"/>
      <c r="L511" s="30"/>
      <c r="M511" s="39"/>
    </row>
    <row r="512" spans="1:13" x14ac:dyDescent="0.2">
      <c r="A512" s="30"/>
      <c r="B512" s="30"/>
      <c r="C512" s="30"/>
      <c r="D512" s="30"/>
      <c r="E512" s="30"/>
      <c r="F512" s="30"/>
      <c r="G512" s="30"/>
      <c r="H512" s="30"/>
      <c r="I512" s="30"/>
      <c r="J512" s="65"/>
      <c r="K512" s="83"/>
      <c r="L512" s="30"/>
      <c r="M512" s="39"/>
    </row>
    <row r="513" spans="1:13" x14ac:dyDescent="0.2">
      <c r="A513" s="30"/>
      <c r="B513" s="30"/>
      <c r="C513" s="30"/>
      <c r="D513" s="30"/>
      <c r="E513" s="30"/>
      <c r="F513" s="30"/>
      <c r="G513" s="30"/>
      <c r="H513" s="30"/>
      <c r="I513" s="30"/>
      <c r="J513" s="65"/>
      <c r="K513" s="83"/>
      <c r="L513" s="30"/>
      <c r="M513" s="39"/>
    </row>
    <row r="514" spans="1:13" x14ac:dyDescent="0.2">
      <c r="A514" s="30"/>
      <c r="B514" s="30"/>
      <c r="C514" s="30"/>
      <c r="D514" s="30"/>
      <c r="E514" s="30"/>
      <c r="F514" s="30"/>
      <c r="G514" s="30"/>
      <c r="H514" s="30"/>
      <c r="I514" s="30"/>
      <c r="J514" s="65"/>
      <c r="K514" s="83"/>
      <c r="L514" s="30"/>
      <c r="M514" s="39"/>
    </row>
    <row r="515" spans="1:13" x14ac:dyDescent="0.2">
      <c r="A515" s="30"/>
      <c r="B515" s="30"/>
      <c r="C515" s="30"/>
      <c r="D515" s="30"/>
      <c r="E515" s="30"/>
      <c r="F515" s="30"/>
      <c r="G515" s="30"/>
      <c r="H515" s="30"/>
      <c r="I515" s="30"/>
      <c r="J515" s="65"/>
      <c r="K515" s="83"/>
      <c r="L515" s="30"/>
      <c r="M515" s="39"/>
    </row>
    <row r="516" spans="1:13" x14ac:dyDescent="0.2">
      <c r="A516" s="30"/>
      <c r="B516" s="30"/>
      <c r="C516" s="30"/>
      <c r="D516" s="30"/>
      <c r="E516" s="30"/>
      <c r="F516" s="30"/>
      <c r="G516" s="30"/>
      <c r="H516" s="30"/>
      <c r="I516" s="30"/>
      <c r="J516" s="65"/>
      <c r="K516" s="83"/>
      <c r="L516" s="30"/>
      <c r="M516" s="39"/>
    </row>
    <row r="517" spans="1:13" x14ac:dyDescent="0.2">
      <c r="A517" s="30"/>
      <c r="B517" s="30"/>
      <c r="C517" s="30"/>
      <c r="D517" s="30"/>
      <c r="E517" s="30"/>
      <c r="F517" s="30"/>
      <c r="G517" s="30"/>
      <c r="H517" s="30"/>
      <c r="I517" s="30"/>
      <c r="J517" s="65"/>
      <c r="K517" s="83"/>
      <c r="L517" s="30"/>
      <c r="M517" s="39"/>
    </row>
    <row r="518" spans="1:13" x14ac:dyDescent="0.2">
      <c r="A518" s="30"/>
      <c r="B518" s="30"/>
      <c r="C518" s="30"/>
      <c r="D518" s="30"/>
      <c r="E518" s="30"/>
      <c r="F518" s="30"/>
      <c r="G518" s="30"/>
      <c r="H518" s="30"/>
      <c r="I518" s="30"/>
      <c r="J518" s="65"/>
      <c r="K518" s="83"/>
      <c r="L518" s="30"/>
      <c r="M518" s="39"/>
    </row>
    <row r="519" spans="1:13" x14ac:dyDescent="0.2">
      <c r="A519" s="30"/>
      <c r="B519" s="30"/>
      <c r="C519" s="30"/>
      <c r="D519" s="30"/>
      <c r="E519" s="30"/>
      <c r="F519" s="30"/>
      <c r="G519" s="30"/>
      <c r="H519" s="30"/>
      <c r="I519" s="30"/>
      <c r="J519" s="65"/>
      <c r="K519" s="83"/>
      <c r="L519" s="30"/>
      <c r="M519" s="39"/>
    </row>
    <row r="520" spans="1:13" x14ac:dyDescent="0.2">
      <c r="A520" s="30"/>
      <c r="B520" s="30"/>
      <c r="C520" s="30"/>
      <c r="D520" s="30"/>
      <c r="E520" s="30"/>
      <c r="F520" s="30"/>
      <c r="G520" s="30"/>
      <c r="H520" s="30"/>
      <c r="I520" s="30"/>
      <c r="J520" s="65"/>
      <c r="K520" s="83"/>
      <c r="L520" s="30"/>
      <c r="M520" s="39"/>
    </row>
    <row r="521" spans="1:13" x14ac:dyDescent="0.2">
      <c r="A521" s="30"/>
      <c r="B521" s="30"/>
      <c r="C521" s="30"/>
      <c r="D521" s="30"/>
      <c r="E521" s="30"/>
      <c r="F521" s="30"/>
      <c r="G521" s="30"/>
      <c r="H521" s="30"/>
      <c r="I521" s="30"/>
      <c r="J521" s="65"/>
      <c r="K521" s="83"/>
      <c r="L521" s="30"/>
      <c r="M521" s="39"/>
    </row>
    <row r="522" spans="1:13" x14ac:dyDescent="0.2">
      <c r="A522" s="30"/>
      <c r="B522" s="30"/>
      <c r="C522" s="30"/>
      <c r="D522" s="30"/>
      <c r="E522" s="30"/>
      <c r="F522" s="30"/>
      <c r="G522" s="30"/>
      <c r="H522" s="30"/>
      <c r="I522" s="30"/>
      <c r="J522" s="65"/>
      <c r="K522" s="83"/>
      <c r="L522" s="30"/>
      <c r="M522" s="39"/>
    </row>
    <row r="523" spans="1:13" x14ac:dyDescent="0.2">
      <c r="A523" s="30"/>
      <c r="B523" s="30"/>
      <c r="C523" s="30"/>
      <c r="D523" s="30"/>
      <c r="E523" s="30"/>
      <c r="F523" s="30"/>
      <c r="G523" s="30"/>
      <c r="H523" s="30"/>
      <c r="I523" s="30"/>
      <c r="J523" s="65"/>
      <c r="K523" s="83"/>
      <c r="L523" s="30"/>
      <c r="M523" s="39"/>
    </row>
    <row r="524" spans="1:13" x14ac:dyDescent="0.2">
      <c r="A524" s="30"/>
      <c r="B524" s="30"/>
      <c r="C524" s="30"/>
      <c r="D524" s="30"/>
      <c r="E524" s="30"/>
      <c r="F524" s="30"/>
      <c r="G524" s="30"/>
      <c r="H524" s="30"/>
      <c r="I524" s="30"/>
      <c r="J524" s="65"/>
      <c r="K524" s="83"/>
      <c r="L524" s="30"/>
      <c r="M524" s="39"/>
    </row>
    <row r="525" spans="1:13" x14ac:dyDescent="0.2">
      <c r="A525" s="30"/>
      <c r="B525" s="30"/>
      <c r="C525" s="30"/>
      <c r="D525" s="30"/>
      <c r="E525" s="30"/>
      <c r="F525" s="30"/>
      <c r="G525" s="30"/>
      <c r="H525" s="30"/>
      <c r="I525" s="30"/>
      <c r="J525" s="65"/>
      <c r="K525" s="83"/>
      <c r="L525" s="30"/>
      <c r="M525" s="39"/>
    </row>
    <row r="526" spans="1:13" x14ac:dyDescent="0.2">
      <c r="A526" s="30"/>
      <c r="B526" s="30"/>
      <c r="C526" s="30"/>
      <c r="D526" s="30"/>
      <c r="E526" s="30"/>
      <c r="F526" s="30"/>
      <c r="G526" s="30"/>
      <c r="H526" s="30"/>
      <c r="I526" s="30"/>
      <c r="J526" s="65"/>
      <c r="K526" s="83"/>
      <c r="L526" s="30"/>
      <c r="M526" s="39"/>
    </row>
    <row r="527" spans="1:13" x14ac:dyDescent="0.2">
      <c r="A527" s="30"/>
      <c r="B527" s="30"/>
      <c r="C527" s="30"/>
      <c r="D527" s="30"/>
      <c r="E527" s="30"/>
      <c r="F527" s="30"/>
      <c r="G527" s="30"/>
      <c r="H527" s="30"/>
      <c r="I527" s="30"/>
      <c r="J527" s="65"/>
      <c r="K527" s="83"/>
      <c r="L527" s="30"/>
      <c r="M527" s="39"/>
    </row>
    <row r="528" spans="1:13" x14ac:dyDescent="0.2">
      <c r="A528" s="30"/>
      <c r="B528" s="30"/>
      <c r="C528" s="30"/>
      <c r="D528" s="30"/>
      <c r="E528" s="30"/>
      <c r="F528" s="30"/>
      <c r="G528" s="30"/>
      <c r="H528" s="30"/>
      <c r="I528" s="30"/>
      <c r="J528" s="65"/>
      <c r="K528" s="83"/>
      <c r="L528" s="30"/>
      <c r="M528" s="39"/>
    </row>
    <row r="529" spans="1:13" x14ac:dyDescent="0.2">
      <c r="A529" s="30"/>
      <c r="B529" s="30"/>
      <c r="C529" s="30"/>
      <c r="D529" s="30"/>
      <c r="E529" s="30"/>
      <c r="F529" s="30"/>
      <c r="G529" s="30"/>
      <c r="H529" s="30"/>
      <c r="I529" s="30"/>
      <c r="J529" s="65"/>
      <c r="K529" s="83"/>
      <c r="L529" s="30"/>
      <c r="M529" s="39"/>
    </row>
    <row r="530" spans="1:13" x14ac:dyDescent="0.2">
      <c r="A530" s="30"/>
      <c r="B530" s="30"/>
      <c r="C530" s="30"/>
      <c r="D530" s="30"/>
      <c r="E530" s="30"/>
      <c r="F530" s="30"/>
      <c r="G530" s="30"/>
      <c r="H530" s="30"/>
      <c r="I530" s="30"/>
      <c r="J530" s="65"/>
      <c r="K530" s="83"/>
      <c r="L530" s="30"/>
      <c r="M530" s="39"/>
    </row>
    <row r="531" spans="1:13" x14ac:dyDescent="0.2">
      <c r="A531" s="30"/>
      <c r="B531" s="30"/>
      <c r="C531" s="30"/>
      <c r="D531" s="30"/>
      <c r="E531" s="30"/>
      <c r="F531" s="30"/>
      <c r="G531" s="30"/>
      <c r="H531" s="30"/>
      <c r="I531" s="30"/>
      <c r="J531" s="65"/>
      <c r="K531" s="83"/>
      <c r="L531" s="30"/>
      <c r="M531" s="39"/>
    </row>
    <row r="532" spans="1:13" x14ac:dyDescent="0.2">
      <c r="A532" s="30"/>
      <c r="B532" s="30"/>
      <c r="C532" s="30"/>
      <c r="D532" s="30"/>
      <c r="E532" s="30"/>
      <c r="F532" s="30"/>
      <c r="G532" s="30"/>
      <c r="H532" s="30"/>
      <c r="I532" s="30"/>
      <c r="J532" s="65"/>
      <c r="K532" s="83"/>
      <c r="L532" s="30"/>
      <c r="M532" s="39"/>
    </row>
    <row r="533" spans="1:13" x14ac:dyDescent="0.2">
      <c r="A533" s="30"/>
      <c r="B533" s="30"/>
      <c r="C533" s="30"/>
      <c r="D533" s="30"/>
      <c r="E533" s="30"/>
      <c r="F533" s="30"/>
      <c r="G533" s="30"/>
      <c r="H533" s="30"/>
      <c r="I533" s="30"/>
      <c r="J533" s="65"/>
      <c r="K533" s="83"/>
      <c r="L533" s="30"/>
      <c r="M533" s="39"/>
    </row>
    <row r="534" spans="1:13" x14ac:dyDescent="0.2">
      <c r="A534" s="30"/>
      <c r="B534" s="30"/>
      <c r="C534" s="30"/>
      <c r="D534" s="30"/>
      <c r="E534" s="30"/>
      <c r="F534" s="30"/>
      <c r="G534" s="30"/>
      <c r="H534" s="30"/>
      <c r="I534" s="30"/>
      <c r="J534" s="65"/>
      <c r="K534" s="83"/>
      <c r="L534" s="30"/>
      <c r="M534" s="39"/>
    </row>
    <row r="535" spans="1:13" x14ac:dyDescent="0.2">
      <c r="A535" s="30"/>
      <c r="B535" s="30"/>
      <c r="C535" s="30"/>
      <c r="D535" s="30"/>
      <c r="E535" s="30"/>
      <c r="F535" s="30"/>
      <c r="G535" s="30"/>
      <c r="H535" s="30"/>
      <c r="I535" s="30"/>
      <c r="J535" s="65"/>
      <c r="K535" s="83"/>
      <c r="L535" s="30"/>
      <c r="M535" s="39"/>
    </row>
    <row r="536" spans="1:13" x14ac:dyDescent="0.2">
      <c r="A536" s="30"/>
      <c r="B536" s="30"/>
      <c r="C536" s="30"/>
      <c r="D536" s="30"/>
      <c r="E536" s="30"/>
      <c r="F536" s="30"/>
      <c r="G536" s="30"/>
      <c r="H536" s="30"/>
      <c r="I536" s="30"/>
      <c r="J536" s="65"/>
      <c r="K536" s="83"/>
      <c r="L536" s="30"/>
      <c r="M536" s="39"/>
    </row>
    <row r="537" spans="1:13" x14ac:dyDescent="0.2">
      <c r="A537" s="30"/>
      <c r="B537" s="30"/>
      <c r="C537" s="30"/>
      <c r="D537" s="30"/>
      <c r="E537" s="30"/>
      <c r="F537" s="30"/>
      <c r="G537" s="30"/>
      <c r="H537" s="30"/>
      <c r="I537" s="30"/>
      <c r="J537" s="65"/>
      <c r="K537" s="83"/>
      <c r="L537" s="30"/>
      <c r="M537" s="39"/>
    </row>
    <row r="538" spans="1:13" x14ac:dyDescent="0.2">
      <c r="A538" s="30"/>
      <c r="B538" s="30"/>
      <c r="C538" s="30"/>
      <c r="D538" s="30"/>
      <c r="E538" s="30"/>
      <c r="F538" s="30"/>
      <c r="G538" s="30"/>
      <c r="H538" s="30"/>
      <c r="I538" s="30"/>
      <c r="J538" s="65"/>
      <c r="K538" s="83"/>
      <c r="L538" s="30"/>
      <c r="M538" s="39"/>
    </row>
    <row r="539" spans="1:13" x14ac:dyDescent="0.2">
      <c r="A539" s="30"/>
      <c r="B539" s="30"/>
      <c r="C539" s="30"/>
      <c r="D539" s="30"/>
      <c r="E539" s="30"/>
      <c r="F539" s="30"/>
      <c r="G539" s="30"/>
      <c r="H539" s="30"/>
      <c r="I539" s="30"/>
      <c r="J539" s="65"/>
      <c r="K539" s="83"/>
      <c r="L539" s="30"/>
      <c r="M539" s="39"/>
    </row>
    <row r="540" spans="1:13" x14ac:dyDescent="0.2">
      <c r="A540" s="30"/>
      <c r="B540" s="30"/>
      <c r="C540" s="30"/>
      <c r="D540" s="30"/>
      <c r="E540" s="30"/>
      <c r="F540" s="30"/>
      <c r="G540" s="30"/>
      <c r="H540" s="30"/>
      <c r="I540" s="30"/>
      <c r="J540" s="65"/>
      <c r="K540" s="83"/>
      <c r="L540" s="30"/>
      <c r="M540" s="39"/>
    </row>
    <row r="541" spans="1:13" x14ac:dyDescent="0.2">
      <c r="A541" s="30"/>
      <c r="B541" s="30"/>
      <c r="C541" s="30"/>
      <c r="D541" s="30"/>
      <c r="E541" s="30"/>
      <c r="F541" s="30"/>
      <c r="G541" s="30"/>
      <c r="H541" s="30"/>
      <c r="I541" s="30"/>
      <c r="J541" s="65"/>
      <c r="K541" s="83"/>
      <c r="L541" s="30"/>
      <c r="M541" s="39"/>
    </row>
    <row r="542" spans="1:13" x14ac:dyDescent="0.2">
      <c r="A542" s="30"/>
      <c r="B542" s="30"/>
      <c r="C542" s="30"/>
      <c r="D542" s="30"/>
      <c r="E542" s="30"/>
      <c r="F542" s="30"/>
      <c r="G542" s="30"/>
      <c r="H542" s="30"/>
      <c r="I542" s="30"/>
      <c r="J542" s="65"/>
      <c r="K542" s="83"/>
      <c r="L542" s="30"/>
      <c r="M542" s="39"/>
    </row>
    <row r="543" spans="1:13" x14ac:dyDescent="0.2">
      <c r="A543" s="30"/>
      <c r="B543" s="30"/>
      <c r="C543" s="30"/>
      <c r="D543" s="30"/>
      <c r="E543" s="30"/>
      <c r="F543" s="30"/>
      <c r="G543" s="30"/>
      <c r="H543" s="30"/>
      <c r="I543" s="30"/>
      <c r="J543" s="65"/>
      <c r="K543" s="83"/>
      <c r="L543" s="30"/>
      <c r="M543" s="39"/>
    </row>
    <row r="544" spans="1:13" x14ac:dyDescent="0.2">
      <c r="A544" s="30"/>
      <c r="B544" s="30"/>
      <c r="C544" s="30"/>
      <c r="D544" s="30"/>
      <c r="E544" s="30"/>
      <c r="F544" s="30"/>
      <c r="G544" s="30"/>
      <c r="H544" s="30"/>
      <c r="I544" s="30"/>
      <c r="J544" s="65"/>
      <c r="K544" s="83"/>
      <c r="L544" s="30"/>
      <c r="M544" s="39"/>
    </row>
    <row r="545" spans="1:13" x14ac:dyDescent="0.2">
      <c r="A545" s="30"/>
      <c r="B545" s="30"/>
      <c r="C545" s="30"/>
      <c r="D545" s="30"/>
      <c r="E545" s="30"/>
      <c r="F545" s="30"/>
      <c r="G545" s="30"/>
      <c r="H545" s="30"/>
      <c r="I545" s="30"/>
      <c r="J545" s="65"/>
      <c r="K545" s="83"/>
      <c r="L545" s="30"/>
      <c r="M545" s="39"/>
    </row>
    <row r="546" spans="1:13" x14ac:dyDescent="0.2">
      <c r="A546" s="30"/>
      <c r="B546" s="30"/>
      <c r="C546" s="30"/>
      <c r="D546" s="30"/>
      <c r="E546" s="30"/>
      <c r="F546" s="30"/>
      <c r="G546" s="30"/>
      <c r="H546" s="30"/>
      <c r="I546" s="30"/>
      <c r="J546" s="65"/>
      <c r="K546" s="83"/>
      <c r="L546" s="30"/>
      <c r="M546" s="39"/>
    </row>
    <row r="547" spans="1:13" x14ac:dyDescent="0.2">
      <c r="A547" s="30"/>
      <c r="B547" s="30"/>
      <c r="C547" s="30"/>
      <c r="D547" s="30"/>
      <c r="E547" s="30"/>
      <c r="F547" s="30"/>
      <c r="G547" s="30"/>
      <c r="H547" s="30"/>
      <c r="I547" s="30"/>
      <c r="J547" s="65"/>
      <c r="K547" s="83"/>
      <c r="L547" s="30"/>
      <c r="M547" s="39"/>
    </row>
    <row r="548" spans="1:13" x14ac:dyDescent="0.2">
      <c r="A548" s="30"/>
      <c r="B548" s="30"/>
      <c r="C548" s="30"/>
      <c r="D548" s="30"/>
      <c r="E548" s="30"/>
      <c r="F548" s="30"/>
      <c r="G548" s="30"/>
      <c r="H548" s="30"/>
      <c r="I548" s="30"/>
      <c r="J548" s="65"/>
      <c r="K548" s="83"/>
      <c r="L548" s="30"/>
      <c r="M548" s="39"/>
    </row>
    <row r="549" spans="1:13" x14ac:dyDescent="0.2">
      <c r="A549" s="30"/>
      <c r="B549" s="30"/>
      <c r="C549" s="30"/>
      <c r="D549" s="30"/>
      <c r="E549" s="30"/>
      <c r="F549" s="30"/>
      <c r="G549" s="30"/>
      <c r="H549" s="30"/>
      <c r="I549" s="30"/>
      <c r="J549" s="65"/>
      <c r="K549" s="83"/>
      <c r="L549" s="30"/>
      <c r="M549" s="39"/>
    </row>
    <row r="550" spans="1:13" x14ac:dyDescent="0.2">
      <c r="A550" s="30"/>
      <c r="B550" s="30"/>
      <c r="C550" s="30"/>
      <c r="D550" s="30"/>
      <c r="E550" s="30"/>
      <c r="F550" s="30"/>
      <c r="G550" s="30"/>
      <c r="H550" s="30"/>
      <c r="I550" s="30"/>
      <c r="J550" s="65"/>
      <c r="K550" s="83"/>
      <c r="L550" s="30"/>
      <c r="M550" s="39"/>
    </row>
    <row r="551" spans="1:13" x14ac:dyDescent="0.2">
      <c r="A551" s="30"/>
      <c r="B551" s="30"/>
      <c r="C551" s="30"/>
      <c r="D551" s="30"/>
      <c r="E551" s="30"/>
      <c r="F551" s="30"/>
      <c r="G551" s="30"/>
      <c r="H551" s="30"/>
      <c r="I551" s="30"/>
      <c r="J551" s="65"/>
      <c r="K551" s="83"/>
      <c r="L551" s="30"/>
      <c r="M551" s="39"/>
    </row>
    <row r="552" spans="1:13" x14ac:dyDescent="0.2">
      <c r="A552" s="30"/>
      <c r="B552" s="30"/>
      <c r="C552" s="30"/>
      <c r="D552" s="30"/>
      <c r="E552" s="30"/>
      <c r="F552" s="30"/>
      <c r="G552" s="30"/>
      <c r="H552" s="30"/>
      <c r="I552" s="30"/>
      <c r="J552" s="65"/>
      <c r="K552" s="83"/>
      <c r="L552" s="30"/>
      <c r="M552" s="39"/>
    </row>
    <row r="553" spans="1:13" x14ac:dyDescent="0.2">
      <c r="A553" s="30"/>
      <c r="B553" s="30"/>
      <c r="C553" s="30"/>
      <c r="D553" s="30"/>
      <c r="E553" s="30"/>
      <c r="F553" s="30"/>
      <c r="G553" s="30"/>
      <c r="H553" s="30"/>
      <c r="I553" s="30"/>
      <c r="J553" s="65"/>
      <c r="K553" s="83"/>
      <c r="L553" s="30"/>
      <c r="M553" s="39"/>
    </row>
    <row r="554" spans="1:13" x14ac:dyDescent="0.2">
      <c r="A554" s="30"/>
      <c r="B554" s="30"/>
      <c r="C554" s="30"/>
      <c r="D554" s="30"/>
      <c r="E554" s="30"/>
      <c r="F554" s="30"/>
      <c r="G554" s="30"/>
      <c r="H554" s="30"/>
      <c r="I554" s="30"/>
      <c r="J554" s="65"/>
      <c r="K554" s="83"/>
      <c r="L554" s="30"/>
      <c r="M554" s="39"/>
    </row>
    <row r="555" spans="1:13" x14ac:dyDescent="0.2">
      <c r="A555" s="30"/>
      <c r="B555" s="30"/>
      <c r="C555" s="30"/>
      <c r="D555" s="30"/>
      <c r="E555" s="30"/>
      <c r="F555" s="30"/>
      <c r="G555" s="30"/>
      <c r="H555" s="30"/>
      <c r="I555" s="30"/>
      <c r="J555" s="65"/>
      <c r="K555" s="83"/>
      <c r="L555" s="30"/>
      <c r="M555" s="39"/>
    </row>
    <row r="556" spans="1:13" x14ac:dyDescent="0.2">
      <c r="A556" s="30"/>
      <c r="B556" s="30"/>
      <c r="C556" s="30"/>
      <c r="D556" s="30"/>
      <c r="E556" s="30"/>
      <c r="F556" s="30"/>
      <c r="G556" s="30"/>
      <c r="H556" s="30"/>
      <c r="I556" s="30"/>
      <c r="J556" s="65"/>
      <c r="K556" s="83"/>
      <c r="L556" s="30"/>
      <c r="M556" s="39"/>
    </row>
    <row r="557" spans="1:13" x14ac:dyDescent="0.2">
      <c r="A557" s="30"/>
      <c r="B557" s="30"/>
      <c r="C557" s="30"/>
      <c r="D557" s="30"/>
      <c r="E557" s="30"/>
      <c r="F557" s="30"/>
      <c r="G557" s="30"/>
      <c r="H557" s="30"/>
      <c r="I557" s="30"/>
      <c r="J557" s="65"/>
      <c r="K557" s="83"/>
      <c r="L557" s="30"/>
      <c r="M557" s="39"/>
    </row>
    <row r="558" spans="1:13" x14ac:dyDescent="0.2">
      <c r="A558" s="30"/>
      <c r="B558" s="30"/>
      <c r="C558" s="30"/>
      <c r="D558" s="30"/>
      <c r="E558" s="30"/>
      <c r="F558" s="30"/>
      <c r="G558" s="30"/>
      <c r="H558" s="30"/>
      <c r="I558" s="30"/>
      <c r="J558" s="65"/>
      <c r="K558" s="83"/>
      <c r="L558" s="30"/>
      <c r="M558" s="39"/>
    </row>
    <row r="559" spans="1:13" x14ac:dyDescent="0.2">
      <c r="A559" s="30"/>
      <c r="B559" s="30"/>
      <c r="C559" s="30"/>
      <c r="D559" s="30"/>
      <c r="E559" s="30"/>
      <c r="F559" s="30"/>
      <c r="G559" s="30"/>
      <c r="H559" s="30"/>
      <c r="I559" s="30"/>
      <c r="J559" s="65"/>
      <c r="K559" s="83"/>
      <c r="L559" s="30"/>
      <c r="M559" s="39"/>
    </row>
    <row r="560" spans="1:13" x14ac:dyDescent="0.2">
      <c r="A560" s="30"/>
      <c r="B560" s="30"/>
      <c r="C560" s="30"/>
      <c r="D560" s="30"/>
      <c r="E560" s="30"/>
      <c r="F560" s="30"/>
      <c r="G560" s="30"/>
      <c r="H560" s="30"/>
      <c r="I560" s="30"/>
      <c r="J560" s="65"/>
      <c r="K560" s="83"/>
      <c r="L560" s="30"/>
      <c r="M560" s="39"/>
    </row>
    <row r="561" spans="1:13" x14ac:dyDescent="0.2">
      <c r="A561" s="30"/>
      <c r="B561" s="30"/>
      <c r="C561" s="30"/>
      <c r="D561" s="30"/>
      <c r="E561" s="30"/>
      <c r="F561" s="30"/>
      <c r="G561" s="30"/>
      <c r="H561" s="30"/>
      <c r="I561" s="30"/>
      <c r="J561" s="65"/>
      <c r="K561" s="83"/>
      <c r="L561" s="30"/>
      <c r="M561" s="39"/>
    </row>
    <row r="562" spans="1:13" x14ac:dyDescent="0.2">
      <c r="A562" s="30"/>
      <c r="B562" s="30"/>
      <c r="C562" s="30"/>
      <c r="D562" s="30"/>
      <c r="E562" s="30"/>
      <c r="F562" s="30"/>
      <c r="G562" s="30"/>
      <c r="H562" s="30"/>
      <c r="I562" s="30"/>
      <c r="J562" s="65"/>
      <c r="K562" s="83"/>
      <c r="L562" s="30"/>
      <c r="M562" s="39"/>
    </row>
    <row r="563" spans="1:13" x14ac:dyDescent="0.2">
      <c r="A563" s="30"/>
      <c r="B563" s="30"/>
      <c r="C563" s="30"/>
      <c r="D563" s="30"/>
      <c r="E563" s="30"/>
      <c r="F563" s="30"/>
      <c r="G563" s="30"/>
      <c r="H563" s="30"/>
      <c r="I563" s="30"/>
      <c r="J563" s="65"/>
      <c r="K563" s="83"/>
      <c r="L563" s="30"/>
      <c r="M563" s="39"/>
    </row>
    <row r="564" spans="1:13" x14ac:dyDescent="0.2">
      <c r="A564" s="30"/>
      <c r="B564" s="30"/>
      <c r="C564" s="30"/>
      <c r="D564" s="30"/>
      <c r="E564" s="30"/>
      <c r="F564" s="30"/>
      <c r="G564" s="30"/>
      <c r="H564" s="30"/>
      <c r="I564" s="30"/>
      <c r="J564" s="65"/>
      <c r="K564" s="83"/>
      <c r="L564" s="30"/>
      <c r="M564" s="39"/>
    </row>
    <row r="565" spans="1:13" x14ac:dyDescent="0.2">
      <c r="A565" s="30"/>
      <c r="B565" s="30"/>
      <c r="C565" s="30"/>
      <c r="D565" s="30"/>
      <c r="E565" s="30"/>
      <c r="F565" s="30"/>
      <c r="G565" s="30"/>
      <c r="H565" s="30"/>
      <c r="I565" s="30"/>
      <c r="J565" s="65"/>
      <c r="K565" s="83"/>
      <c r="L565" s="30"/>
      <c r="M565" s="39"/>
    </row>
    <row r="566" spans="1:13" x14ac:dyDescent="0.2">
      <c r="A566" s="30"/>
      <c r="B566" s="30"/>
      <c r="C566" s="30"/>
      <c r="D566" s="30"/>
      <c r="E566" s="30"/>
      <c r="F566" s="30"/>
      <c r="G566" s="30"/>
      <c r="H566" s="30"/>
      <c r="I566" s="30"/>
      <c r="J566" s="65"/>
      <c r="K566" s="83"/>
      <c r="L566" s="30"/>
      <c r="M566" s="39"/>
    </row>
    <row r="567" spans="1:13" x14ac:dyDescent="0.2">
      <c r="A567" s="30"/>
      <c r="B567" s="30"/>
      <c r="C567" s="30"/>
      <c r="D567" s="30"/>
      <c r="E567" s="30"/>
      <c r="F567" s="30"/>
      <c r="G567" s="30"/>
      <c r="H567" s="30"/>
      <c r="I567" s="30"/>
      <c r="J567" s="65"/>
      <c r="K567" s="83"/>
      <c r="L567" s="30"/>
      <c r="M567" s="39"/>
    </row>
    <row r="568" spans="1:13" x14ac:dyDescent="0.2">
      <c r="A568" s="30"/>
      <c r="B568" s="30"/>
      <c r="C568" s="30"/>
      <c r="D568" s="30"/>
      <c r="E568" s="30"/>
      <c r="F568" s="30"/>
      <c r="G568" s="30"/>
      <c r="H568" s="30"/>
      <c r="I568" s="30"/>
      <c r="J568" s="65"/>
      <c r="K568" s="83"/>
      <c r="L568" s="30"/>
      <c r="M568" s="39"/>
    </row>
    <row r="569" spans="1:13" x14ac:dyDescent="0.2">
      <c r="A569" s="30"/>
      <c r="B569" s="30"/>
      <c r="C569" s="30"/>
      <c r="D569" s="30"/>
      <c r="E569" s="30"/>
      <c r="F569" s="30"/>
      <c r="G569" s="30"/>
      <c r="H569" s="30"/>
      <c r="I569" s="30"/>
      <c r="J569" s="65"/>
      <c r="K569" s="83"/>
      <c r="L569" s="30"/>
      <c r="M569" s="39"/>
    </row>
    <row r="570" spans="1:13" x14ac:dyDescent="0.2">
      <c r="A570" s="30"/>
      <c r="B570" s="30"/>
      <c r="C570" s="30"/>
      <c r="D570" s="30"/>
      <c r="E570" s="30"/>
      <c r="F570" s="30"/>
      <c r="G570" s="30"/>
      <c r="H570" s="30"/>
      <c r="I570" s="30"/>
      <c r="J570" s="65"/>
      <c r="K570" s="83"/>
      <c r="L570" s="30"/>
      <c r="M570" s="39"/>
    </row>
    <row r="571" spans="1:13" x14ac:dyDescent="0.2">
      <c r="A571" s="30"/>
      <c r="B571" s="30"/>
      <c r="C571" s="30"/>
      <c r="D571" s="30"/>
      <c r="E571" s="30"/>
      <c r="F571" s="30"/>
      <c r="G571" s="30"/>
      <c r="H571" s="30"/>
      <c r="I571" s="30"/>
      <c r="J571" s="65"/>
      <c r="K571" s="83"/>
      <c r="L571" s="30"/>
      <c r="M571" s="39"/>
    </row>
    <row r="572" spans="1:13" x14ac:dyDescent="0.2">
      <c r="A572" s="30"/>
      <c r="B572" s="30"/>
      <c r="C572" s="30"/>
      <c r="D572" s="30"/>
      <c r="E572" s="30"/>
      <c r="F572" s="30"/>
      <c r="G572" s="30"/>
      <c r="H572" s="30"/>
      <c r="I572" s="30"/>
      <c r="J572" s="65"/>
      <c r="K572" s="83"/>
      <c r="L572" s="30"/>
      <c r="M572" s="39"/>
    </row>
    <row r="573" spans="1:13" x14ac:dyDescent="0.2">
      <c r="A573" s="30"/>
      <c r="B573" s="30"/>
      <c r="C573" s="30"/>
      <c r="D573" s="30"/>
      <c r="E573" s="30"/>
      <c r="F573" s="30"/>
      <c r="G573" s="30"/>
      <c r="H573" s="30"/>
      <c r="I573" s="30"/>
      <c r="J573" s="65"/>
      <c r="K573" s="83"/>
      <c r="L573" s="30"/>
      <c r="M573" s="39"/>
    </row>
    <row r="574" spans="1:13" x14ac:dyDescent="0.2">
      <c r="A574" s="30"/>
      <c r="B574" s="30"/>
      <c r="C574" s="30"/>
      <c r="D574" s="30"/>
      <c r="E574" s="30"/>
      <c r="F574" s="30"/>
      <c r="G574" s="30"/>
      <c r="H574" s="30"/>
      <c r="I574" s="30"/>
      <c r="J574" s="65"/>
      <c r="K574" s="83"/>
      <c r="L574" s="30"/>
      <c r="M574" s="39"/>
    </row>
    <row r="575" spans="1:13" x14ac:dyDescent="0.2">
      <c r="A575" s="30"/>
      <c r="B575" s="30"/>
      <c r="C575" s="30"/>
      <c r="D575" s="30"/>
      <c r="E575" s="30"/>
      <c r="F575" s="30"/>
      <c r="G575" s="30"/>
      <c r="H575" s="30"/>
      <c r="I575" s="30"/>
      <c r="J575" s="65"/>
      <c r="K575" s="83"/>
      <c r="L575" s="30"/>
      <c r="M575" s="39"/>
    </row>
    <row r="576" spans="1:13" x14ac:dyDescent="0.2">
      <c r="A576" s="30"/>
      <c r="B576" s="30"/>
      <c r="C576" s="30"/>
      <c r="D576" s="30"/>
      <c r="E576" s="30"/>
      <c r="F576" s="30"/>
      <c r="G576" s="30"/>
      <c r="H576" s="30"/>
      <c r="I576" s="30"/>
      <c r="J576" s="65"/>
      <c r="K576" s="83"/>
      <c r="L576" s="30"/>
      <c r="M576" s="39"/>
    </row>
    <row r="577" spans="1:13" x14ac:dyDescent="0.2">
      <c r="A577" s="30"/>
      <c r="B577" s="30"/>
      <c r="C577" s="30"/>
      <c r="D577" s="30"/>
      <c r="E577" s="30"/>
      <c r="F577" s="30"/>
      <c r="G577" s="30"/>
      <c r="H577" s="30"/>
      <c r="I577" s="30"/>
      <c r="J577" s="65"/>
      <c r="K577" s="83"/>
      <c r="L577" s="30"/>
      <c r="M577" s="39"/>
    </row>
    <row r="578" spans="1:13" x14ac:dyDescent="0.2">
      <c r="A578" s="30"/>
      <c r="B578" s="30"/>
      <c r="C578" s="30"/>
      <c r="D578" s="30"/>
      <c r="E578" s="30"/>
      <c r="F578" s="30"/>
      <c r="G578" s="30"/>
      <c r="H578" s="30"/>
      <c r="I578" s="30"/>
      <c r="J578" s="65"/>
      <c r="K578" s="83"/>
      <c r="L578" s="30"/>
      <c r="M578" s="39"/>
    </row>
    <row r="579" spans="1:13" x14ac:dyDescent="0.2">
      <c r="A579" s="30"/>
      <c r="B579" s="30"/>
      <c r="C579" s="30"/>
      <c r="D579" s="30"/>
      <c r="E579" s="30"/>
      <c r="F579" s="30"/>
      <c r="G579" s="30"/>
      <c r="H579" s="30"/>
      <c r="I579" s="30"/>
      <c r="J579" s="65"/>
      <c r="K579" s="83"/>
      <c r="L579" s="30"/>
      <c r="M579" s="39"/>
    </row>
    <row r="580" spans="1:13" x14ac:dyDescent="0.2">
      <c r="A580" s="30"/>
      <c r="B580" s="30"/>
      <c r="C580" s="30"/>
      <c r="D580" s="30"/>
      <c r="E580" s="30"/>
      <c r="F580" s="30"/>
      <c r="G580" s="30"/>
      <c r="H580" s="30"/>
      <c r="I580" s="30"/>
      <c r="J580" s="65"/>
      <c r="K580" s="83"/>
      <c r="L580" s="30"/>
      <c r="M580" s="39"/>
    </row>
    <row r="581" spans="1:13" x14ac:dyDescent="0.2">
      <c r="A581" s="30"/>
      <c r="B581" s="30"/>
      <c r="C581" s="30"/>
      <c r="D581" s="30"/>
      <c r="E581" s="30"/>
      <c r="F581" s="30"/>
      <c r="G581" s="30"/>
      <c r="H581" s="30"/>
      <c r="I581" s="30"/>
      <c r="J581" s="65"/>
      <c r="K581" s="83"/>
      <c r="L581" s="30"/>
      <c r="M581" s="39"/>
    </row>
    <row r="582" spans="1:13" x14ac:dyDescent="0.2">
      <c r="A582" s="30"/>
      <c r="B582" s="30"/>
      <c r="C582" s="30"/>
      <c r="D582" s="30"/>
      <c r="E582" s="30"/>
      <c r="F582" s="30"/>
      <c r="G582" s="30"/>
      <c r="H582" s="30"/>
      <c r="I582" s="30"/>
      <c r="J582" s="65"/>
      <c r="K582" s="83"/>
      <c r="L582" s="30"/>
      <c r="M582" s="39"/>
    </row>
    <row r="583" spans="1:13" x14ac:dyDescent="0.2">
      <c r="A583" s="30"/>
      <c r="B583" s="30"/>
      <c r="C583" s="30"/>
      <c r="D583" s="30"/>
      <c r="E583" s="30"/>
      <c r="F583" s="30"/>
      <c r="G583" s="30"/>
      <c r="H583" s="30"/>
      <c r="I583" s="30"/>
      <c r="J583" s="65"/>
      <c r="K583" s="83"/>
      <c r="L583" s="30"/>
      <c r="M583" s="39"/>
    </row>
    <row r="584" spans="1:13" x14ac:dyDescent="0.2">
      <c r="A584" s="30"/>
      <c r="B584" s="30"/>
      <c r="C584" s="30"/>
      <c r="D584" s="30"/>
      <c r="E584" s="30"/>
      <c r="F584" s="30"/>
      <c r="G584" s="30"/>
      <c r="H584" s="30"/>
      <c r="I584" s="30"/>
      <c r="J584" s="65"/>
      <c r="K584" s="83"/>
      <c r="L584" s="30"/>
      <c r="M584" s="39"/>
    </row>
    <row r="585" spans="1:13" x14ac:dyDescent="0.2">
      <c r="A585" s="30"/>
      <c r="B585" s="30"/>
      <c r="C585" s="30"/>
      <c r="D585" s="30"/>
      <c r="E585" s="30"/>
      <c r="F585" s="30"/>
      <c r="G585" s="30"/>
      <c r="H585" s="30"/>
      <c r="I585" s="30"/>
      <c r="J585" s="65"/>
      <c r="K585" s="83"/>
      <c r="L585" s="30"/>
      <c r="M585" s="39"/>
    </row>
    <row r="586" spans="1:13" x14ac:dyDescent="0.2">
      <c r="A586" s="30"/>
      <c r="B586" s="30"/>
      <c r="C586" s="30"/>
      <c r="D586" s="30"/>
      <c r="E586" s="30"/>
      <c r="F586" s="30"/>
      <c r="G586" s="30"/>
      <c r="H586" s="30"/>
      <c r="I586" s="30"/>
      <c r="J586" s="65"/>
      <c r="K586" s="83"/>
      <c r="L586" s="30"/>
      <c r="M586" s="39"/>
    </row>
    <row r="587" spans="1:13" x14ac:dyDescent="0.2">
      <c r="A587" s="30"/>
      <c r="B587" s="30"/>
      <c r="C587" s="30"/>
      <c r="D587" s="30"/>
      <c r="E587" s="30"/>
      <c r="F587" s="30"/>
      <c r="G587" s="30"/>
      <c r="H587" s="30"/>
      <c r="I587" s="30"/>
      <c r="J587" s="65"/>
      <c r="K587" s="83"/>
      <c r="L587" s="30"/>
      <c r="M587" s="39"/>
    </row>
    <row r="588" spans="1:13" x14ac:dyDescent="0.2">
      <c r="A588" s="30"/>
      <c r="B588" s="30"/>
      <c r="C588" s="30"/>
      <c r="D588" s="30"/>
      <c r="E588" s="30"/>
      <c r="F588" s="30"/>
      <c r="G588" s="30"/>
      <c r="H588" s="30"/>
      <c r="I588" s="30"/>
      <c r="J588" s="65"/>
      <c r="K588" s="83"/>
      <c r="L588" s="30"/>
      <c r="M588" s="39"/>
    </row>
    <row r="589" spans="1:13" x14ac:dyDescent="0.2">
      <c r="A589" s="30"/>
      <c r="B589" s="30"/>
      <c r="C589" s="30"/>
      <c r="D589" s="30"/>
      <c r="E589" s="30"/>
      <c r="F589" s="30"/>
      <c r="G589" s="30"/>
      <c r="H589" s="30"/>
      <c r="I589" s="30"/>
      <c r="J589" s="65"/>
      <c r="K589" s="83"/>
      <c r="L589" s="30"/>
      <c r="M589" s="39"/>
    </row>
    <row r="590" spans="1:13" x14ac:dyDescent="0.2">
      <c r="A590" s="30"/>
      <c r="B590" s="30"/>
      <c r="C590" s="30"/>
      <c r="D590" s="30"/>
      <c r="E590" s="30"/>
      <c r="F590" s="30"/>
      <c r="G590" s="30"/>
      <c r="H590" s="30"/>
      <c r="I590" s="30"/>
      <c r="J590" s="65"/>
      <c r="K590" s="83"/>
      <c r="L590" s="30"/>
      <c r="M590" s="39"/>
    </row>
    <row r="591" spans="1:13" x14ac:dyDescent="0.2">
      <c r="A591" s="30"/>
      <c r="B591" s="30"/>
      <c r="C591" s="30"/>
      <c r="D591" s="30"/>
      <c r="E591" s="30"/>
      <c r="F591" s="30"/>
      <c r="G591" s="30"/>
      <c r="H591" s="30"/>
      <c r="I591" s="30"/>
      <c r="J591" s="65"/>
      <c r="K591" s="83"/>
      <c r="L591" s="30"/>
      <c r="M591" s="39"/>
    </row>
    <row r="592" spans="1:13" x14ac:dyDescent="0.2">
      <c r="A592" s="30"/>
      <c r="B592" s="30"/>
      <c r="C592" s="30"/>
      <c r="D592" s="30"/>
      <c r="E592" s="30"/>
      <c r="F592" s="30"/>
      <c r="G592" s="30"/>
      <c r="H592" s="30"/>
      <c r="I592" s="30"/>
      <c r="J592" s="65"/>
      <c r="K592" s="83"/>
      <c r="L592" s="30"/>
      <c r="M592" s="39"/>
    </row>
    <row r="593" spans="1:13" x14ac:dyDescent="0.2">
      <c r="A593" s="30"/>
      <c r="B593" s="30"/>
      <c r="C593" s="30"/>
      <c r="D593" s="30"/>
      <c r="E593" s="30"/>
      <c r="F593" s="30"/>
      <c r="G593" s="30"/>
      <c r="H593" s="30"/>
      <c r="I593" s="30"/>
      <c r="J593" s="65"/>
      <c r="K593" s="83"/>
      <c r="L593" s="30"/>
      <c r="M593" s="39"/>
    </row>
    <row r="594" spans="1:13" x14ac:dyDescent="0.2">
      <c r="A594" s="30"/>
      <c r="B594" s="30"/>
      <c r="C594" s="30"/>
      <c r="D594" s="30"/>
      <c r="E594" s="30"/>
      <c r="F594" s="30"/>
      <c r="G594" s="30"/>
      <c r="H594" s="30"/>
      <c r="I594" s="30"/>
      <c r="J594" s="65"/>
      <c r="K594" s="83"/>
      <c r="L594" s="30"/>
      <c r="M594" s="39"/>
    </row>
    <row r="595" spans="1:13" x14ac:dyDescent="0.2">
      <c r="A595" s="30"/>
      <c r="B595" s="30"/>
      <c r="C595" s="30"/>
      <c r="D595" s="30"/>
      <c r="E595" s="30"/>
      <c r="F595" s="30"/>
      <c r="G595" s="30"/>
      <c r="H595" s="30"/>
      <c r="I595" s="30"/>
      <c r="J595" s="65"/>
      <c r="K595" s="83"/>
      <c r="L595" s="30"/>
      <c r="M595" s="39"/>
    </row>
    <row r="596" spans="1:13" x14ac:dyDescent="0.2">
      <c r="A596" s="30"/>
      <c r="B596" s="30"/>
      <c r="C596" s="30"/>
      <c r="D596" s="30"/>
      <c r="E596" s="30"/>
      <c r="F596" s="30"/>
      <c r="G596" s="30"/>
      <c r="H596" s="30"/>
      <c r="I596" s="30"/>
      <c r="J596" s="65"/>
      <c r="K596" s="83"/>
      <c r="L596" s="30"/>
      <c r="M596" s="39"/>
    </row>
    <row r="597" spans="1:13" x14ac:dyDescent="0.2">
      <c r="A597" s="30"/>
      <c r="B597" s="30"/>
      <c r="C597" s="30"/>
      <c r="D597" s="30"/>
      <c r="E597" s="30"/>
      <c r="F597" s="30"/>
      <c r="G597" s="30"/>
      <c r="H597" s="30"/>
      <c r="I597" s="30"/>
      <c r="J597" s="65"/>
      <c r="K597" s="83"/>
      <c r="L597" s="30"/>
      <c r="M597" s="39"/>
    </row>
    <row r="598" spans="1:13" x14ac:dyDescent="0.2">
      <c r="A598" s="30"/>
      <c r="B598" s="30"/>
      <c r="C598" s="30"/>
      <c r="D598" s="30"/>
      <c r="E598" s="30"/>
      <c r="F598" s="30"/>
      <c r="G598" s="30"/>
      <c r="H598" s="30"/>
      <c r="I598" s="30"/>
      <c r="J598" s="65"/>
      <c r="K598" s="83"/>
      <c r="L598" s="30"/>
      <c r="M598" s="39"/>
    </row>
    <row r="599" spans="1:13" x14ac:dyDescent="0.2">
      <c r="A599" s="30"/>
      <c r="B599" s="30"/>
      <c r="C599" s="30"/>
      <c r="D599" s="30"/>
      <c r="E599" s="30"/>
      <c r="F599" s="30"/>
      <c r="G599" s="30"/>
      <c r="H599" s="30"/>
      <c r="I599" s="30"/>
      <c r="J599" s="65"/>
      <c r="K599" s="83"/>
      <c r="L599" s="30"/>
      <c r="M599" s="39"/>
    </row>
    <row r="600" spans="1:13" x14ac:dyDescent="0.2">
      <c r="A600" s="30"/>
      <c r="B600" s="30"/>
      <c r="C600" s="30"/>
      <c r="D600" s="30"/>
      <c r="E600" s="30"/>
      <c r="F600" s="30"/>
      <c r="G600" s="30"/>
      <c r="H600" s="30"/>
      <c r="I600" s="30"/>
      <c r="J600" s="65"/>
      <c r="K600" s="83"/>
      <c r="L600" s="30"/>
      <c r="M600" s="39"/>
    </row>
    <row r="601" spans="1:13" x14ac:dyDescent="0.2">
      <c r="A601" s="30"/>
      <c r="B601" s="30"/>
      <c r="C601" s="30"/>
      <c r="D601" s="30"/>
      <c r="E601" s="30"/>
      <c r="F601" s="30"/>
      <c r="G601" s="30"/>
      <c r="H601" s="30"/>
      <c r="I601" s="30"/>
      <c r="J601" s="65"/>
      <c r="K601" s="83"/>
      <c r="L601" s="30"/>
      <c r="M601" s="39"/>
    </row>
    <row r="602" spans="1:13" x14ac:dyDescent="0.2">
      <c r="A602" s="30"/>
      <c r="B602" s="30"/>
      <c r="C602" s="30"/>
      <c r="D602" s="30"/>
      <c r="E602" s="30"/>
      <c r="F602" s="30"/>
      <c r="G602" s="30"/>
      <c r="H602" s="30"/>
      <c r="I602" s="30"/>
      <c r="J602" s="65"/>
      <c r="K602" s="83"/>
      <c r="L602" s="30"/>
      <c r="M602" s="39"/>
    </row>
    <row r="603" spans="1:13" x14ac:dyDescent="0.2">
      <c r="A603" s="30"/>
      <c r="B603" s="30"/>
      <c r="C603" s="30"/>
      <c r="D603" s="30"/>
      <c r="E603" s="30"/>
      <c r="F603" s="30"/>
      <c r="G603" s="30"/>
      <c r="H603" s="30"/>
      <c r="I603" s="30"/>
      <c r="J603" s="65"/>
      <c r="K603" s="83"/>
      <c r="L603" s="30"/>
      <c r="M603" s="39"/>
    </row>
    <row r="604" spans="1:13" x14ac:dyDescent="0.2">
      <c r="A604" s="30"/>
      <c r="B604" s="30"/>
      <c r="C604" s="30"/>
      <c r="D604" s="30"/>
      <c r="E604" s="30"/>
      <c r="F604" s="30"/>
      <c r="G604" s="30"/>
      <c r="H604" s="30"/>
      <c r="I604" s="30"/>
      <c r="J604" s="65"/>
      <c r="K604" s="83"/>
      <c r="L604" s="30"/>
      <c r="M604" s="39"/>
    </row>
    <row r="605" spans="1:13" x14ac:dyDescent="0.2">
      <c r="A605" s="30"/>
      <c r="B605" s="30"/>
      <c r="C605" s="30"/>
      <c r="D605" s="30"/>
      <c r="E605" s="30"/>
      <c r="F605" s="30"/>
      <c r="G605" s="30"/>
      <c r="H605" s="30"/>
      <c r="I605" s="30"/>
      <c r="J605" s="65"/>
      <c r="K605" s="83"/>
      <c r="L605" s="30"/>
      <c r="M605" s="39"/>
    </row>
    <row r="606" spans="1:13" x14ac:dyDescent="0.2">
      <c r="A606" s="30"/>
      <c r="B606" s="30"/>
      <c r="C606" s="30"/>
      <c r="D606" s="30"/>
      <c r="E606" s="30"/>
      <c r="F606" s="30"/>
      <c r="G606" s="30"/>
      <c r="H606" s="30"/>
      <c r="I606" s="30"/>
      <c r="J606" s="65"/>
      <c r="K606" s="83"/>
      <c r="L606" s="30"/>
      <c r="M606" s="39"/>
    </row>
    <row r="607" spans="1:13" x14ac:dyDescent="0.2">
      <c r="A607" s="30"/>
      <c r="B607" s="30"/>
      <c r="C607" s="30"/>
      <c r="D607" s="30"/>
      <c r="E607" s="30"/>
      <c r="F607" s="30"/>
      <c r="G607" s="30"/>
      <c r="H607" s="30"/>
      <c r="I607" s="30"/>
      <c r="J607" s="65"/>
      <c r="K607" s="83"/>
      <c r="L607" s="30"/>
      <c r="M607" s="39"/>
    </row>
    <row r="608" spans="1:13" x14ac:dyDescent="0.2">
      <c r="A608" s="30"/>
      <c r="B608" s="30"/>
      <c r="C608" s="30"/>
      <c r="D608" s="30"/>
      <c r="E608" s="30"/>
      <c r="F608" s="30"/>
      <c r="G608" s="30"/>
      <c r="H608" s="30"/>
      <c r="I608" s="30"/>
      <c r="J608" s="65"/>
      <c r="K608" s="83"/>
      <c r="L608" s="30"/>
      <c r="M608" s="39"/>
    </row>
    <row r="609" spans="1:13" x14ac:dyDescent="0.2">
      <c r="A609" s="30"/>
      <c r="B609" s="30"/>
      <c r="C609" s="30"/>
      <c r="D609" s="30"/>
      <c r="E609" s="30"/>
      <c r="F609" s="30"/>
      <c r="G609" s="30"/>
      <c r="H609" s="30"/>
      <c r="I609" s="30"/>
      <c r="J609" s="65"/>
      <c r="K609" s="83"/>
      <c r="L609" s="30"/>
      <c r="M609" s="39"/>
    </row>
    <row r="610" spans="1:13" x14ac:dyDescent="0.2">
      <c r="A610" s="30"/>
      <c r="B610" s="30"/>
      <c r="C610" s="30"/>
      <c r="D610" s="30"/>
      <c r="E610" s="30"/>
      <c r="F610" s="30"/>
      <c r="G610" s="30"/>
      <c r="H610" s="30"/>
      <c r="I610" s="30"/>
      <c r="J610" s="65"/>
      <c r="K610" s="83"/>
      <c r="L610" s="30"/>
      <c r="M610" s="39"/>
    </row>
    <row r="611" spans="1:13" x14ac:dyDescent="0.2">
      <c r="A611" s="30"/>
      <c r="B611" s="30"/>
      <c r="C611" s="30"/>
      <c r="D611" s="30"/>
      <c r="E611" s="30"/>
      <c r="F611" s="30"/>
      <c r="G611" s="30"/>
      <c r="H611" s="30"/>
      <c r="I611" s="30"/>
      <c r="J611" s="65"/>
      <c r="K611" s="83"/>
      <c r="L611" s="30"/>
      <c r="M611" s="39"/>
    </row>
    <row r="612" spans="1:13" x14ac:dyDescent="0.2">
      <c r="A612" s="30"/>
      <c r="B612" s="30"/>
      <c r="C612" s="30"/>
      <c r="D612" s="30"/>
      <c r="E612" s="30"/>
      <c r="F612" s="30"/>
      <c r="G612" s="30"/>
      <c r="H612" s="30"/>
      <c r="I612" s="30"/>
      <c r="J612" s="65"/>
      <c r="K612" s="83"/>
      <c r="L612" s="30"/>
      <c r="M612" s="39"/>
    </row>
    <row r="613" spans="1:13" x14ac:dyDescent="0.2">
      <c r="A613" s="30"/>
      <c r="B613" s="30"/>
      <c r="C613" s="30"/>
      <c r="D613" s="30"/>
      <c r="E613" s="30"/>
      <c r="F613" s="30"/>
      <c r="G613" s="30"/>
      <c r="H613" s="30"/>
      <c r="I613" s="30"/>
      <c r="J613" s="65"/>
      <c r="K613" s="83"/>
      <c r="L613" s="30"/>
      <c r="M613" s="39"/>
    </row>
    <row r="614" spans="1:13" x14ac:dyDescent="0.2">
      <c r="A614" s="30"/>
      <c r="B614" s="30"/>
      <c r="C614" s="30"/>
      <c r="D614" s="30"/>
      <c r="E614" s="30"/>
      <c r="F614" s="30"/>
      <c r="G614" s="30"/>
      <c r="H614" s="30"/>
      <c r="I614" s="30"/>
      <c r="J614" s="65"/>
      <c r="K614" s="83"/>
      <c r="L614" s="30"/>
      <c r="M614" s="39"/>
    </row>
    <row r="615" spans="1:13" x14ac:dyDescent="0.2">
      <c r="A615" s="30"/>
      <c r="B615" s="30"/>
      <c r="C615" s="30"/>
      <c r="D615" s="30"/>
      <c r="E615" s="30"/>
      <c r="F615" s="30"/>
      <c r="G615" s="30"/>
      <c r="H615" s="30"/>
      <c r="I615" s="30"/>
      <c r="J615" s="65"/>
      <c r="K615" s="83"/>
      <c r="L615" s="30"/>
      <c r="M615" s="39"/>
    </row>
    <row r="616" spans="1:13" x14ac:dyDescent="0.2">
      <c r="A616" s="30"/>
      <c r="B616" s="30"/>
      <c r="C616" s="30"/>
      <c r="D616" s="30"/>
      <c r="E616" s="30"/>
      <c r="F616" s="30"/>
      <c r="G616" s="30"/>
      <c r="H616" s="30"/>
      <c r="I616" s="30"/>
      <c r="J616" s="65"/>
      <c r="K616" s="83"/>
      <c r="L616" s="30"/>
      <c r="M616" s="39"/>
    </row>
    <row r="617" spans="1:13" x14ac:dyDescent="0.2">
      <c r="A617" s="30"/>
      <c r="B617" s="30"/>
      <c r="C617" s="30"/>
      <c r="D617" s="30"/>
      <c r="E617" s="30"/>
      <c r="F617" s="30"/>
      <c r="G617" s="30"/>
      <c r="H617" s="30"/>
      <c r="I617" s="30"/>
      <c r="J617" s="65"/>
      <c r="K617" s="83"/>
      <c r="L617" s="30"/>
      <c r="M617" s="39"/>
    </row>
    <row r="618" spans="1:13" x14ac:dyDescent="0.2">
      <c r="A618" s="30"/>
      <c r="B618" s="30"/>
      <c r="C618" s="30"/>
      <c r="D618" s="30"/>
      <c r="E618" s="30"/>
      <c r="F618" s="30"/>
      <c r="G618" s="30"/>
      <c r="H618" s="30"/>
      <c r="I618" s="30"/>
      <c r="J618" s="65"/>
      <c r="K618" s="83"/>
      <c r="L618" s="30"/>
      <c r="M618" s="39"/>
    </row>
    <row r="619" spans="1:13" x14ac:dyDescent="0.2">
      <c r="A619" s="30"/>
      <c r="B619" s="30"/>
      <c r="C619" s="30"/>
      <c r="D619" s="30"/>
      <c r="E619" s="30"/>
      <c r="F619" s="30"/>
      <c r="G619" s="30"/>
      <c r="H619" s="30"/>
      <c r="I619" s="30"/>
      <c r="J619" s="65"/>
      <c r="K619" s="83"/>
      <c r="L619" s="30"/>
      <c r="M619" s="39"/>
    </row>
    <row r="620" spans="1:13" x14ac:dyDescent="0.2">
      <c r="A620" s="30"/>
      <c r="B620" s="30"/>
      <c r="C620" s="30"/>
      <c r="D620" s="30"/>
      <c r="E620" s="30"/>
      <c r="F620" s="30"/>
      <c r="G620" s="30"/>
      <c r="H620" s="30"/>
      <c r="I620" s="30"/>
      <c r="J620" s="65"/>
      <c r="K620" s="83"/>
      <c r="L620" s="30"/>
      <c r="M620" s="39"/>
    </row>
    <row r="621" spans="1:13" x14ac:dyDescent="0.2">
      <c r="A621" s="30"/>
      <c r="B621" s="30"/>
      <c r="C621" s="30"/>
      <c r="D621" s="30"/>
      <c r="E621" s="30"/>
      <c r="F621" s="30"/>
      <c r="G621" s="30"/>
      <c r="H621" s="30"/>
      <c r="I621" s="30"/>
      <c r="J621" s="65"/>
      <c r="K621" s="83"/>
      <c r="L621" s="30"/>
      <c r="M621" s="39"/>
    </row>
    <row r="622" spans="1:13" x14ac:dyDescent="0.2">
      <c r="A622" s="30"/>
      <c r="B622" s="30"/>
      <c r="C622" s="30"/>
      <c r="D622" s="30"/>
      <c r="E622" s="30"/>
      <c r="F622" s="30"/>
      <c r="G622" s="30"/>
      <c r="H622" s="30"/>
      <c r="I622" s="30"/>
      <c r="J622" s="65"/>
      <c r="K622" s="83"/>
      <c r="L622" s="30"/>
      <c r="M622" s="39"/>
    </row>
    <row r="623" spans="1:13" x14ac:dyDescent="0.2">
      <c r="A623" s="30"/>
      <c r="B623" s="30"/>
      <c r="C623" s="30"/>
      <c r="D623" s="30"/>
      <c r="E623" s="30"/>
      <c r="F623" s="30"/>
      <c r="G623" s="30"/>
      <c r="H623" s="30"/>
      <c r="I623" s="30"/>
      <c r="J623" s="65"/>
      <c r="K623" s="83"/>
      <c r="L623" s="30"/>
      <c r="M623" s="39"/>
    </row>
    <row r="624" spans="1:13" x14ac:dyDescent="0.2">
      <c r="A624" s="30"/>
      <c r="B624" s="30"/>
      <c r="C624" s="30"/>
      <c r="D624" s="30"/>
      <c r="E624" s="30"/>
      <c r="F624" s="30"/>
      <c r="G624" s="30"/>
      <c r="H624" s="30"/>
      <c r="I624" s="30"/>
      <c r="J624" s="65"/>
      <c r="K624" s="83"/>
      <c r="L624" s="30"/>
      <c r="M624" s="39"/>
    </row>
    <row r="625" spans="1:13" x14ac:dyDescent="0.2">
      <c r="A625" s="30"/>
      <c r="B625" s="30"/>
      <c r="C625" s="30"/>
      <c r="D625" s="30"/>
      <c r="E625" s="30"/>
      <c r="F625" s="30"/>
      <c r="G625" s="30"/>
      <c r="H625" s="30"/>
      <c r="I625" s="30"/>
      <c r="J625" s="65"/>
      <c r="K625" s="83"/>
      <c r="L625" s="30"/>
      <c r="M625" s="39"/>
    </row>
    <row r="626" spans="1:13" x14ac:dyDescent="0.2">
      <c r="A626" s="30"/>
      <c r="B626" s="30"/>
      <c r="C626" s="30"/>
      <c r="D626" s="30"/>
      <c r="E626" s="30"/>
      <c r="F626" s="30"/>
      <c r="G626" s="30"/>
      <c r="H626" s="30"/>
      <c r="I626" s="30"/>
      <c r="J626" s="65"/>
      <c r="K626" s="83"/>
      <c r="L626" s="30"/>
      <c r="M626" s="39"/>
    </row>
    <row r="627" spans="1:13" x14ac:dyDescent="0.2">
      <c r="A627" s="30"/>
      <c r="B627" s="30"/>
      <c r="C627" s="30"/>
      <c r="D627" s="30"/>
      <c r="E627" s="30"/>
      <c r="F627" s="30"/>
      <c r="G627" s="30"/>
      <c r="H627" s="30"/>
      <c r="I627" s="30"/>
      <c r="J627" s="65"/>
      <c r="K627" s="83"/>
      <c r="L627" s="30"/>
      <c r="M627" s="39"/>
    </row>
    <row r="628" spans="1:13" x14ac:dyDescent="0.2">
      <c r="A628" s="30"/>
      <c r="B628" s="30"/>
      <c r="C628" s="30"/>
      <c r="D628" s="30"/>
      <c r="E628" s="30"/>
      <c r="F628" s="30"/>
      <c r="G628" s="30"/>
      <c r="H628" s="30"/>
      <c r="I628" s="30"/>
      <c r="J628" s="65"/>
      <c r="K628" s="83"/>
      <c r="L628" s="30"/>
      <c r="M628" s="39"/>
    </row>
    <row r="629" spans="1:13" x14ac:dyDescent="0.2">
      <c r="A629" s="30"/>
      <c r="B629" s="30"/>
      <c r="C629" s="30"/>
      <c r="D629" s="30"/>
      <c r="E629" s="30"/>
      <c r="F629" s="30"/>
      <c r="G629" s="30"/>
      <c r="H629" s="30"/>
      <c r="I629" s="30"/>
      <c r="J629" s="65"/>
      <c r="K629" s="83"/>
      <c r="L629" s="30"/>
      <c r="M629" s="39"/>
    </row>
    <row r="630" spans="1:13" x14ac:dyDescent="0.2">
      <c r="A630" s="30"/>
      <c r="B630" s="30"/>
      <c r="C630" s="30"/>
      <c r="D630" s="30"/>
      <c r="E630" s="30"/>
      <c r="F630" s="30"/>
      <c r="G630" s="30"/>
      <c r="H630" s="30"/>
      <c r="I630" s="30"/>
      <c r="J630" s="65"/>
      <c r="K630" s="83"/>
      <c r="L630" s="30"/>
      <c r="M630" s="39"/>
    </row>
    <row r="631" spans="1:13" x14ac:dyDescent="0.2">
      <c r="A631" s="30"/>
      <c r="B631" s="30"/>
      <c r="C631" s="30"/>
      <c r="D631" s="30"/>
      <c r="E631" s="30"/>
      <c r="F631" s="30"/>
      <c r="G631" s="30"/>
      <c r="H631" s="30"/>
      <c r="I631" s="30"/>
      <c r="J631" s="65"/>
      <c r="K631" s="83"/>
      <c r="L631" s="30"/>
      <c r="M631" s="39"/>
    </row>
    <row r="632" spans="1:13" x14ac:dyDescent="0.2">
      <c r="A632" s="30"/>
      <c r="B632" s="30"/>
      <c r="C632" s="30"/>
      <c r="D632" s="30"/>
      <c r="E632" s="30"/>
      <c r="F632" s="30"/>
      <c r="G632" s="30"/>
      <c r="H632" s="30"/>
      <c r="I632" s="30"/>
      <c r="J632" s="65"/>
      <c r="K632" s="83"/>
      <c r="L632" s="30"/>
      <c r="M632" s="39"/>
    </row>
    <row r="633" spans="1:13" x14ac:dyDescent="0.2">
      <c r="A633" s="30"/>
      <c r="B633" s="30"/>
      <c r="C633" s="30"/>
      <c r="D633" s="30"/>
      <c r="E633" s="30"/>
      <c r="F633" s="30"/>
      <c r="G633" s="30"/>
      <c r="H633" s="30"/>
      <c r="I633" s="30"/>
      <c r="J633" s="65"/>
      <c r="K633" s="83"/>
      <c r="L633" s="30"/>
      <c r="M633" s="39"/>
    </row>
    <row r="634" spans="1:13" x14ac:dyDescent="0.2">
      <c r="A634" s="30"/>
      <c r="B634" s="30"/>
      <c r="C634" s="30"/>
      <c r="D634" s="30"/>
      <c r="E634" s="30"/>
      <c r="F634" s="30"/>
      <c r="G634" s="30"/>
      <c r="H634" s="30"/>
      <c r="I634" s="30"/>
      <c r="J634" s="65"/>
      <c r="K634" s="83"/>
      <c r="L634" s="30"/>
      <c r="M634" s="39"/>
    </row>
    <row r="635" spans="1:13" x14ac:dyDescent="0.2">
      <c r="A635" s="30"/>
      <c r="B635" s="30"/>
      <c r="C635" s="30"/>
      <c r="D635" s="30"/>
      <c r="E635" s="30"/>
      <c r="F635" s="30"/>
      <c r="G635" s="30"/>
      <c r="H635" s="30"/>
      <c r="I635" s="30"/>
      <c r="J635" s="65"/>
      <c r="K635" s="83"/>
      <c r="L635" s="30"/>
      <c r="M635" s="39"/>
    </row>
    <row r="636" spans="1:13" x14ac:dyDescent="0.2">
      <c r="A636" s="30"/>
      <c r="B636" s="30"/>
      <c r="C636" s="30"/>
      <c r="D636" s="30"/>
      <c r="E636" s="30"/>
      <c r="F636" s="30"/>
      <c r="G636" s="30"/>
      <c r="H636" s="30"/>
      <c r="I636" s="30"/>
      <c r="J636" s="65"/>
      <c r="K636" s="83"/>
      <c r="L636" s="30"/>
      <c r="M636" s="39"/>
    </row>
    <row r="637" spans="1:13" x14ac:dyDescent="0.2">
      <c r="A637" s="30"/>
      <c r="B637" s="30"/>
      <c r="C637" s="30"/>
      <c r="D637" s="30"/>
      <c r="E637" s="30"/>
      <c r="F637" s="30"/>
      <c r="G637" s="30"/>
      <c r="H637" s="30"/>
      <c r="I637" s="30"/>
      <c r="J637" s="65"/>
      <c r="K637" s="83"/>
      <c r="L637" s="30"/>
      <c r="M637" s="39"/>
    </row>
    <row r="638" spans="1:13" x14ac:dyDescent="0.2">
      <c r="A638" s="30"/>
      <c r="B638" s="30"/>
      <c r="C638" s="30"/>
      <c r="D638" s="30"/>
      <c r="E638" s="30"/>
      <c r="F638" s="30"/>
      <c r="G638" s="30"/>
      <c r="H638" s="30"/>
      <c r="I638" s="30"/>
      <c r="J638" s="65"/>
      <c r="K638" s="83"/>
      <c r="L638" s="30"/>
      <c r="M638" s="39"/>
    </row>
    <row r="639" spans="1:13" x14ac:dyDescent="0.2">
      <c r="A639" s="30"/>
      <c r="B639" s="30"/>
      <c r="C639" s="30"/>
      <c r="D639" s="30"/>
      <c r="E639" s="30"/>
      <c r="F639" s="30"/>
      <c r="G639" s="30"/>
      <c r="H639" s="30"/>
      <c r="I639" s="30"/>
      <c r="J639" s="65"/>
      <c r="K639" s="83"/>
      <c r="L639" s="30"/>
      <c r="M639" s="39"/>
    </row>
    <row r="640" spans="1:13" x14ac:dyDescent="0.2">
      <c r="A640" s="30"/>
      <c r="B640" s="30"/>
      <c r="C640" s="30"/>
      <c r="D640" s="30"/>
      <c r="E640" s="30"/>
      <c r="F640" s="30"/>
      <c r="G640" s="30"/>
      <c r="H640" s="30"/>
      <c r="I640" s="30"/>
      <c r="J640" s="65"/>
      <c r="K640" s="83"/>
      <c r="L640" s="30"/>
      <c r="M640" s="39"/>
    </row>
    <row r="641" spans="1:13" x14ac:dyDescent="0.2">
      <c r="A641" s="30"/>
      <c r="B641" s="30"/>
      <c r="C641" s="30"/>
      <c r="D641" s="30"/>
      <c r="E641" s="30"/>
      <c r="F641" s="30"/>
      <c r="G641" s="30"/>
      <c r="H641" s="30"/>
      <c r="I641" s="30"/>
      <c r="J641" s="65"/>
      <c r="K641" s="83"/>
      <c r="L641" s="30"/>
      <c r="M641" s="39"/>
    </row>
    <row r="642" spans="1:13" x14ac:dyDescent="0.2">
      <c r="A642" s="30"/>
      <c r="B642" s="30"/>
      <c r="C642" s="30"/>
      <c r="D642" s="30"/>
      <c r="E642" s="30"/>
      <c r="F642" s="30"/>
      <c r="G642" s="30"/>
      <c r="H642" s="30"/>
      <c r="I642" s="30"/>
      <c r="J642" s="65"/>
      <c r="K642" s="83"/>
      <c r="L642" s="30"/>
      <c r="M642" s="39"/>
    </row>
    <row r="643" spans="1:13" x14ac:dyDescent="0.2">
      <c r="A643" s="30"/>
      <c r="B643" s="30"/>
      <c r="C643" s="30"/>
      <c r="D643" s="30"/>
      <c r="E643" s="30"/>
      <c r="F643" s="30"/>
      <c r="G643" s="30"/>
      <c r="H643" s="30"/>
      <c r="I643" s="30"/>
      <c r="J643" s="65"/>
      <c r="K643" s="83"/>
      <c r="L643" s="30"/>
      <c r="M643" s="39"/>
    </row>
    <row r="644" spans="1:13" x14ac:dyDescent="0.2">
      <c r="A644" s="30"/>
      <c r="B644" s="30"/>
      <c r="C644" s="30"/>
      <c r="D644" s="30"/>
      <c r="E644" s="30"/>
      <c r="F644" s="30"/>
      <c r="G644" s="30"/>
      <c r="H644" s="30"/>
      <c r="I644" s="30"/>
      <c r="J644" s="65"/>
      <c r="K644" s="83"/>
      <c r="L644" s="30"/>
      <c r="M644" s="39"/>
    </row>
    <row r="645" spans="1:13" x14ac:dyDescent="0.2">
      <c r="A645" s="30"/>
      <c r="B645" s="30"/>
      <c r="C645" s="30"/>
      <c r="D645" s="30"/>
      <c r="E645" s="30"/>
      <c r="F645" s="30"/>
      <c r="G645" s="30"/>
      <c r="H645" s="30"/>
      <c r="I645" s="30"/>
      <c r="J645" s="65"/>
      <c r="K645" s="83"/>
      <c r="L645" s="30"/>
      <c r="M645" s="39"/>
    </row>
    <row r="646" spans="1:13" x14ac:dyDescent="0.2">
      <c r="A646" s="30"/>
      <c r="B646" s="30"/>
      <c r="C646" s="30"/>
      <c r="D646" s="30"/>
      <c r="E646" s="30"/>
      <c r="F646" s="30"/>
      <c r="G646" s="30"/>
      <c r="H646" s="30"/>
      <c r="I646" s="30"/>
      <c r="J646" s="65"/>
      <c r="K646" s="83"/>
      <c r="L646" s="30"/>
      <c r="M646" s="39"/>
    </row>
    <row r="647" spans="1:13" x14ac:dyDescent="0.2">
      <c r="A647" s="30"/>
      <c r="B647" s="30"/>
      <c r="C647" s="30"/>
      <c r="D647" s="30"/>
      <c r="E647" s="30"/>
      <c r="F647" s="30"/>
      <c r="G647" s="30"/>
      <c r="H647" s="30"/>
      <c r="I647" s="30"/>
      <c r="J647" s="65"/>
      <c r="K647" s="83"/>
      <c r="L647" s="30"/>
      <c r="M647" s="39"/>
    </row>
    <row r="648" spans="1:13" x14ac:dyDescent="0.2">
      <c r="A648" s="30"/>
      <c r="B648" s="30"/>
      <c r="C648" s="30"/>
      <c r="D648" s="30"/>
      <c r="E648" s="30"/>
      <c r="F648" s="30"/>
      <c r="G648" s="30"/>
      <c r="H648" s="30"/>
      <c r="I648" s="30"/>
      <c r="J648" s="65"/>
      <c r="K648" s="83"/>
      <c r="L648" s="30"/>
      <c r="M648" s="39"/>
    </row>
    <row r="649" spans="1:13" x14ac:dyDescent="0.2">
      <c r="A649" s="30"/>
      <c r="B649" s="30"/>
      <c r="C649" s="30"/>
      <c r="D649" s="30"/>
      <c r="E649" s="30"/>
      <c r="F649" s="30"/>
      <c r="G649" s="30"/>
      <c r="H649" s="30"/>
      <c r="I649" s="30"/>
      <c r="J649" s="65"/>
      <c r="K649" s="83"/>
      <c r="L649" s="30"/>
      <c r="M649" s="39"/>
    </row>
    <row r="650" spans="1:13" x14ac:dyDescent="0.2">
      <c r="A650" s="30"/>
      <c r="B650" s="30"/>
      <c r="C650" s="30"/>
      <c r="D650" s="30"/>
      <c r="E650" s="30"/>
      <c r="F650" s="30"/>
      <c r="G650" s="30"/>
      <c r="H650" s="30"/>
      <c r="I650" s="30"/>
      <c r="J650" s="65"/>
      <c r="K650" s="83"/>
      <c r="L650" s="30"/>
      <c r="M650" s="39"/>
    </row>
    <row r="651" spans="1:13" x14ac:dyDescent="0.2">
      <c r="A651" s="30"/>
      <c r="B651" s="30"/>
      <c r="C651" s="30"/>
      <c r="D651" s="30"/>
      <c r="E651" s="30"/>
      <c r="F651" s="30"/>
      <c r="G651" s="30"/>
      <c r="H651" s="30"/>
      <c r="I651" s="30"/>
      <c r="J651" s="65"/>
      <c r="K651" s="83"/>
      <c r="L651" s="30"/>
      <c r="M651" s="39"/>
    </row>
    <row r="652" spans="1:13" x14ac:dyDescent="0.2">
      <c r="A652" s="30"/>
      <c r="B652" s="30"/>
      <c r="C652" s="30"/>
      <c r="D652" s="30"/>
      <c r="E652" s="30"/>
      <c r="F652" s="30"/>
      <c r="G652" s="30"/>
      <c r="H652" s="30"/>
      <c r="I652" s="30"/>
      <c r="J652" s="65"/>
      <c r="K652" s="83"/>
      <c r="L652" s="30"/>
      <c r="M652" s="39"/>
    </row>
    <row r="653" spans="1:13" x14ac:dyDescent="0.2">
      <c r="A653" s="30"/>
      <c r="B653" s="30"/>
      <c r="C653" s="30"/>
      <c r="D653" s="30"/>
      <c r="E653" s="30"/>
      <c r="F653" s="30"/>
      <c r="G653" s="30"/>
      <c r="H653" s="30"/>
      <c r="I653" s="30"/>
      <c r="J653" s="65"/>
      <c r="K653" s="83"/>
      <c r="L653" s="30"/>
      <c r="M653" s="39"/>
    </row>
    <row r="654" spans="1:13" x14ac:dyDescent="0.2">
      <c r="A654" s="30"/>
      <c r="B654" s="30"/>
      <c r="C654" s="30"/>
      <c r="D654" s="30"/>
      <c r="E654" s="30"/>
      <c r="F654" s="30"/>
      <c r="G654" s="30"/>
      <c r="H654" s="30"/>
      <c r="I654" s="30"/>
      <c r="J654" s="65"/>
      <c r="K654" s="83"/>
      <c r="L654" s="30"/>
      <c r="M654" s="39"/>
    </row>
    <row r="655" spans="1:13" x14ac:dyDescent="0.2">
      <c r="A655" s="30"/>
      <c r="B655" s="30"/>
      <c r="C655" s="30"/>
      <c r="D655" s="30"/>
      <c r="E655" s="30"/>
      <c r="F655" s="30"/>
      <c r="G655" s="30"/>
      <c r="H655" s="30"/>
      <c r="I655" s="30"/>
      <c r="J655" s="65"/>
      <c r="K655" s="83"/>
      <c r="L655" s="30"/>
      <c r="M655" s="39"/>
    </row>
    <row r="656" spans="1:13" x14ac:dyDescent="0.2">
      <c r="A656" s="30"/>
      <c r="B656" s="30"/>
      <c r="C656" s="30"/>
      <c r="D656" s="30"/>
      <c r="E656" s="30"/>
      <c r="F656" s="30"/>
      <c r="G656" s="30"/>
      <c r="H656" s="30"/>
      <c r="I656" s="30"/>
      <c r="J656" s="65"/>
      <c r="K656" s="83"/>
      <c r="L656" s="30"/>
      <c r="M656" s="39"/>
    </row>
    <row r="657" spans="1:13" x14ac:dyDescent="0.2">
      <c r="A657" s="30"/>
      <c r="B657" s="30"/>
      <c r="C657" s="30"/>
      <c r="D657" s="30"/>
      <c r="E657" s="30"/>
      <c r="F657" s="30"/>
      <c r="G657" s="30"/>
      <c r="H657" s="30"/>
      <c r="I657" s="30"/>
      <c r="J657" s="65"/>
      <c r="K657" s="83"/>
      <c r="L657" s="30"/>
      <c r="M657" s="39"/>
    </row>
    <row r="658" spans="1:13" x14ac:dyDescent="0.2">
      <c r="A658" s="30"/>
      <c r="B658" s="30"/>
      <c r="C658" s="30"/>
      <c r="D658" s="30"/>
      <c r="E658" s="30"/>
      <c r="F658" s="30"/>
      <c r="G658" s="30"/>
      <c r="H658" s="30"/>
      <c r="I658" s="30"/>
      <c r="J658" s="65"/>
      <c r="K658" s="83"/>
      <c r="L658" s="30"/>
      <c r="M658" s="39"/>
    </row>
    <row r="659" spans="1:13" x14ac:dyDescent="0.2">
      <c r="A659" s="30"/>
      <c r="B659" s="30"/>
      <c r="C659" s="30"/>
      <c r="D659" s="30"/>
      <c r="E659" s="30"/>
      <c r="F659" s="30"/>
      <c r="G659" s="30"/>
      <c r="H659" s="30"/>
      <c r="I659" s="30"/>
      <c r="J659" s="65"/>
      <c r="K659" s="83"/>
      <c r="L659" s="30"/>
      <c r="M659" s="39"/>
    </row>
    <row r="660" spans="1:13" x14ac:dyDescent="0.2">
      <c r="A660" s="30"/>
      <c r="B660" s="30"/>
      <c r="C660" s="30"/>
      <c r="D660" s="30"/>
      <c r="E660" s="30"/>
      <c r="F660" s="30"/>
      <c r="G660" s="30"/>
      <c r="H660" s="30"/>
      <c r="I660" s="30"/>
      <c r="J660" s="65"/>
      <c r="K660" s="83"/>
      <c r="L660" s="30"/>
      <c r="M660" s="39"/>
    </row>
    <row r="661" spans="1:13" x14ac:dyDescent="0.2">
      <c r="A661" s="30"/>
      <c r="B661" s="30"/>
      <c r="C661" s="30"/>
      <c r="D661" s="30"/>
      <c r="E661" s="30"/>
      <c r="F661" s="30"/>
      <c r="G661" s="30"/>
      <c r="H661" s="30"/>
      <c r="I661" s="30"/>
      <c r="J661" s="65"/>
      <c r="K661" s="83"/>
      <c r="L661" s="30"/>
      <c r="M661" s="39"/>
    </row>
    <row r="662" spans="1:13" x14ac:dyDescent="0.2">
      <c r="A662" s="30"/>
      <c r="B662" s="30"/>
      <c r="C662" s="30"/>
      <c r="D662" s="30"/>
      <c r="E662" s="30"/>
      <c r="F662" s="30"/>
      <c r="G662" s="30"/>
      <c r="H662" s="30"/>
      <c r="I662" s="30"/>
      <c r="J662" s="65"/>
      <c r="K662" s="83"/>
      <c r="L662" s="30"/>
      <c r="M662" s="39"/>
    </row>
    <row r="663" spans="1:13" x14ac:dyDescent="0.2">
      <c r="A663" s="30"/>
      <c r="B663" s="30"/>
      <c r="C663" s="30"/>
      <c r="D663" s="30"/>
      <c r="E663" s="30"/>
      <c r="F663" s="30"/>
      <c r="G663" s="30"/>
      <c r="H663" s="30"/>
      <c r="I663" s="30"/>
      <c r="J663" s="65"/>
      <c r="K663" s="83"/>
      <c r="L663" s="30"/>
      <c r="M663" s="39"/>
    </row>
    <row r="664" spans="1:13" x14ac:dyDescent="0.2">
      <c r="A664" s="30"/>
      <c r="B664" s="30"/>
      <c r="C664" s="30"/>
      <c r="D664" s="30"/>
      <c r="E664" s="30"/>
      <c r="F664" s="30"/>
      <c r="G664" s="30"/>
      <c r="H664" s="30"/>
      <c r="I664" s="30"/>
      <c r="J664" s="65"/>
      <c r="K664" s="83"/>
      <c r="L664" s="30"/>
      <c r="M664" s="39"/>
    </row>
    <row r="665" spans="1:13" x14ac:dyDescent="0.2">
      <c r="A665" s="30"/>
      <c r="B665" s="30"/>
      <c r="C665" s="30"/>
      <c r="D665" s="30"/>
      <c r="E665" s="30"/>
      <c r="F665" s="30"/>
      <c r="G665" s="30"/>
      <c r="H665" s="30"/>
      <c r="I665" s="30"/>
      <c r="J665" s="65"/>
      <c r="K665" s="83"/>
      <c r="L665" s="30"/>
      <c r="M665" s="39"/>
    </row>
    <row r="666" spans="1:13" x14ac:dyDescent="0.2">
      <c r="A666" s="30"/>
      <c r="B666" s="30"/>
      <c r="C666" s="30"/>
      <c r="D666" s="30"/>
      <c r="E666" s="30"/>
      <c r="F666" s="30"/>
      <c r="G666" s="30"/>
      <c r="H666" s="30"/>
      <c r="I666" s="30"/>
      <c r="J666" s="65"/>
      <c r="K666" s="83"/>
      <c r="L666" s="30"/>
      <c r="M666" s="39"/>
    </row>
    <row r="667" spans="1:13" x14ac:dyDescent="0.2">
      <c r="A667" s="30"/>
      <c r="B667" s="30"/>
      <c r="C667" s="30"/>
      <c r="D667" s="30"/>
      <c r="E667" s="30"/>
      <c r="F667" s="30"/>
      <c r="G667" s="30"/>
      <c r="H667" s="30"/>
      <c r="I667" s="30"/>
      <c r="J667" s="65"/>
      <c r="K667" s="83"/>
      <c r="L667" s="30"/>
      <c r="M667" s="39"/>
    </row>
    <row r="668" spans="1:13" x14ac:dyDescent="0.2">
      <c r="A668" s="30"/>
      <c r="B668" s="30"/>
      <c r="C668" s="30"/>
      <c r="D668" s="30"/>
      <c r="E668" s="30"/>
      <c r="F668" s="30"/>
      <c r="G668" s="30"/>
      <c r="H668" s="30"/>
      <c r="I668" s="30"/>
      <c r="J668" s="65"/>
      <c r="K668" s="83"/>
      <c r="L668" s="30"/>
      <c r="M668" s="39"/>
    </row>
    <row r="669" spans="1:13" x14ac:dyDescent="0.2">
      <c r="A669" s="30"/>
      <c r="B669" s="30"/>
      <c r="C669" s="30"/>
      <c r="D669" s="30"/>
      <c r="E669" s="30"/>
      <c r="F669" s="30"/>
      <c r="G669" s="30"/>
      <c r="H669" s="30"/>
      <c r="I669" s="30"/>
      <c r="J669" s="65"/>
      <c r="K669" s="83"/>
      <c r="L669" s="30"/>
      <c r="M669" s="39"/>
    </row>
    <row r="670" spans="1:13" x14ac:dyDescent="0.2">
      <c r="A670" s="30"/>
      <c r="B670" s="30"/>
      <c r="C670" s="30"/>
      <c r="D670" s="30"/>
      <c r="E670" s="30"/>
      <c r="F670" s="30"/>
      <c r="G670" s="30"/>
      <c r="H670" s="30"/>
      <c r="I670" s="30"/>
      <c r="J670" s="65"/>
      <c r="K670" s="83"/>
      <c r="L670" s="30"/>
      <c r="M670" s="39"/>
    </row>
    <row r="671" spans="1:13" x14ac:dyDescent="0.2">
      <c r="A671" s="30"/>
      <c r="B671" s="30"/>
      <c r="C671" s="30"/>
      <c r="D671" s="30"/>
      <c r="E671" s="30"/>
      <c r="F671" s="30"/>
      <c r="G671" s="30"/>
      <c r="H671" s="30"/>
      <c r="I671" s="30"/>
      <c r="J671" s="65"/>
      <c r="K671" s="83"/>
      <c r="L671" s="30"/>
      <c r="M671" s="39"/>
    </row>
    <row r="672" spans="1:13" x14ac:dyDescent="0.2">
      <c r="A672" s="30"/>
      <c r="B672" s="30"/>
      <c r="C672" s="30"/>
      <c r="D672" s="30"/>
      <c r="E672" s="30"/>
      <c r="F672" s="30"/>
      <c r="G672" s="30"/>
      <c r="H672" s="30"/>
      <c r="I672" s="30"/>
      <c r="J672" s="65"/>
      <c r="K672" s="83"/>
      <c r="L672" s="30"/>
      <c r="M672" s="39"/>
    </row>
    <row r="673" spans="1:13" x14ac:dyDescent="0.2">
      <c r="A673" s="30"/>
      <c r="B673" s="30"/>
      <c r="C673" s="30"/>
      <c r="D673" s="30"/>
      <c r="E673" s="30"/>
      <c r="F673" s="30"/>
      <c r="G673" s="30"/>
      <c r="H673" s="30"/>
      <c r="I673" s="30"/>
      <c r="J673" s="65"/>
      <c r="K673" s="83"/>
      <c r="L673" s="30"/>
      <c r="M673" s="39"/>
    </row>
    <row r="674" spans="1:13" x14ac:dyDescent="0.2">
      <c r="A674" s="30"/>
      <c r="B674" s="30"/>
      <c r="C674" s="30"/>
      <c r="D674" s="30"/>
      <c r="E674" s="30"/>
      <c r="F674" s="30"/>
      <c r="G674" s="30"/>
      <c r="H674" s="30"/>
      <c r="I674" s="30"/>
      <c r="J674" s="65"/>
      <c r="K674" s="83"/>
      <c r="L674" s="30"/>
      <c r="M674" s="39"/>
    </row>
    <row r="675" spans="1:13" x14ac:dyDescent="0.2">
      <c r="A675" s="30"/>
      <c r="B675" s="30"/>
      <c r="C675" s="30"/>
      <c r="D675" s="30"/>
      <c r="E675" s="30"/>
      <c r="F675" s="30"/>
      <c r="G675" s="30"/>
      <c r="H675" s="30"/>
      <c r="I675" s="30"/>
      <c r="J675" s="65"/>
      <c r="K675" s="83"/>
      <c r="L675" s="30"/>
      <c r="M675" s="39"/>
    </row>
    <row r="676" spans="1:13" x14ac:dyDescent="0.2">
      <c r="A676" s="30"/>
      <c r="B676" s="30"/>
      <c r="C676" s="30"/>
      <c r="D676" s="30"/>
      <c r="E676" s="30"/>
      <c r="F676" s="30"/>
      <c r="G676" s="30"/>
      <c r="H676" s="30"/>
      <c r="I676" s="30"/>
      <c r="J676" s="65"/>
      <c r="K676" s="83"/>
      <c r="L676" s="30"/>
      <c r="M676" s="39"/>
    </row>
    <row r="677" spans="1:13" x14ac:dyDescent="0.2">
      <c r="A677" s="30"/>
      <c r="B677" s="30"/>
      <c r="C677" s="30"/>
      <c r="D677" s="30"/>
      <c r="E677" s="30"/>
      <c r="F677" s="30"/>
      <c r="G677" s="30"/>
      <c r="H677" s="30"/>
      <c r="I677" s="30"/>
      <c r="J677" s="65"/>
      <c r="K677" s="83"/>
      <c r="L677" s="30"/>
      <c r="M677" s="39"/>
    </row>
    <row r="678" spans="1:13" x14ac:dyDescent="0.2">
      <c r="A678" s="30"/>
      <c r="B678" s="30"/>
      <c r="C678" s="30"/>
      <c r="D678" s="30"/>
      <c r="E678" s="30"/>
      <c r="F678" s="30"/>
      <c r="G678" s="30"/>
      <c r="H678" s="30"/>
      <c r="I678" s="30"/>
      <c r="J678" s="65"/>
      <c r="K678" s="83"/>
      <c r="L678" s="30"/>
      <c r="M678" s="39"/>
    </row>
    <row r="679" spans="1:13" x14ac:dyDescent="0.2">
      <c r="A679" s="30"/>
      <c r="B679" s="30"/>
      <c r="C679" s="30"/>
      <c r="D679" s="30"/>
      <c r="E679" s="30"/>
      <c r="F679" s="30"/>
      <c r="G679" s="30"/>
      <c r="H679" s="30"/>
      <c r="I679" s="30"/>
      <c r="J679" s="65"/>
      <c r="K679" s="83"/>
      <c r="L679" s="30"/>
      <c r="M679" s="39"/>
    </row>
    <row r="680" spans="1:13" x14ac:dyDescent="0.2">
      <c r="A680" s="30"/>
      <c r="B680" s="30"/>
      <c r="C680" s="30"/>
      <c r="D680" s="30"/>
      <c r="E680" s="30"/>
      <c r="F680" s="30"/>
      <c r="G680" s="30"/>
      <c r="H680" s="30"/>
      <c r="I680" s="30"/>
      <c r="J680" s="65"/>
      <c r="K680" s="83"/>
      <c r="L680" s="30"/>
      <c r="M680" s="39"/>
    </row>
    <row r="681" spans="1:13" x14ac:dyDescent="0.2">
      <c r="A681" s="30"/>
      <c r="B681" s="30"/>
      <c r="C681" s="30"/>
      <c r="D681" s="30"/>
      <c r="E681" s="30"/>
      <c r="F681" s="30"/>
      <c r="G681" s="30"/>
      <c r="H681" s="30"/>
      <c r="I681" s="30"/>
      <c r="J681" s="65"/>
      <c r="K681" s="83"/>
      <c r="L681" s="30"/>
      <c r="M681" s="39"/>
    </row>
    <row r="682" spans="1:13" x14ac:dyDescent="0.2">
      <c r="A682" s="30"/>
      <c r="B682" s="30"/>
      <c r="C682" s="30"/>
      <c r="D682" s="30"/>
      <c r="E682" s="30"/>
      <c r="F682" s="30"/>
      <c r="G682" s="30"/>
      <c r="H682" s="30"/>
      <c r="I682" s="30"/>
      <c r="J682" s="65"/>
      <c r="K682" s="83"/>
      <c r="L682" s="30"/>
      <c r="M682" s="39"/>
    </row>
    <row r="683" spans="1:13" x14ac:dyDescent="0.2">
      <c r="A683" s="30"/>
      <c r="B683" s="30"/>
      <c r="C683" s="30"/>
      <c r="D683" s="30"/>
      <c r="E683" s="30"/>
      <c r="F683" s="30"/>
      <c r="G683" s="30"/>
      <c r="H683" s="30"/>
      <c r="I683" s="30"/>
      <c r="J683" s="65"/>
      <c r="K683" s="83"/>
      <c r="L683" s="30"/>
      <c r="M683" s="39"/>
    </row>
    <row r="684" spans="1:13" x14ac:dyDescent="0.2">
      <c r="A684" s="30"/>
      <c r="B684" s="30"/>
      <c r="C684" s="30"/>
      <c r="D684" s="30"/>
      <c r="E684" s="30"/>
      <c r="F684" s="30"/>
      <c r="G684" s="30"/>
      <c r="H684" s="30"/>
      <c r="I684" s="30"/>
      <c r="J684" s="65"/>
      <c r="K684" s="83"/>
      <c r="L684" s="30"/>
      <c r="M684" s="39"/>
    </row>
    <row r="685" spans="1:13" x14ac:dyDescent="0.2">
      <c r="A685" s="30"/>
      <c r="B685" s="30"/>
      <c r="C685" s="30"/>
      <c r="D685" s="30"/>
      <c r="E685" s="30"/>
      <c r="F685" s="30"/>
      <c r="G685" s="30"/>
      <c r="H685" s="30"/>
      <c r="I685" s="30"/>
      <c r="J685" s="65"/>
      <c r="K685" s="83"/>
      <c r="L685" s="30"/>
      <c r="M685" s="39"/>
    </row>
    <row r="686" spans="1:13" x14ac:dyDescent="0.2">
      <c r="A686" s="30"/>
      <c r="B686" s="30"/>
      <c r="C686" s="30"/>
      <c r="D686" s="30"/>
      <c r="E686" s="30"/>
      <c r="F686" s="30"/>
      <c r="G686" s="30"/>
      <c r="H686" s="30"/>
      <c r="I686" s="30"/>
      <c r="J686" s="65"/>
      <c r="K686" s="83"/>
      <c r="L686" s="30"/>
      <c r="M686" s="39"/>
    </row>
    <row r="687" spans="1:13" x14ac:dyDescent="0.2">
      <c r="A687" s="30"/>
      <c r="B687" s="30"/>
      <c r="C687" s="30"/>
      <c r="D687" s="30"/>
      <c r="E687" s="30"/>
      <c r="F687" s="30"/>
      <c r="G687" s="30"/>
      <c r="H687" s="30"/>
      <c r="I687" s="30"/>
      <c r="J687" s="65"/>
      <c r="K687" s="83"/>
      <c r="L687" s="30"/>
      <c r="M687" s="39"/>
    </row>
    <row r="688" spans="1:13" x14ac:dyDescent="0.2">
      <c r="A688" s="30"/>
      <c r="B688" s="30"/>
      <c r="C688" s="30"/>
      <c r="D688" s="30"/>
      <c r="E688" s="30"/>
      <c r="F688" s="30"/>
      <c r="G688" s="30"/>
      <c r="H688" s="30"/>
      <c r="I688" s="30"/>
      <c r="J688" s="65"/>
      <c r="K688" s="83"/>
      <c r="L688" s="30"/>
      <c r="M688" s="39"/>
    </row>
    <row r="689" spans="1:13" x14ac:dyDescent="0.2">
      <c r="A689" s="30"/>
      <c r="B689" s="30"/>
      <c r="C689" s="30"/>
      <c r="D689" s="30"/>
      <c r="E689" s="30"/>
      <c r="F689" s="30"/>
      <c r="G689" s="30"/>
      <c r="H689" s="30"/>
      <c r="I689" s="30"/>
      <c r="J689" s="65"/>
      <c r="K689" s="83"/>
      <c r="L689" s="30"/>
      <c r="M689" s="39"/>
    </row>
    <row r="690" spans="1:13" x14ac:dyDescent="0.2">
      <c r="A690" s="30"/>
      <c r="B690" s="30"/>
      <c r="C690" s="30"/>
      <c r="D690" s="30"/>
      <c r="E690" s="30"/>
      <c r="F690" s="30"/>
      <c r="G690" s="30"/>
      <c r="H690" s="30"/>
      <c r="I690" s="30"/>
      <c r="J690" s="65"/>
      <c r="K690" s="83"/>
      <c r="L690" s="30"/>
      <c r="M690" s="39"/>
    </row>
    <row r="691" spans="1:13" x14ac:dyDescent="0.2">
      <c r="A691" s="30"/>
      <c r="B691" s="30"/>
      <c r="C691" s="30"/>
      <c r="D691" s="30"/>
      <c r="E691" s="30"/>
      <c r="F691" s="30"/>
      <c r="G691" s="30"/>
      <c r="H691" s="30"/>
      <c r="I691" s="30"/>
      <c r="J691" s="65"/>
      <c r="K691" s="83"/>
      <c r="L691" s="30"/>
      <c r="M691" s="39"/>
    </row>
    <row r="692" spans="1:13" x14ac:dyDescent="0.2">
      <c r="A692" s="30"/>
      <c r="B692" s="30"/>
      <c r="C692" s="30"/>
      <c r="D692" s="30"/>
      <c r="E692" s="30"/>
      <c r="F692" s="30"/>
      <c r="G692" s="30"/>
      <c r="H692" s="30"/>
      <c r="I692" s="30"/>
      <c r="J692" s="65"/>
      <c r="K692" s="83"/>
      <c r="L692" s="30"/>
      <c r="M692" s="39"/>
    </row>
    <row r="693" spans="1:13" x14ac:dyDescent="0.2">
      <c r="A693" s="30"/>
      <c r="B693" s="30"/>
      <c r="C693" s="30"/>
      <c r="D693" s="30"/>
      <c r="E693" s="30"/>
      <c r="F693" s="30"/>
      <c r="G693" s="30"/>
      <c r="H693" s="30"/>
      <c r="I693" s="30"/>
      <c r="J693" s="65"/>
      <c r="K693" s="83"/>
      <c r="L693" s="30"/>
      <c r="M693" s="39"/>
    </row>
    <row r="694" spans="1:13" x14ac:dyDescent="0.2">
      <c r="A694" s="30"/>
      <c r="B694" s="30"/>
      <c r="C694" s="30"/>
      <c r="D694" s="30"/>
      <c r="E694" s="30"/>
      <c r="F694" s="30"/>
      <c r="G694" s="30"/>
      <c r="H694" s="30"/>
      <c r="I694" s="30"/>
      <c r="J694" s="65"/>
      <c r="K694" s="83"/>
      <c r="L694" s="30"/>
      <c r="M694" s="39"/>
    </row>
    <row r="695" spans="1:13" x14ac:dyDescent="0.2">
      <c r="A695" s="30"/>
      <c r="B695" s="30"/>
      <c r="C695" s="30"/>
      <c r="D695" s="30"/>
      <c r="E695" s="30"/>
      <c r="F695" s="30"/>
      <c r="G695" s="30"/>
      <c r="H695" s="30"/>
      <c r="I695" s="30"/>
      <c r="J695" s="65"/>
      <c r="K695" s="83"/>
      <c r="L695" s="30"/>
      <c r="M695" s="39"/>
    </row>
    <row r="696" spans="1:13" x14ac:dyDescent="0.2">
      <c r="A696" s="30"/>
      <c r="B696" s="30"/>
      <c r="C696" s="30"/>
      <c r="D696" s="30"/>
      <c r="E696" s="30"/>
      <c r="F696" s="30"/>
      <c r="G696" s="30"/>
      <c r="H696" s="30"/>
      <c r="I696" s="30"/>
      <c r="J696" s="65"/>
      <c r="K696" s="83"/>
      <c r="L696" s="30"/>
      <c r="M696" s="39"/>
    </row>
    <row r="697" spans="1:13" x14ac:dyDescent="0.2">
      <c r="A697" s="30"/>
      <c r="B697" s="30"/>
      <c r="C697" s="30"/>
      <c r="D697" s="30"/>
      <c r="E697" s="30"/>
      <c r="F697" s="30"/>
      <c r="G697" s="30"/>
      <c r="H697" s="30"/>
      <c r="I697" s="30"/>
      <c r="J697" s="65"/>
      <c r="K697" s="83"/>
      <c r="L697" s="30"/>
      <c r="M697" s="39"/>
    </row>
    <row r="698" spans="1:13" x14ac:dyDescent="0.2">
      <c r="A698" s="30"/>
      <c r="B698" s="30"/>
      <c r="C698" s="30"/>
      <c r="D698" s="30"/>
      <c r="E698" s="30"/>
      <c r="F698" s="30"/>
      <c r="G698" s="30"/>
      <c r="H698" s="30"/>
      <c r="I698" s="30"/>
      <c r="J698" s="65"/>
      <c r="K698" s="83"/>
      <c r="L698" s="30"/>
      <c r="M698" s="39"/>
    </row>
    <row r="699" spans="1:13" x14ac:dyDescent="0.2">
      <c r="A699" s="30"/>
      <c r="B699" s="30"/>
      <c r="C699" s="30"/>
      <c r="D699" s="30"/>
      <c r="E699" s="30"/>
      <c r="F699" s="30"/>
      <c r="G699" s="30"/>
      <c r="H699" s="30"/>
      <c r="I699" s="30"/>
      <c r="J699" s="65"/>
      <c r="K699" s="83"/>
      <c r="L699" s="30"/>
      <c r="M699" s="39"/>
    </row>
    <row r="700" spans="1:13" x14ac:dyDescent="0.2">
      <c r="A700" s="30"/>
      <c r="B700" s="30"/>
      <c r="C700" s="30"/>
      <c r="D700" s="30"/>
      <c r="E700" s="30"/>
      <c r="F700" s="30"/>
      <c r="G700" s="30"/>
      <c r="H700" s="30"/>
      <c r="I700" s="30"/>
      <c r="J700" s="65"/>
      <c r="K700" s="83"/>
      <c r="L700" s="30"/>
      <c r="M700" s="39"/>
    </row>
    <row r="701" spans="1:13" x14ac:dyDescent="0.2">
      <c r="A701" s="30"/>
      <c r="B701" s="30"/>
      <c r="C701" s="30"/>
      <c r="D701" s="30"/>
      <c r="E701" s="30"/>
      <c r="F701" s="30"/>
      <c r="G701" s="30"/>
      <c r="H701" s="30"/>
      <c r="I701" s="30"/>
      <c r="J701" s="65"/>
      <c r="K701" s="83"/>
      <c r="L701" s="30"/>
      <c r="M701" s="39"/>
    </row>
    <row r="702" spans="1:13" x14ac:dyDescent="0.2">
      <c r="A702" s="30"/>
      <c r="B702" s="30"/>
      <c r="C702" s="30"/>
      <c r="D702" s="30"/>
      <c r="E702" s="30"/>
      <c r="F702" s="30"/>
      <c r="G702" s="30"/>
      <c r="H702" s="30"/>
      <c r="I702" s="30"/>
      <c r="J702" s="65"/>
      <c r="K702" s="83"/>
      <c r="L702" s="30"/>
      <c r="M702" s="39"/>
    </row>
    <row r="703" spans="1:13" x14ac:dyDescent="0.2">
      <c r="A703" s="30"/>
      <c r="B703" s="30"/>
      <c r="C703" s="30"/>
      <c r="D703" s="30"/>
      <c r="E703" s="30"/>
      <c r="F703" s="30"/>
      <c r="G703" s="30"/>
      <c r="H703" s="30"/>
      <c r="I703" s="30"/>
      <c r="J703" s="65"/>
      <c r="K703" s="83"/>
      <c r="L703" s="30"/>
      <c r="M703" s="39"/>
    </row>
    <row r="704" spans="1:13" x14ac:dyDescent="0.2">
      <c r="A704" s="30"/>
      <c r="B704" s="30"/>
      <c r="C704" s="30"/>
      <c r="D704" s="30"/>
      <c r="E704" s="30"/>
      <c r="F704" s="30"/>
      <c r="G704" s="30"/>
      <c r="H704" s="30"/>
      <c r="I704" s="30"/>
      <c r="J704" s="65"/>
      <c r="K704" s="83"/>
      <c r="L704" s="30"/>
      <c r="M704" s="39"/>
    </row>
    <row r="705" spans="1:13" x14ac:dyDescent="0.2">
      <c r="A705" s="30"/>
      <c r="B705" s="30"/>
      <c r="C705" s="30"/>
      <c r="D705" s="30"/>
      <c r="E705" s="30"/>
      <c r="F705" s="30"/>
      <c r="G705" s="30"/>
      <c r="H705" s="30"/>
      <c r="I705" s="30"/>
      <c r="J705" s="65"/>
      <c r="K705" s="83"/>
      <c r="L705" s="30"/>
      <c r="M705" s="39"/>
    </row>
    <row r="706" spans="1:13" x14ac:dyDescent="0.2">
      <c r="A706" s="30"/>
      <c r="B706" s="30"/>
      <c r="C706" s="30"/>
      <c r="D706" s="30"/>
      <c r="E706" s="30"/>
      <c r="F706" s="30"/>
      <c r="G706" s="30"/>
      <c r="H706" s="30"/>
      <c r="I706" s="30"/>
      <c r="J706" s="65"/>
      <c r="K706" s="83"/>
      <c r="L706" s="30"/>
      <c r="M706" s="39"/>
    </row>
    <row r="707" spans="1:13" x14ac:dyDescent="0.2">
      <c r="A707" s="30"/>
      <c r="B707" s="30"/>
      <c r="C707" s="30"/>
      <c r="D707" s="30"/>
      <c r="E707" s="30"/>
      <c r="F707" s="30"/>
      <c r="G707" s="30"/>
      <c r="H707" s="30"/>
      <c r="I707" s="30"/>
      <c r="J707" s="65"/>
      <c r="K707" s="83"/>
      <c r="L707" s="30"/>
      <c r="M707" s="39"/>
    </row>
    <row r="708" spans="1:13" x14ac:dyDescent="0.2">
      <c r="A708" s="30"/>
      <c r="B708" s="30"/>
      <c r="C708" s="30"/>
      <c r="D708" s="30"/>
      <c r="E708" s="30"/>
      <c r="F708" s="30"/>
      <c r="G708" s="30"/>
      <c r="H708" s="30"/>
      <c r="I708" s="30"/>
      <c r="J708" s="65"/>
      <c r="K708" s="83"/>
      <c r="L708" s="30"/>
      <c r="M708" s="39"/>
    </row>
    <row r="709" spans="1:13" x14ac:dyDescent="0.2">
      <c r="A709" s="30"/>
      <c r="B709" s="30"/>
      <c r="C709" s="30"/>
      <c r="D709" s="30"/>
      <c r="E709" s="30"/>
      <c r="F709" s="30"/>
      <c r="G709" s="30"/>
      <c r="H709" s="30"/>
      <c r="I709" s="30"/>
      <c r="J709" s="65"/>
      <c r="K709" s="83"/>
      <c r="L709" s="30"/>
      <c r="M709" s="39"/>
    </row>
    <row r="710" spans="1:13" x14ac:dyDescent="0.2">
      <c r="A710" s="30"/>
      <c r="B710" s="30"/>
      <c r="C710" s="30"/>
      <c r="D710" s="30"/>
      <c r="E710" s="30"/>
      <c r="F710" s="30"/>
      <c r="G710" s="30"/>
      <c r="H710" s="30"/>
      <c r="I710" s="30"/>
      <c r="J710" s="65"/>
      <c r="K710" s="83"/>
      <c r="L710" s="30"/>
      <c r="M710" s="39"/>
    </row>
    <row r="711" spans="1:13" x14ac:dyDescent="0.2">
      <c r="A711" s="30"/>
      <c r="B711" s="30"/>
      <c r="C711" s="30"/>
      <c r="D711" s="30"/>
      <c r="E711" s="30"/>
      <c r="F711" s="30"/>
      <c r="G711" s="30"/>
      <c r="H711" s="30"/>
      <c r="I711" s="30"/>
      <c r="J711" s="65"/>
      <c r="K711" s="83"/>
      <c r="L711" s="30"/>
      <c r="M711" s="39"/>
    </row>
    <row r="712" spans="1:13" x14ac:dyDescent="0.2">
      <c r="A712" s="30"/>
      <c r="B712" s="30"/>
      <c r="C712" s="30"/>
      <c r="D712" s="30"/>
      <c r="E712" s="30"/>
      <c r="F712" s="30"/>
      <c r="G712" s="30"/>
      <c r="H712" s="30"/>
      <c r="I712" s="30"/>
      <c r="J712" s="65"/>
      <c r="K712" s="83"/>
      <c r="L712" s="30"/>
      <c r="M712" s="39"/>
    </row>
    <row r="713" spans="1:13" x14ac:dyDescent="0.2">
      <c r="A713" s="30"/>
      <c r="B713" s="30"/>
      <c r="C713" s="30"/>
      <c r="D713" s="30"/>
      <c r="E713" s="30"/>
      <c r="F713" s="30"/>
      <c r="G713" s="30"/>
      <c r="H713" s="30"/>
      <c r="I713" s="30"/>
      <c r="J713" s="65"/>
      <c r="K713" s="83"/>
      <c r="L713" s="30"/>
      <c r="M713" s="39"/>
    </row>
    <row r="714" spans="1:13" x14ac:dyDescent="0.2">
      <c r="A714" s="30"/>
      <c r="B714" s="30"/>
      <c r="C714" s="30"/>
      <c r="D714" s="30"/>
      <c r="E714" s="30"/>
      <c r="F714" s="30"/>
      <c r="G714" s="30"/>
      <c r="H714" s="30"/>
      <c r="I714" s="30"/>
      <c r="J714" s="65"/>
      <c r="K714" s="83"/>
      <c r="L714" s="30"/>
      <c r="M714" s="39"/>
    </row>
    <row r="715" spans="1:13" x14ac:dyDescent="0.2">
      <c r="A715" s="30"/>
      <c r="B715" s="30"/>
      <c r="C715" s="30"/>
      <c r="D715" s="30"/>
      <c r="E715" s="30"/>
      <c r="F715" s="30"/>
      <c r="G715" s="30"/>
      <c r="H715" s="30"/>
      <c r="I715" s="30"/>
      <c r="J715" s="65"/>
      <c r="K715" s="83"/>
      <c r="L715" s="30"/>
      <c r="M715" s="39"/>
    </row>
    <row r="716" spans="1:13" x14ac:dyDescent="0.2">
      <c r="A716" s="30"/>
      <c r="B716" s="30"/>
      <c r="C716" s="30"/>
      <c r="D716" s="30"/>
      <c r="E716" s="30"/>
      <c r="F716" s="30"/>
      <c r="G716" s="30"/>
      <c r="H716" s="30"/>
      <c r="I716" s="30"/>
      <c r="J716" s="65"/>
      <c r="K716" s="83"/>
      <c r="L716" s="30"/>
      <c r="M716" s="39"/>
    </row>
    <row r="717" spans="1:13" x14ac:dyDescent="0.2">
      <c r="A717" s="30"/>
      <c r="B717" s="30"/>
      <c r="C717" s="30"/>
      <c r="D717" s="30"/>
      <c r="E717" s="30"/>
      <c r="F717" s="30"/>
      <c r="G717" s="30"/>
      <c r="H717" s="30"/>
      <c r="I717" s="30"/>
      <c r="J717" s="65"/>
      <c r="K717" s="83"/>
      <c r="L717" s="30"/>
      <c r="M717" s="39"/>
    </row>
    <row r="718" spans="1:13" x14ac:dyDescent="0.2">
      <c r="A718" s="30"/>
      <c r="B718" s="30"/>
      <c r="C718" s="30"/>
      <c r="D718" s="30"/>
      <c r="E718" s="30"/>
      <c r="F718" s="30"/>
      <c r="G718" s="30"/>
      <c r="H718" s="30"/>
      <c r="I718" s="30"/>
      <c r="J718" s="65"/>
      <c r="K718" s="83"/>
      <c r="L718" s="30"/>
      <c r="M718" s="39"/>
    </row>
    <row r="719" spans="1:13" x14ac:dyDescent="0.2">
      <c r="A719" s="30"/>
      <c r="B719" s="30"/>
      <c r="C719" s="30"/>
      <c r="D719" s="30"/>
      <c r="E719" s="30"/>
      <c r="F719" s="30"/>
      <c r="G719" s="30"/>
      <c r="H719" s="30"/>
      <c r="I719" s="30"/>
      <c r="J719" s="65"/>
      <c r="K719" s="83"/>
      <c r="L719" s="30"/>
      <c r="M719" s="39"/>
    </row>
    <row r="720" spans="1:13" x14ac:dyDescent="0.2">
      <c r="A720" s="30"/>
      <c r="B720" s="30"/>
      <c r="C720" s="30"/>
      <c r="D720" s="30"/>
      <c r="E720" s="30"/>
      <c r="F720" s="30"/>
      <c r="G720" s="30"/>
      <c r="H720" s="30"/>
      <c r="I720" s="30"/>
      <c r="J720" s="65"/>
      <c r="K720" s="83"/>
      <c r="L720" s="30"/>
      <c r="M720" s="39"/>
    </row>
    <row r="721" spans="1:13" x14ac:dyDescent="0.2">
      <c r="A721" s="30"/>
      <c r="B721" s="30"/>
      <c r="C721" s="30"/>
      <c r="D721" s="30"/>
      <c r="E721" s="30"/>
      <c r="F721" s="30"/>
      <c r="G721" s="30"/>
      <c r="H721" s="30"/>
      <c r="I721" s="30"/>
      <c r="J721" s="65"/>
      <c r="K721" s="83"/>
      <c r="L721" s="30"/>
      <c r="M721" s="39"/>
    </row>
    <row r="722" spans="1:13" x14ac:dyDescent="0.2">
      <c r="A722" s="30"/>
      <c r="B722" s="30"/>
      <c r="C722" s="30"/>
      <c r="D722" s="30"/>
      <c r="E722" s="30"/>
      <c r="F722" s="30"/>
      <c r="G722" s="30"/>
      <c r="H722" s="30"/>
      <c r="I722" s="30"/>
      <c r="J722" s="65"/>
      <c r="K722" s="83"/>
      <c r="L722" s="30"/>
      <c r="M722" s="39"/>
    </row>
    <row r="723" spans="1:13" x14ac:dyDescent="0.2">
      <c r="A723" s="30"/>
      <c r="B723" s="30"/>
      <c r="C723" s="30"/>
      <c r="D723" s="30"/>
      <c r="E723" s="30"/>
      <c r="F723" s="30"/>
      <c r="G723" s="30"/>
      <c r="H723" s="30"/>
      <c r="I723" s="30"/>
      <c r="J723" s="65"/>
      <c r="K723" s="83"/>
      <c r="L723" s="30"/>
      <c r="M723" s="39"/>
    </row>
    <row r="724" spans="1:13" x14ac:dyDescent="0.2">
      <c r="A724" s="30"/>
      <c r="B724" s="30"/>
      <c r="C724" s="30"/>
      <c r="D724" s="30"/>
      <c r="E724" s="30"/>
      <c r="F724" s="30"/>
      <c r="G724" s="30"/>
      <c r="H724" s="30"/>
      <c r="I724" s="30"/>
      <c r="J724" s="65"/>
      <c r="K724" s="83"/>
      <c r="L724" s="30"/>
      <c r="M724" s="39"/>
    </row>
    <row r="725" spans="1:13" x14ac:dyDescent="0.2">
      <c r="A725" s="30"/>
      <c r="B725" s="30"/>
      <c r="C725" s="30"/>
      <c r="D725" s="30"/>
      <c r="E725" s="30"/>
      <c r="F725" s="30"/>
      <c r="G725" s="30"/>
      <c r="H725" s="30"/>
      <c r="I725" s="30"/>
      <c r="J725" s="65"/>
      <c r="K725" s="83"/>
      <c r="L725" s="30"/>
      <c r="M725" s="39"/>
    </row>
    <row r="726" spans="1:13" x14ac:dyDescent="0.2">
      <c r="A726" s="30"/>
      <c r="B726" s="30"/>
      <c r="C726" s="30"/>
      <c r="D726" s="30"/>
      <c r="E726" s="30"/>
      <c r="F726" s="30"/>
      <c r="G726" s="30"/>
      <c r="H726" s="30"/>
      <c r="I726" s="30"/>
      <c r="J726" s="65"/>
      <c r="K726" s="83"/>
      <c r="L726" s="30"/>
      <c r="M726" s="39"/>
    </row>
    <row r="727" spans="1:13" x14ac:dyDescent="0.2">
      <c r="A727" s="30"/>
      <c r="B727" s="30"/>
      <c r="C727" s="30"/>
      <c r="D727" s="30"/>
      <c r="E727" s="30"/>
      <c r="F727" s="30"/>
      <c r="G727" s="30"/>
      <c r="H727" s="30"/>
      <c r="I727" s="30"/>
      <c r="J727" s="65"/>
      <c r="K727" s="83"/>
      <c r="L727" s="30"/>
      <c r="M727" s="39"/>
    </row>
    <row r="728" spans="1:13" x14ac:dyDescent="0.2">
      <c r="A728" s="30"/>
      <c r="B728" s="30"/>
      <c r="C728" s="30"/>
      <c r="D728" s="30"/>
      <c r="E728" s="30"/>
      <c r="F728" s="30"/>
      <c r="G728" s="30"/>
      <c r="H728" s="30"/>
      <c r="I728" s="30"/>
      <c r="J728" s="65"/>
      <c r="K728" s="83"/>
      <c r="L728" s="30"/>
      <c r="M728" s="39"/>
    </row>
    <row r="729" spans="1:13" x14ac:dyDescent="0.2">
      <c r="A729" s="30"/>
      <c r="B729" s="30"/>
      <c r="C729" s="30"/>
      <c r="D729" s="30"/>
      <c r="E729" s="30"/>
      <c r="F729" s="30"/>
      <c r="G729" s="30"/>
      <c r="H729" s="30"/>
      <c r="I729" s="30"/>
      <c r="J729" s="65"/>
      <c r="K729" s="83"/>
      <c r="L729" s="30"/>
      <c r="M729" s="39"/>
    </row>
    <row r="730" spans="1:13" x14ac:dyDescent="0.2">
      <c r="A730" s="30"/>
      <c r="B730" s="30"/>
      <c r="C730" s="30"/>
      <c r="D730" s="30"/>
      <c r="E730" s="30"/>
      <c r="F730" s="30"/>
      <c r="G730" s="30"/>
      <c r="H730" s="30"/>
      <c r="I730" s="30"/>
      <c r="J730" s="65"/>
      <c r="K730" s="83"/>
      <c r="L730" s="30"/>
      <c r="M730" s="39"/>
    </row>
    <row r="731" spans="1:13" x14ac:dyDescent="0.2">
      <c r="A731" s="30"/>
      <c r="B731" s="30"/>
      <c r="C731" s="30"/>
      <c r="D731" s="30"/>
      <c r="E731" s="30"/>
      <c r="F731" s="30"/>
      <c r="G731" s="30"/>
      <c r="H731" s="30"/>
      <c r="I731" s="30"/>
      <c r="J731" s="65"/>
      <c r="K731" s="83"/>
      <c r="L731" s="30"/>
      <c r="M731" s="39"/>
    </row>
    <row r="732" spans="1:13" x14ac:dyDescent="0.2">
      <c r="A732" s="30"/>
      <c r="B732" s="30"/>
      <c r="C732" s="30"/>
      <c r="D732" s="30"/>
      <c r="E732" s="30"/>
      <c r="F732" s="30"/>
      <c r="G732" s="30"/>
      <c r="H732" s="30"/>
      <c r="I732" s="30"/>
      <c r="J732" s="65"/>
      <c r="K732" s="83"/>
      <c r="L732" s="30"/>
      <c r="M732" s="39"/>
    </row>
    <row r="733" spans="1:13" x14ac:dyDescent="0.2">
      <c r="A733" s="30"/>
      <c r="B733" s="30"/>
      <c r="C733" s="30"/>
      <c r="D733" s="30"/>
      <c r="E733" s="30"/>
      <c r="F733" s="30"/>
      <c r="G733" s="30"/>
      <c r="H733" s="30"/>
      <c r="I733" s="30"/>
      <c r="J733" s="65"/>
      <c r="K733" s="83"/>
      <c r="L733" s="30"/>
      <c r="M733" s="39"/>
    </row>
    <row r="734" spans="1:13" x14ac:dyDescent="0.2">
      <c r="A734" s="30"/>
      <c r="B734" s="30"/>
      <c r="C734" s="30"/>
      <c r="D734" s="30"/>
      <c r="E734" s="30"/>
      <c r="F734" s="30"/>
      <c r="G734" s="30"/>
      <c r="H734" s="30"/>
      <c r="I734" s="30"/>
      <c r="J734" s="65"/>
      <c r="K734" s="83"/>
      <c r="L734" s="30"/>
      <c r="M734" s="39"/>
    </row>
    <row r="735" spans="1:13" x14ac:dyDescent="0.2">
      <c r="A735" s="30"/>
      <c r="B735" s="30"/>
      <c r="C735" s="30"/>
      <c r="D735" s="30"/>
      <c r="E735" s="30"/>
      <c r="F735" s="30"/>
      <c r="G735" s="30"/>
      <c r="H735" s="30"/>
      <c r="I735" s="30"/>
      <c r="J735" s="65"/>
      <c r="K735" s="83"/>
      <c r="L735" s="30"/>
      <c r="M735" s="39"/>
    </row>
    <row r="736" spans="1:13" x14ac:dyDescent="0.2">
      <c r="A736" s="30"/>
      <c r="B736" s="30"/>
      <c r="C736" s="30"/>
      <c r="D736" s="30"/>
      <c r="E736" s="30"/>
      <c r="F736" s="30"/>
      <c r="G736" s="30"/>
      <c r="H736" s="30"/>
      <c r="I736" s="30"/>
      <c r="J736" s="65"/>
      <c r="K736" s="83"/>
      <c r="L736" s="30"/>
      <c r="M736" s="39"/>
    </row>
    <row r="737" spans="1:13" x14ac:dyDescent="0.2">
      <c r="A737" s="30"/>
      <c r="B737" s="30"/>
      <c r="C737" s="30"/>
      <c r="D737" s="30"/>
      <c r="E737" s="30"/>
      <c r="F737" s="30"/>
      <c r="G737" s="30"/>
      <c r="H737" s="30"/>
      <c r="I737" s="30"/>
      <c r="J737" s="65"/>
      <c r="K737" s="83"/>
      <c r="L737" s="30"/>
      <c r="M737" s="39"/>
    </row>
    <row r="738" spans="1:13" x14ac:dyDescent="0.2">
      <c r="A738" s="30"/>
      <c r="B738" s="30"/>
      <c r="C738" s="30"/>
      <c r="D738" s="30"/>
      <c r="E738" s="30"/>
      <c r="F738" s="30"/>
      <c r="G738" s="30"/>
      <c r="H738" s="30"/>
      <c r="I738" s="30"/>
      <c r="J738" s="65"/>
      <c r="K738" s="83"/>
      <c r="L738" s="30"/>
      <c r="M738" s="39"/>
    </row>
    <row r="739" spans="1:13" x14ac:dyDescent="0.2">
      <c r="A739" s="30"/>
      <c r="B739" s="30"/>
      <c r="C739" s="30"/>
      <c r="D739" s="30"/>
      <c r="E739" s="30"/>
      <c r="F739" s="30"/>
      <c r="G739" s="30"/>
      <c r="H739" s="30"/>
      <c r="I739" s="30"/>
      <c r="J739" s="65"/>
      <c r="K739" s="83"/>
      <c r="L739" s="30"/>
      <c r="M739" s="39"/>
    </row>
    <row r="740" spans="1:13" x14ac:dyDescent="0.2">
      <c r="A740" s="30"/>
      <c r="B740" s="30"/>
      <c r="C740" s="30"/>
      <c r="D740" s="30"/>
      <c r="E740" s="30"/>
      <c r="F740" s="30"/>
      <c r="G740" s="30"/>
      <c r="H740" s="30"/>
      <c r="I740" s="30"/>
      <c r="J740" s="65"/>
      <c r="K740" s="83"/>
      <c r="L740" s="30"/>
      <c r="M740" s="39"/>
    </row>
    <row r="741" spans="1:13" x14ac:dyDescent="0.2">
      <c r="A741" s="30"/>
      <c r="B741" s="30"/>
      <c r="C741" s="30"/>
      <c r="D741" s="30"/>
      <c r="E741" s="30"/>
      <c r="F741" s="30"/>
      <c r="G741" s="30"/>
      <c r="H741" s="30"/>
      <c r="I741" s="30"/>
      <c r="J741" s="65"/>
      <c r="K741" s="83"/>
      <c r="L741" s="30"/>
      <c r="M741" s="39"/>
    </row>
    <row r="742" spans="1:13" x14ac:dyDescent="0.2">
      <c r="A742" s="30"/>
      <c r="B742" s="30"/>
      <c r="C742" s="30"/>
      <c r="D742" s="30"/>
      <c r="E742" s="30"/>
      <c r="F742" s="30"/>
      <c r="G742" s="30"/>
      <c r="H742" s="30"/>
      <c r="I742" s="30"/>
      <c r="J742" s="65"/>
      <c r="K742" s="83"/>
      <c r="L742" s="30"/>
      <c r="M742" s="39"/>
    </row>
    <row r="743" spans="1:13" x14ac:dyDescent="0.2">
      <c r="A743" s="30"/>
      <c r="B743" s="30"/>
      <c r="C743" s="30"/>
      <c r="D743" s="30"/>
      <c r="E743" s="30"/>
      <c r="F743" s="30"/>
      <c r="G743" s="30"/>
      <c r="H743" s="30"/>
      <c r="I743" s="30"/>
      <c r="J743" s="65"/>
      <c r="K743" s="83"/>
      <c r="L743" s="30"/>
      <c r="M743" s="39"/>
    </row>
    <row r="744" spans="1:13" x14ac:dyDescent="0.2">
      <c r="A744" s="30"/>
      <c r="B744" s="30"/>
      <c r="C744" s="30"/>
      <c r="D744" s="30"/>
      <c r="E744" s="30"/>
      <c r="F744" s="30"/>
      <c r="G744" s="30"/>
      <c r="H744" s="30"/>
      <c r="I744" s="30"/>
      <c r="J744" s="65"/>
      <c r="K744" s="83"/>
      <c r="L744" s="30"/>
      <c r="M744" s="39"/>
    </row>
    <row r="745" spans="1:13" x14ac:dyDescent="0.2">
      <c r="A745" s="30"/>
      <c r="B745" s="30"/>
      <c r="C745" s="30"/>
      <c r="D745" s="30"/>
      <c r="E745" s="30"/>
      <c r="F745" s="30"/>
      <c r="G745" s="30"/>
      <c r="H745" s="30"/>
      <c r="I745" s="30"/>
      <c r="J745" s="65"/>
      <c r="K745" s="83"/>
      <c r="L745" s="30"/>
      <c r="M745" s="39"/>
    </row>
    <row r="746" spans="1:13" x14ac:dyDescent="0.2">
      <c r="A746" s="30"/>
      <c r="B746" s="30"/>
      <c r="C746" s="30"/>
      <c r="D746" s="30"/>
      <c r="E746" s="30"/>
      <c r="F746" s="30"/>
      <c r="G746" s="30"/>
      <c r="H746" s="30"/>
      <c r="I746" s="30"/>
      <c r="J746" s="65"/>
      <c r="K746" s="83"/>
      <c r="L746" s="30"/>
      <c r="M746" s="39"/>
    </row>
    <row r="747" spans="1:13" x14ac:dyDescent="0.2">
      <c r="A747" s="30"/>
      <c r="B747" s="30"/>
      <c r="C747" s="30"/>
      <c r="D747" s="30"/>
      <c r="E747" s="30"/>
      <c r="F747" s="30"/>
      <c r="G747" s="30"/>
      <c r="H747" s="30"/>
      <c r="I747" s="30"/>
      <c r="J747" s="65"/>
      <c r="K747" s="83"/>
      <c r="L747" s="30"/>
      <c r="M747" s="39"/>
    </row>
    <row r="748" spans="1:13" x14ac:dyDescent="0.2">
      <c r="A748" s="30"/>
      <c r="B748" s="30"/>
      <c r="C748" s="30"/>
      <c r="D748" s="30"/>
      <c r="E748" s="30"/>
      <c r="F748" s="30"/>
      <c r="G748" s="30"/>
      <c r="H748" s="30"/>
      <c r="I748" s="30"/>
      <c r="J748" s="65"/>
      <c r="K748" s="83"/>
      <c r="L748" s="30"/>
      <c r="M748" s="39"/>
    </row>
    <row r="749" spans="1:13" x14ac:dyDescent="0.2">
      <c r="A749" s="30"/>
      <c r="B749" s="30"/>
      <c r="C749" s="30"/>
      <c r="D749" s="30"/>
      <c r="E749" s="30"/>
      <c r="F749" s="30"/>
      <c r="G749" s="30"/>
      <c r="H749" s="30"/>
      <c r="I749" s="30"/>
      <c r="J749" s="65"/>
      <c r="K749" s="83"/>
      <c r="L749" s="30"/>
      <c r="M749" s="39"/>
    </row>
    <row r="750" spans="1:13" x14ac:dyDescent="0.2">
      <c r="A750" s="30"/>
      <c r="B750" s="30"/>
      <c r="C750" s="30"/>
      <c r="D750" s="30"/>
      <c r="E750" s="30"/>
      <c r="F750" s="30"/>
      <c r="G750" s="30"/>
      <c r="H750" s="30"/>
      <c r="I750" s="30"/>
      <c r="J750" s="65"/>
      <c r="K750" s="83"/>
      <c r="L750" s="30"/>
      <c r="M750" s="39"/>
    </row>
    <row r="751" spans="1:13" x14ac:dyDescent="0.2">
      <c r="A751" s="30"/>
      <c r="B751" s="30"/>
      <c r="C751" s="30"/>
      <c r="D751" s="30"/>
      <c r="E751" s="30"/>
      <c r="F751" s="30"/>
      <c r="G751" s="30"/>
      <c r="H751" s="30"/>
      <c r="I751" s="30"/>
      <c r="J751" s="65"/>
      <c r="K751" s="83"/>
      <c r="L751" s="30"/>
      <c r="M751" s="39"/>
    </row>
    <row r="752" spans="1:13" x14ac:dyDescent="0.2">
      <c r="A752" s="30"/>
      <c r="B752" s="30"/>
      <c r="C752" s="30"/>
      <c r="D752" s="30"/>
      <c r="E752" s="30"/>
      <c r="F752" s="30"/>
      <c r="G752" s="30"/>
      <c r="H752" s="30"/>
      <c r="I752" s="30"/>
      <c r="J752" s="65"/>
      <c r="K752" s="83"/>
      <c r="L752" s="30"/>
      <c r="M752" s="39"/>
    </row>
    <row r="753" spans="1:13" x14ac:dyDescent="0.2">
      <c r="A753" s="30"/>
      <c r="B753" s="30"/>
      <c r="C753" s="30"/>
      <c r="D753" s="30"/>
      <c r="E753" s="30"/>
      <c r="F753" s="30"/>
      <c r="G753" s="30"/>
      <c r="H753" s="30"/>
      <c r="I753" s="30"/>
      <c r="J753" s="65"/>
      <c r="K753" s="83"/>
      <c r="L753" s="30"/>
      <c r="M753" s="39"/>
    </row>
    <row r="754" spans="1:13" x14ac:dyDescent="0.2">
      <c r="A754" s="30"/>
      <c r="B754" s="30"/>
      <c r="C754" s="30"/>
      <c r="D754" s="30"/>
      <c r="E754" s="30"/>
      <c r="F754" s="30"/>
      <c r="G754" s="30"/>
      <c r="H754" s="30"/>
      <c r="I754" s="30"/>
      <c r="J754" s="65"/>
      <c r="K754" s="83"/>
      <c r="L754" s="30"/>
      <c r="M754" s="39"/>
    </row>
    <row r="755" spans="1:13" x14ac:dyDescent="0.2">
      <c r="A755" s="30"/>
      <c r="B755" s="30"/>
      <c r="C755" s="30"/>
      <c r="D755" s="30"/>
      <c r="E755" s="30"/>
      <c r="F755" s="30"/>
      <c r="G755" s="30"/>
      <c r="H755" s="30"/>
      <c r="I755" s="30"/>
      <c r="J755" s="65"/>
      <c r="K755" s="83"/>
      <c r="L755" s="30"/>
      <c r="M755" s="39"/>
    </row>
    <row r="756" spans="1:13" x14ac:dyDescent="0.2">
      <c r="A756" s="30"/>
      <c r="B756" s="30"/>
      <c r="C756" s="30"/>
      <c r="D756" s="30"/>
      <c r="E756" s="30"/>
      <c r="F756" s="30"/>
      <c r="G756" s="30"/>
      <c r="H756" s="30"/>
      <c r="I756" s="30"/>
      <c r="J756" s="65"/>
      <c r="K756" s="83"/>
      <c r="L756" s="30"/>
      <c r="M756" s="39"/>
    </row>
    <row r="757" spans="1:13" x14ac:dyDescent="0.2">
      <c r="A757" s="30"/>
      <c r="B757" s="30"/>
      <c r="C757" s="30"/>
      <c r="D757" s="30"/>
      <c r="E757" s="30"/>
      <c r="F757" s="30"/>
      <c r="G757" s="30"/>
      <c r="H757" s="30"/>
      <c r="I757" s="30"/>
      <c r="J757" s="65"/>
      <c r="K757" s="83"/>
      <c r="L757" s="30"/>
      <c r="M757" s="39"/>
    </row>
    <row r="758" spans="1:13" x14ac:dyDescent="0.2">
      <c r="A758" s="30"/>
      <c r="B758" s="30"/>
      <c r="C758" s="30"/>
      <c r="D758" s="30"/>
      <c r="E758" s="30"/>
      <c r="F758" s="30"/>
      <c r="G758" s="30"/>
      <c r="H758" s="30"/>
      <c r="I758" s="30"/>
      <c r="J758" s="65"/>
      <c r="K758" s="83"/>
      <c r="L758" s="30"/>
      <c r="M758" s="39"/>
    </row>
    <row r="759" spans="1:13" x14ac:dyDescent="0.2">
      <c r="A759" s="30"/>
      <c r="B759" s="30"/>
      <c r="C759" s="30"/>
      <c r="D759" s="30"/>
      <c r="E759" s="30"/>
      <c r="F759" s="30"/>
      <c r="G759" s="30"/>
      <c r="H759" s="30"/>
      <c r="I759" s="30"/>
      <c r="J759" s="65"/>
      <c r="K759" s="83"/>
      <c r="L759" s="30"/>
      <c r="M759" s="39"/>
    </row>
    <row r="760" spans="1:13" x14ac:dyDescent="0.2">
      <c r="A760" s="30"/>
      <c r="B760" s="30"/>
      <c r="C760" s="30"/>
      <c r="D760" s="30"/>
      <c r="E760" s="30"/>
      <c r="F760" s="30"/>
      <c r="G760" s="30"/>
      <c r="H760" s="30"/>
      <c r="I760" s="30"/>
      <c r="J760" s="65"/>
      <c r="K760" s="83"/>
      <c r="L760" s="30"/>
      <c r="M760" s="39"/>
    </row>
    <row r="761" spans="1:13" x14ac:dyDescent="0.2">
      <c r="A761" s="30"/>
      <c r="B761" s="30"/>
      <c r="C761" s="30"/>
      <c r="D761" s="30"/>
      <c r="E761" s="30"/>
      <c r="F761" s="30"/>
      <c r="G761" s="30"/>
      <c r="H761" s="30"/>
      <c r="I761" s="30"/>
      <c r="J761" s="65"/>
      <c r="K761" s="83"/>
      <c r="L761" s="30"/>
      <c r="M761" s="39"/>
    </row>
    <row r="762" spans="1:13" x14ac:dyDescent="0.2">
      <c r="A762" s="30"/>
      <c r="B762" s="30"/>
      <c r="C762" s="30"/>
      <c r="D762" s="30"/>
      <c r="E762" s="30"/>
      <c r="F762" s="30"/>
      <c r="G762" s="30"/>
      <c r="H762" s="30"/>
      <c r="I762" s="30"/>
      <c r="J762" s="65"/>
      <c r="K762" s="83"/>
      <c r="L762" s="30"/>
      <c r="M762" s="39"/>
    </row>
    <row r="763" spans="1:13" x14ac:dyDescent="0.2">
      <c r="A763" s="30"/>
      <c r="B763" s="30"/>
      <c r="C763" s="30"/>
      <c r="D763" s="30"/>
      <c r="E763" s="30"/>
      <c r="F763" s="30"/>
      <c r="G763" s="30"/>
      <c r="H763" s="30"/>
      <c r="I763" s="30"/>
      <c r="J763" s="65"/>
      <c r="K763" s="83"/>
      <c r="L763" s="30"/>
      <c r="M763" s="39"/>
    </row>
    <row r="764" spans="1:13" x14ac:dyDescent="0.2">
      <c r="A764" s="30"/>
      <c r="B764" s="30"/>
      <c r="C764" s="30"/>
      <c r="D764" s="30"/>
      <c r="E764" s="30"/>
      <c r="F764" s="30"/>
      <c r="G764" s="30"/>
      <c r="H764" s="30"/>
      <c r="I764" s="30"/>
      <c r="J764" s="65"/>
      <c r="K764" s="83"/>
      <c r="L764" s="30"/>
      <c r="M764" s="39"/>
    </row>
    <row r="765" spans="1:13" x14ac:dyDescent="0.2">
      <c r="A765" s="30"/>
      <c r="B765" s="30"/>
      <c r="C765" s="30"/>
      <c r="D765" s="30"/>
      <c r="E765" s="30"/>
      <c r="F765" s="30"/>
      <c r="G765" s="30"/>
      <c r="H765" s="30"/>
      <c r="I765" s="30"/>
      <c r="J765" s="65"/>
      <c r="K765" s="83"/>
      <c r="L765" s="30"/>
      <c r="M765" s="39"/>
    </row>
    <row r="766" spans="1:13" x14ac:dyDescent="0.2">
      <c r="A766" s="30"/>
      <c r="B766" s="30"/>
      <c r="C766" s="30"/>
      <c r="D766" s="30"/>
      <c r="E766" s="30"/>
      <c r="F766" s="30"/>
      <c r="G766" s="30"/>
      <c r="H766" s="30"/>
      <c r="I766" s="30"/>
      <c r="J766" s="65"/>
      <c r="K766" s="83"/>
      <c r="L766" s="30"/>
      <c r="M766" s="39"/>
    </row>
    <row r="767" spans="1:13" x14ac:dyDescent="0.2">
      <c r="A767" s="30"/>
      <c r="B767" s="30"/>
      <c r="C767" s="30"/>
      <c r="D767" s="30"/>
      <c r="E767" s="30"/>
      <c r="F767" s="30"/>
      <c r="G767" s="30"/>
      <c r="H767" s="30"/>
      <c r="I767" s="30"/>
      <c r="J767" s="65"/>
      <c r="K767" s="83"/>
      <c r="L767" s="30"/>
      <c r="M767" s="39"/>
    </row>
    <row r="768" spans="1:13" x14ac:dyDescent="0.2">
      <c r="A768" s="30"/>
      <c r="B768" s="30"/>
      <c r="C768" s="30"/>
      <c r="D768" s="30"/>
      <c r="E768" s="30"/>
      <c r="F768" s="30"/>
      <c r="G768" s="30"/>
      <c r="H768" s="30"/>
      <c r="I768" s="30"/>
      <c r="J768" s="65"/>
      <c r="K768" s="83"/>
      <c r="L768" s="30"/>
      <c r="M768" s="39"/>
    </row>
    <row r="769" spans="1:13" x14ac:dyDescent="0.2">
      <c r="A769" s="30"/>
      <c r="B769" s="30"/>
      <c r="C769" s="30"/>
      <c r="D769" s="30"/>
      <c r="E769" s="30"/>
      <c r="F769" s="30"/>
      <c r="G769" s="30"/>
      <c r="H769" s="30"/>
      <c r="I769" s="30"/>
      <c r="J769" s="65"/>
      <c r="K769" s="83"/>
      <c r="L769" s="30"/>
      <c r="M769" s="39"/>
    </row>
    <row r="770" spans="1:13" x14ac:dyDescent="0.2">
      <c r="A770" s="30"/>
      <c r="B770" s="30"/>
      <c r="C770" s="30"/>
      <c r="D770" s="30"/>
      <c r="E770" s="30"/>
      <c r="F770" s="30"/>
      <c r="G770" s="30"/>
      <c r="H770" s="30"/>
      <c r="I770" s="30"/>
      <c r="J770" s="65"/>
      <c r="K770" s="83"/>
      <c r="L770" s="30"/>
      <c r="M770" s="39"/>
    </row>
    <row r="771" spans="1:13" x14ac:dyDescent="0.2">
      <c r="A771" s="30"/>
      <c r="B771" s="30"/>
      <c r="C771" s="30"/>
      <c r="D771" s="30"/>
      <c r="E771" s="30"/>
      <c r="F771" s="30"/>
      <c r="G771" s="30"/>
      <c r="H771" s="30"/>
      <c r="I771" s="30"/>
      <c r="J771" s="65"/>
      <c r="K771" s="83"/>
      <c r="L771" s="30"/>
      <c r="M771" s="39"/>
    </row>
    <row r="772" spans="1:13" x14ac:dyDescent="0.2">
      <c r="A772" s="30"/>
      <c r="B772" s="30"/>
      <c r="C772" s="30"/>
      <c r="D772" s="30"/>
      <c r="E772" s="30"/>
      <c r="F772" s="30"/>
      <c r="G772" s="30"/>
      <c r="H772" s="30"/>
      <c r="I772" s="30"/>
      <c r="J772" s="65"/>
      <c r="K772" s="83"/>
      <c r="L772" s="30"/>
      <c r="M772" s="39"/>
    </row>
    <row r="773" spans="1:13" x14ac:dyDescent="0.2">
      <c r="A773" s="30"/>
      <c r="B773" s="30"/>
      <c r="C773" s="30"/>
      <c r="D773" s="30"/>
      <c r="E773" s="30"/>
      <c r="F773" s="30"/>
      <c r="G773" s="30"/>
      <c r="H773" s="30"/>
      <c r="I773" s="30"/>
      <c r="J773" s="65"/>
      <c r="K773" s="83"/>
      <c r="L773" s="30"/>
      <c r="M773" s="39"/>
    </row>
    <row r="774" spans="1:13" x14ac:dyDescent="0.2">
      <c r="A774" s="30"/>
      <c r="B774" s="30"/>
      <c r="C774" s="30"/>
      <c r="D774" s="30"/>
      <c r="E774" s="30"/>
      <c r="F774" s="30"/>
      <c r="G774" s="30"/>
      <c r="H774" s="30"/>
      <c r="I774" s="30"/>
      <c r="J774" s="65"/>
      <c r="K774" s="83"/>
      <c r="L774" s="30"/>
      <c r="M774" s="39"/>
    </row>
    <row r="775" spans="1:13" x14ac:dyDescent="0.2">
      <c r="A775" s="30"/>
      <c r="B775" s="30"/>
      <c r="C775" s="30"/>
      <c r="D775" s="30"/>
      <c r="E775" s="30"/>
      <c r="F775" s="30"/>
      <c r="G775" s="30"/>
      <c r="H775" s="30"/>
      <c r="I775" s="30"/>
      <c r="J775" s="65"/>
      <c r="K775" s="83"/>
      <c r="L775" s="30"/>
      <c r="M775" s="39"/>
    </row>
    <row r="776" spans="1:13" x14ac:dyDescent="0.2">
      <c r="A776" s="30"/>
      <c r="B776" s="30"/>
      <c r="C776" s="30"/>
      <c r="D776" s="30"/>
      <c r="E776" s="30"/>
      <c r="F776" s="30"/>
      <c r="G776" s="30"/>
      <c r="H776" s="30"/>
      <c r="I776" s="30"/>
      <c r="J776" s="65"/>
      <c r="K776" s="83"/>
      <c r="L776" s="30"/>
      <c r="M776" s="39"/>
    </row>
    <row r="777" spans="1:13" x14ac:dyDescent="0.2">
      <c r="A777" s="30"/>
      <c r="B777" s="30"/>
      <c r="C777" s="30"/>
      <c r="D777" s="30"/>
      <c r="E777" s="30"/>
      <c r="F777" s="30"/>
      <c r="G777" s="30"/>
      <c r="H777" s="30"/>
      <c r="I777" s="30"/>
      <c r="J777" s="65"/>
      <c r="K777" s="83"/>
      <c r="L777" s="30"/>
      <c r="M777" s="39"/>
    </row>
    <row r="778" spans="1:13" x14ac:dyDescent="0.2">
      <c r="A778" s="30"/>
      <c r="B778" s="30"/>
      <c r="C778" s="30"/>
      <c r="D778" s="30"/>
      <c r="E778" s="30"/>
      <c r="F778" s="30"/>
      <c r="G778" s="30"/>
      <c r="H778" s="30"/>
      <c r="I778" s="30"/>
      <c r="J778" s="65"/>
      <c r="K778" s="83"/>
      <c r="L778" s="30"/>
      <c r="M778" s="39"/>
    </row>
    <row r="779" spans="1:13" x14ac:dyDescent="0.2">
      <c r="A779" s="30"/>
      <c r="B779" s="30"/>
      <c r="C779" s="30"/>
      <c r="D779" s="30"/>
      <c r="E779" s="30"/>
      <c r="F779" s="30"/>
      <c r="G779" s="30"/>
      <c r="H779" s="30"/>
      <c r="I779" s="30"/>
      <c r="J779" s="65"/>
      <c r="K779" s="83"/>
      <c r="L779" s="30"/>
      <c r="M779" s="39"/>
    </row>
    <row r="780" spans="1:13" x14ac:dyDescent="0.2">
      <c r="A780" s="30"/>
      <c r="B780" s="30"/>
      <c r="C780" s="30"/>
      <c r="D780" s="30"/>
      <c r="E780" s="30"/>
      <c r="F780" s="30"/>
      <c r="G780" s="30"/>
      <c r="H780" s="30"/>
      <c r="I780" s="30"/>
      <c r="J780" s="65"/>
      <c r="K780" s="83"/>
      <c r="L780" s="30"/>
      <c r="M780" s="39"/>
    </row>
    <row r="781" spans="1:13" x14ac:dyDescent="0.2">
      <c r="A781" s="30"/>
      <c r="B781" s="30"/>
      <c r="C781" s="30"/>
      <c r="D781" s="30"/>
      <c r="E781" s="30"/>
      <c r="F781" s="30"/>
      <c r="G781" s="30"/>
      <c r="H781" s="30"/>
      <c r="I781" s="30"/>
      <c r="J781" s="65"/>
      <c r="K781" s="83"/>
      <c r="L781" s="30"/>
      <c r="M781" s="39"/>
    </row>
    <row r="782" spans="1:13" x14ac:dyDescent="0.2">
      <c r="A782" s="30"/>
      <c r="B782" s="30"/>
      <c r="C782" s="30"/>
      <c r="D782" s="30"/>
      <c r="E782" s="30"/>
      <c r="F782" s="30"/>
      <c r="G782" s="30"/>
      <c r="H782" s="30"/>
      <c r="I782" s="30"/>
      <c r="J782" s="65"/>
      <c r="K782" s="83"/>
      <c r="L782" s="30"/>
      <c r="M782" s="39"/>
    </row>
    <row r="783" spans="1:13" x14ac:dyDescent="0.2">
      <c r="A783" s="30"/>
      <c r="B783" s="30"/>
      <c r="C783" s="30"/>
      <c r="D783" s="30"/>
      <c r="E783" s="30"/>
      <c r="F783" s="30"/>
      <c r="G783" s="30"/>
      <c r="H783" s="30"/>
      <c r="I783" s="30"/>
      <c r="J783" s="65"/>
      <c r="K783" s="83"/>
      <c r="L783" s="30"/>
      <c r="M783" s="39"/>
    </row>
    <row r="784" spans="1:13" x14ac:dyDescent="0.2">
      <c r="A784" s="30"/>
      <c r="B784" s="30"/>
      <c r="C784" s="30"/>
      <c r="D784" s="30"/>
      <c r="E784" s="30"/>
      <c r="F784" s="30"/>
      <c r="G784" s="30"/>
      <c r="H784" s="30"/>
      <c r="I784" s="30"/>
      <c r="J784" s="65"/>
      <c r="K784" s="83"/>
      <c r="L784" s="30"/>
      <c r="M784" s="39"/>
    </row>
    <row r="785" spans="1:13" x14ac:dyDescent="0.2">
      <c r="A785" s="30"/>
      <c r="B785" s="30"/>
      <c r="C785" s="30"/>
      <c r="D785" s="30"/>
      <c r="E785" s="30"/>
      <c r="F785" s="30"/>
      <c r="G785" s="30"/>
      <c r="H785" s="30"/>
      <c r="I785" s="30"/>
      <c r="J785" s="65"/>
      <c r="K785" s="83"/>
      <c r="L785" s="30"/>
      <c r="M785" s="39"/>
    </row>
    <row r="786" spans="1:13" x14ac:dyDescent="0.2">
      <c r="A786" s="30"/>
      <c r="B786" s="30"/>
      <c r="C786" s="30"/>
      <c r="D786" s="30"/>
      <c r="E786" s="30"/>
      <c r="F786" s="30"/>
      <c r="G786" s="30"/>
      <c r="H786" s="30"/>
      <c r="I786" s="30"/>
      <c r="J786" s="65"/>
      <c r="K786" s="83"/>
      <c r="L786" s="30"/>
      <c r="M786" s="39"/>
    </row>
    <row r="787" spans="1:13" x14ac:dyDescent="0.2">
      <c r="A787" s="30"/>
      <c r="B787" s="30"/>
      <c r="C787" s="30"/>
      <c r="D787" s="30"/>
      <c r="E787" s="30"/>
      <c r="F787" s="30"/>
      <c r="G787" s="30"/>
      <c r="H787" s="30"/>
      <c r="I787" s="30"/>
      <c r="J787" s="65"/>
      <c r="K787" s="83"/>
      <c r="L787" s="30"/>
      <c r="M787" s="39"/>
    </row>
    <row r="788" spans="1:13" x14ac:dyDescent="0.2">
      <c r="A788" s="30"/>
      <c r="B788" s="30"/>
      <c r="C788" s="30"/>
      <c r="D788" s="30"/>
      <c r="E788" s="30"/>
      <c r="F788" s="30"/>
      <c r="G788" s="30"/>
      <c r="H788" s="30"/>
      <c r="I788" s="30"/>
      <c r="J788" s="65"/>
      <c r="K788" s="83"/>
      <c r="L788" s="30"/>
      <c r="M788" s="39"/>
    </row>
    <row r="789" spans="1:13" x14ac:dyDescent="0.2">
      <c r="A789" s="30"/>
      <c r="B789" s="30"/>
      <c r="C789" s="30"/>
      <c r="D789" s="30"/>
      <c r="E789" s="30"/>
      <c r="F789" s="30"/>
      <c r="G789" s="30"/>
      <c r="H789" s="30"/>
      <c r="I789" s="30"/>
      <c r="J789" s="65"/>
      <c r="K789" s="83"/>
      <c r="L789" s="30"/>
      <c r="M789" s="39"/>
    </row>
    <row r="790" spans="1:13" x14ac:dyDescent="0.2">
      <c r="A790" s="30"/>
      <c r="B790" s="30"/>
      <c r="C790" s="30"/>
      <c r="D790" s="30"/>
      <c r="E790" s="30"/>
      <c r="F790" s="30"/>
      <c r="G790" s="30"/>
      <c r="H790" s="30"/>
      <c r="I790" s="30"/>
      <c r="J790" s="65"/>
      <c r="K790" s="83"/>
      <c r="L790" s="30"/>
      <c r="M790" s="39"/>
    </row>
    <row r="791" spans="1:13" x14ac:dyDescent="0.2">
      <c r="A791" s="30"/>
      <c r="B791" s="30"/>
      <c r="C791" s="30"/>
      <c r="D791" s="30"/>
      <c r="E791" s="30"/>
      <c r="F791" s="30"/>
      <c r="G791" s="30"/>
      <c r="H791" s="30"/>
      <c r="I791" s="30"/>
      <c r="J791" s="65"/>
      <c r="K791" s="83"/>
      <c r="L791" s="30"/>
      <c r="M791" s="39"/>
    </row>
    <row r="792" spans="1:13" x14ac:dyDescent="0.2">
      <c r="A792" s="30"/>
      <c r="B792" s="30"/>
      <c r="C792" s="30"/>
      <c r="D792" s="30"/>
      <c r="E792" s="30"/>
      <c r="F792" s="30"/>
      <c r="G792" s="30"/>
      <c r="H792" s="30"/>
      <c r="I792" s="30"/>
      <c r="J792" s="65"/>
      <c r="K792" s="83"/>
      <c r="L792" s="30"/>
      <c r="M792" s="39"/>
    </row>
    <row r="793" spans="1:13" x14ac:dyDescent="0.2">
      <c r="A793" s="30"/>
      <c r="B793" s="30"/>
      <c r="C793" s="30"/>
      <c r="D793" s="30"/>
      <c r="E793" s="30"/>
      <c r="F793" s="30"/>
      <c r="G793" s="30"/>
      <c r="H793" s="30"/>
      <c r="I793" s="30"/>
      <c r="J793" s="65"/>
      <c r="K793" s="83"/>
      <c r="L793" s="30"/>
      <c r="M793" s="39"/>
    </row>
    <row r="794" spans="1:13" x14ac:dyDescent="0.2">
      <c r="A794" s="30"/>
      <c r="B794" s="30"/>
      <c r="C794" s="30"/>
      <c r="D794" s="30"/>
      <c r="E794" s="30"/>
      <c r="F794" s="30"/>
      <c r="G794" s="30"/>
      <c r="H794" s="30"/>
      <c r="I794" s="30"/>
      <c r="J794" s="65"/>
      <c r="K794" s="83"/>
      <c r="L794" s="30"/>
      <c r="M794" s="39"/>
    </row>
    <row r="795" spans="1:13" x14ac:dyDescent="0.2">
      <c r="A795" s="30"/>
      <c r="B795" s="30"/>
      <c r="C795" s="30"/>
      <c r="D795" s="30"/>
      <c r="E795" s="30"/>
      <c r="F795" s="30"/>
      <c r="G795" s="30"/>
      <c r="H795" s="30"/>
      <c r="I795" s="30"/>
      <c r="J795" s="65"/>
      <c r="K795" s="83"/>
      <c r="L795" s="30"/>
      <c r="M795" s="39"/>
    </row>
    <row r="796" spans="1:13" x14ac:dyDescent="0.2">
      <c r="A796" s="30"/>
      <c r="B796" s="30"/>
      <c r="C796" s="30"/>
      <c r="D796" s="30"/>
      <c r="E796" s="30"/>
      <c r="F796" s="30"/>
      <c r="G796" s="30"/>
      <c r="H796" s="30"/>
      <c r="I796" s="30"/>
      <c r="J796" s="65"/>
      <c r="K796" s="83"/>
      <c r="L796" s="30"/>
      <c r="M796" s="39"/>
    </row>
    <row r="797" spans="1:13" x14ac:dyDescent="0.2">
      <c r="A797" s="30"/>
      <c r="B797" s="30"/>
      <c r="C797" s="30"/>
      <c r="D797" s="30"/>
      <c r="E797" s="30"/>
      <c r="F797" s="30"/>
      <c r="G797" s="30"/>
      <c r="H797" s="30"/>
      <c r="I797" s="30"/>
      <c r="J797" s="65"/>
      <c r="K797" s="83"/>
      <c r="L797" s="30"/>
      <c r="M797" s="39"/>
    </row>
    <row r="798" spans="1:13" x14ac:dyDescent="0.2">
      <c r="A798" s="30"/>
      <c r="B798" s="30"/>
      <c r="C798" s="30"/>
      <c r="D798" s="30"/>
      <c r="E798" s="30"/>
      <c r="F798" s="30"/>
      <c r="G798" s="30"/>
      <c r="H798" s="30"/>
      <c r="I798" s="30"/>
      <c r="J798" s="65"/>
      <c r="K798" s="83"/>
      <c r="L798" s="30"/>
      <c r="M798" s="39"/>
    </row>
    <row r="799" spans="1:13" x14ac:dyDescent="0.2">
      <c r="A799" s="30"/>
      <c r="B799" s="30"/>
      <c r="C799" s="30"/>
      <c r="D799" s="30"/>
      <c r="E799" s="30"/>
      <c r="F799" s="30"/>
      <c r="G799" s="30"/>
      <c r="H799" s="30"/>
      <c r="I799" s="30"/>
      <c r="J799" s="65"/>
      <c r="K799" s="83"/>
      <c r="L799" s="30"/>
      <c r="M799" s="39"/>
    </row>
    <row r="800" spans="1:13" x14ac:dyDescent="0.2">
      <c r="A800" s="30"/>
      <c r="B800" s="30"/>
      <c r="C800" s="30"/>
      <c r="D800" s="30"/>
      <c r="E800" s="30"/>
      <c r="F800" s="30"/>
      <c r="G800" s="30"/>
      <c r="H800" s="30"/>
      <c r="I800" s="30"/>
      <c r="J800" s="65"/>
      <c r="K800" s="83"/>
      <c r="L800" s="30"/>
      <c r="M800" s="39"/>
    </row>
    <row r="801" spans="1:13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65"/>
      <c r="K801" s="83"/>
      <c r="L801" s="30"/>
      <c r="M801" s="39"/>
    </row>
    <row r="802" spans="1:13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65"/>
      <c r="K802" s="83"/>
      <c r="L802" s="30"/>
      <c r="M802" s="39"/>
    </row>
    <row r="803" spans="1:13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65"/>
      <c r="K803" s="83"/>
      <c r="L803" s="30"/>
      <c r="M803" s="39"/>
    </row>
    <row r="804" spans="1:13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65"/>
      <c r="K804" s="83"/>
      <c r="L804" s="30"/>
      <c r="M804" s="39"/>
    </row>
    <row r="805" spans="1:13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65"/>
      <c r="K805" s="83"/>
      <c r="L805" s="30"/>
      <c r="M805" s="39"/>
    </row>
    <row r="806" spans="1:13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65"/>
      <c r="K806" s="83"/>
      <c r="L806" s="30"/>
      <c r="M806" s="39"/>
    </row>
    <row r="807" spans="1:13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65"/>
      <c r="K807" s="83"/>
      <c r="L807" s="30"/>
      <c r="M807" s="39"/>
    </row>
    <row r="808" spans="1:13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65"/>
      <c r="K808" s="83"/>
      <c r="L808" s="30"/>
      <c r="M808" s="39"/>
    </row>
    <row r="809" spans="1:13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65"/>
      <c r="K809" s="83"/>
      <c r="L809" s="30"/>
      <c r="M809" s="39"/>
    </row>
    <row r="810" spans="1:13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65"/>
      <c r="K810" s="83"/>
      <c r="L810" s="30"/>
      <c r="M810" s="39"/>
    </row>
    <row r="811" spans="1:13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65"/>
      <c r="K811" s="83"/>
      <c r="L811" s="30"/>
      <c r="M811" s="39"/>
    </row>
    <row r="812" spans="1:13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65"/>
      <c r="K812" s="83"/>
      <c r="L812" s="30"/>
      <c r="M812" s="39"/>
    </row>
    <row r="813" spans="1:13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65"/>
      <c r="K813" s="83"/>
      <c r="L813" s="30"/>
      <c r="M813" s="39"/>
    </row>
    <row r="814" spans="1:13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65"/>
      <c r="K814" s="83"/>
      <c r="L814" s="30"/>
      <c r="M814" s="39"/>
    </row>
    <row r="815" spans="1:13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65"/>
      <c r="K815" s="83"/>
      <c r="L815" s="30"/>
      <c r="M815" s="39"/>
    </row>
    <row r="816" spans="1:13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65"/>
      <c r="K816" s="83"/>
      <c r="L816" s="30"/>
      <c r="M816" s="39"/>
    </row>
    <row r="817" spans="1:13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65"/>
      <c r="K817" s="83"/>
      <c r="L817" s="30"/>
      <c r="M817" s="39"/>
    </row>
    <row r="818" spans="1:13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65"/>
      <c r="K818" s="83"/>
      <c r="L818" s="30"/>
      <c r="M818" s="39"/>
    </row>
    <row r="819" spans="1:13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65"/>
      <c r="K819" s="83"/>
      <c r="L819" s="30"/>
      <c r="M819" s="39"/>
    </row>
    <row r="820" spans="1:13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65"/>
      <c r="K820" s="83"/>
      <c r="L820" s="30"/>
      <c r="M820" s="39"/>
    </row>
    <row r="821" spans="1:13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65"/>
      <c r="K821" s="83"/>
      <c r="L821" s="30"/>
      <c r="M821" s="39"/>
    </row>
    <row r="822" spans="1:13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65"/>
      <c r="K822" s="83"/>
      <c r="L822" s="30"/>
      <c r="M822" s="39"/>
    </row>
    <row r="823" spans="1:13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65"/>
      <c r="K823" s="83"/>
      <c r="L823" s="30"/>
      <c r="M823" s="39"/>
    </row>
    <row r="824" spans="1:13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65"/>
      <c r="K824" s="83"/>
      <c r="L824" s="30"/>
      <c r="M824" s="39"/>
    </row>
    <row r="825" spans="1:13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65"/>
      <c r="K825" s="83"/>
      <c r="L825" s="30"/>
      <c r="M825" s="39"/>
    </row>
    <row r="826" spans="1:13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65"/>
      <c r="K826" s="83"/>
      <c r="L826" s="30"/>
      <c r="M826" s="39"/>
    </row>
    <row r="827" spans="1:13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65"/>
      <c r="K827" s="83"/>
      <c r="L827" s="30"/>
      <c r="M827" s="39"/>
    </row>
    <row r="828" spans="1:13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65"/>
      <c r="K828" s="83"/>
      <c r="L828" s="30"/>
      <c r="M828" s="39"/>
    </row>
    <row r="829" spans="1:13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65"/>
      <c r="K829" s="83"/>
      <c r="L829" s="30"/>
      <c r="M829" s="39"/>
    </row>
    <row r="830" spans="1:13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65"/>
      <c r="K830" s="83"/>
      <c r="L830" s="30"/>
      <c r="M830" s="39"/>
    </row>
    <row r="831" spans="1:13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65"/>
      <c r="K831" s="83"/>
      <c r="L831" s="30"/>
      <c r="M831" s="39"/>
    </row>
    <row r="832" spans="1:13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65"/>
      <c r="K832" s="83"/>
      <c r="L832" s="30"/>
      <c r="M832" s="39"/>
    </row>
    <row r="833" spans="1:13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65"/>
      <c r="K833" s="83"/>
      <c r="L833" s="30"/>
      <c r="M833" s="39"/>
    </row>
    <row r="834" spans="1:13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65"/>
      <c r="K834" s="83"/>
      <c r="L834" s="30"/>
      <c r="M834" s="39"/>
    </row>
    <row r="835" spans="1:13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65"/>
      <c r="K835" s="83"/>
      <c r="L835" s="30"/>
      <c r="M835" s="39"/>
    </row>
    <row r="836" spans="1:13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65"/>
      <c r="K836" s="83"/>
      <c r="L836" s="30"/>
      <c r="M836" s="39"/>
    </row>
    <row r="837" spans="1:13" x14ac:dyDescent="0.2">
      <c r="A837" s="30"/>
      <c r="B837" s="30"/>
      <c r="C837" s="30"/>
      <c r="D837" s="30"/>
      <c r="E837" s="30"/>
      <c r="F837" s="30"/>
      <c r="G837" s="30"/>
      <c r="H837" s="30"/>
      <c r="I837" s="30"/>
      <c r="J837" s="65"/>
      <c r="K837" s="83"/>
      <c r="L837" s="30"/>
      <c r="M837" s="39"/>
    </row>
    <row r="838" spans="1:13" x14ac:dyDescent="0.2">
      <c r="A838" s="30"/>
      <c r="B838" s="30"/>
      <c r="C838" s="30"/>
      <c r="D838" s="30"/>
      <c r="E838" s="30"/>
      <c r="F838" s="30"/>
      <c r="G838" s="30"/>
      <c r="H838" s="30"/>
      <c r="I838" s="30"/>
      <c r="J838" s="65"/>
      <c r="K838" s="83"/>
      <c r="L838" s="30"/>
      <c r="M838" s="39"/>
    </row>
    <row r="839" spans="1:13" x14ac:dyDescent="0.2">
      <c r="A839" s="30"/>
      <c r="B839" s="30"/>
      <c r="C839" s="30"/>
      <c r="D839" s="30"/>
      <c r="E839" s="30"/>
      <c r="F839" s="30"/>
      <c r="G839" s="30"/>
      <c r="H839" s="30"/>
      <c r="I839" s="30"/>
      <c r="J839" s="65"/>
      <c r="K839" s="83"/>
      <c r="L839" s="30"/>
      <c r="M839" s="39"/>
    </row>
    <row r="840" spans="1:13" x14ac:dyDescent="0.2">
      <c r="A840" s="30"/>
      <c r="B840" s="30"/>
      <c r="C840" s="30"/>
      <c r="D840" s="30"/>
      <c r="E840" s="30"/>
      <c r="F840" s="30"/>
      <c r="G840" s="30"/>
      <c r="H840" s="30"/>
      <c r="I840" s="30"/>
      <c r="J840" s="65"/>
      <c r="K840" s="83"/>
      <c r="L840" s="30"/>
      <c r="M840" s="39"/>
    </row>
    <row r="841" spans="1:13" x14ac:dyDescent="0.2">
      <c r="A841" s="30"/>
      <c r="B841" s="30"/>
      <c r="C841" s="30"/>
      <c r="D841" s="30"/>
      <c r="E841" s="30"/>
      <c r="F841" s="30"/>
      <c r="G841" s="30"/>
      <c r="H841" s="30"/>
      <c r="I841" s="30"/>
      <c r="J841" s="65"/>
      <c r="K841" s="83"/>
      <c r="L841" s="30"/>
      <c r="M841" s="39"/>
    </row>
    <row r="842" spans="1:13" x14ac:dyDescent="0.2">
      <c r="A842" s="30"/>
      <c r="B842" s="30"/>
      <c r="C842" s="30"/>
      <c r="D842" s="30"/>
      <c r="E842" s="30"/>
      <c r="F842" s="30"/>
      <c r="G842" s="30"/>
      <c r="H842" s="30"/>
      <c r="I842" s="30"/>
      <c r="J842" s="65"/>
      <c r="K842" s="83"/>
      <c r="L842" s="30"/>
      <c r="M842" s="39"/>
    </row>
    <row r="843" spans="1:13" x14ac:dyDescent="0.2">
      <c r="A843" s="30"/>
      <c r="B843" s="30"/>
      <c r="C843" s="30"/>
      <c r="D843" s="30"/>
      <c r="E843" s="30"/>
      <c r="F843" s="30"/>
      <c r="G843" s="30"/>
      <c r="H843" s="30"/>
      <c r="I843" s="30"/>
      <c r="J843" s="65"/>
      <c r="K843" s="83"/>
      <c r="L843" s="30"/>
      <c r="M843" s="39"/>
    </row>
    <row r="844" spans="1:13" x14ac:dyDescent="0.2">
      <c r="A844" s="30"/>
      <c r="B844" s="30"/>
      <c r="C844" s="30"/>
      <c r="D844" s="30"/>
      <c r="E844" s="30"/>
      <c r="F844" s="30"/>
      <c r="G844" s="30"/>
      <c r="H844" s="30"/>
      <c r="I844" s="30"/>
      <c r="J844" s="65"/>
      <c r="K844" s="83"/>
      <c r="L844" s="30"/>
      <c r="M844" s="39"/>
    </row>
    <row r="845" spans="1:13" x14ac:dyDescent="0.2">
      <c r="A845" s="30"/>
      <c r="B845" s="30"/>
      <c r="C845" s="30"/>
      <c r="D845" s="30"/>
      <c r="E845" s="30"/>
      <c r="F845" s="30"/>
      <c r="G845" s="30"/>
      <c r="H845" s="30"/>
      <c r="I845" s="30"/>
      <c r="J845" s="65"/>
      <c r="K845" s="83"/>
      <c r="L845" s="30"/>
      <c r="M845" s="39"/>
    </row>
    <row r="846" spans="1:13" x14ac:dyDescent="0.2">
      <c r="A846" s="30"/>
      <c r="B846" s="30"/>
      <c r="C846" s="30"/>
      <c r="D846" s="30"/>
      <c r="E846" s="30"/>
      <c r="F846" s="30"/>
      <c r="G846" s="30"/>
      <c r="H846" s="30"/>
      <c r="I846" s="30"/>
      <c r="J846" s="65"/>
      <c r="K846" s="83"/>
      <c r="L846" s="30"/>
      <c r="M846" s="39"/>
    </row>
    <row r="847" spans="1:13" x14ac:dyDescent="0.2">
      <c r="A847" s="30"/>
      <c r="B847" s="30"/>
      <c r="C847" s="30"/>
      <c r="D847" s="30"/>
      <c r="E847" s="30"/>
      <c r="F847" s="30"/>
      <c r="G847" s="30"/>
      <c r="H847" s="30"/>
      <c r="I847" s="30"/>
      <c r="J847" s="65"/>
      <c r="K847" s="83"/>
      <c r="L847" s="30"/>
      <c r="M847" s="39"/>
    </row>
    <row r="848" spans="1:13" x14ac:dyDescent="0.2">
      <c r="A848" s="30"/>
      <c r="B848" s="30"/>
      <c r="C848" s="30"/>
      <c r="D848" s="30"/>
      <c r="E848" s="30"/>
      <c r="F848" s="30"/>
      <c r="G848" s="30"/>
      <c r="H848" s="30"/>
      <c r="I848" s="30"/>
      <c r="J848" s="65"/>
      <c r="K848" s="83"/>
      <c r="L848" s="30"/>
      <c r="M848" s="39"/>
    </row>
    <row r="849" spans="1:13" x14ac:dyDescent="0.2">
      <c r="A849" s="30"/>
      <c r="B849" s="30"/>
      <c r="C849" s="30"/>
      <c r="D849" s="30"/>
      <c r="E849" s="30"/>
      <c r="F849" s="30"/>
      <c r="G849" s="30"/>
      <c r="H849" s="30"/>
      <c r="I849" s="30"/>
      <c r="J849" s="65"/>
      <c r="K849" s="83"/>
      <c r="L849" s="30"/>
      <c r="M849" s="39"/>
    </row>
    <row r="850" spans="1:13" x14ac:dyDescent="0.2">
      <c r="A850" s="30"/>
      <c r="B850" s="30"/>
      <c r="C850" s="30"/>
      <c r="D850" s="30"/>
      <c r="E850" s="30"/>
      <c r="F850" s="30"/>
      <c r="G850" s="30"/>
      <c r="H850" s="30"/>
      <c r="I850" s="30"/>
      <c r="J850" s="65"/>
      <c r="K850" s="83"/>
      <c r="L850" s="30"/>
      <c r="M850" s="39"/>
    </row>
    <row r="851" spans="1:13" x14ac:dyDescent="0.2">
      <c r="A851" s="30"/>
      <c r="B851" s="30"/>
      <c r="C851" s="30"/>
      <c r="D851" s="30"/>
      <c r="E851" s="30"/>
      <c r="F851" s="30"/>
      <c r="G851" s="30"/>
      <c r="H851" s="30"/>
      <c r="I851" s="30"/>
      <c r="J851" s="65"/>
      <c r="K851" s="83"/>
      <c r="L851" s="30"/>
      <c r="M851" s="39"/>
    </row>
    <row r="852" spans="1:13" x14ac:dyDescent="0.2">
      <c r="A852" s="30"/>
      <c r="B852" s="30"/>
      <c r="C852" s="30"/>
      <c r="D852" s="30"/>
      <c r="E852" s="30"/>
      <c r="F852" s="30"/>
      <c r="G852" s="30"/>
      <c r="H852" s="30"/>
      <c r="I852" s="30"/>
      <c r="J852" s="65"/>
      <c r="K852" s="83"/>
      <c r="L852" s="30"/>
      <c r="M852" s="39"/>
    </row>
    <row r="853" spans="1:13" x14ac:dyDescent="0.2">
      <c r="A853" s="30"/>
      <c r="B853" s="30"/>
      <c r="C853" s="30"/>
      <c r="D853" s="30"/>
      <c r="E853" s="30"/>
      <c r="F853" s="30"/>
      <c r="G853" s="30"/>
      <c r="H853" s="30"/>
      <c r="I853" s="30"/>
      <c r="J853" s="65"/>
      <c r="K853" s="83"/>
      <c r="L853" s="30"/>
      <c r="M853" s="39"/>
    </row>
    <row r="854" spans="1:13" x14ac:dyDescent="0.2">
      <c r="A854" s="30"/>
      <c r="B854" s="30"/>
      <c r="C854" s="30"/>
      <c r="D854" s="30"/>
      <c r="E854" s="30"/>
      <c r="F854" s="30"/>
      <c r="G854" s="30"/>
      <c r="H854" s="30"/>
      <c r="I854" s="30"/>
      <c r="J854" s="65"/>
      <c r="K854" s="83"/>
      <c r="L854" s="30"/>
      <c r="M854" s="39"/>
    </row>
    <row r="855" spans="1:13" x14ac:dyDescent="0.2">
      <c r="A855" s="30"/>
      <c r="B855" s="30"/>
      <c r="C855" s="30"/>
      <c r="D855" s="30"/>
      <c r="E855" s="30"/>
      <c r="F855" s="30"/>
      <c r="G855" s="30"/>
      <c r="H855" s="30"/>
      <c r="I855" s="30"/>
      <c r="J855" s="65"/>
      <c r="K855" s="83"/>
      <c r="L855" s="30"/>
      <c r="M855" s="39"/>
    </row>
    <row r="856" spans="1:13" x14ac:dyDescent="0.2">
      <c r="A856" s="30"/>
      <c r="B856" s="30"/>
      <c r="C856" s="30"/>
      <c r="D856" s="30"/>
      <c r="E856" s="30"/>
      <c r="F856" s="30"/>
      <c r="G856" s="30"/>
      <c r="H856" s="30"/>
      <c r="I856" s="30"/>
      <c r="J856" s="65"/>
      <c r="K856" s="83"/>
      <c r="L856" s="30"/>
      <c r="M856" s="39"/>
    </row>
    <row r="857" spans="1:13" x14ac:dyDescent="0.2">
      <c r="A857" s="30"/>
      <c r="B857" s="30"/>
      <c r="C857" s="30"/>
      <c r="D857" s="30"/>
      <c r="E857" s="30"/>
      <c r="F857" s="30"/>
      <c r="G857" s="30"/>
      <c r="H857" s="30"/>
      <c r="I857" s="30"/>
      <c r="J857" s="65"/>
      <c r="K857" s="83"/>
      <c r="L857" s="30"/>
      <c r="M857" s="39"/>
    </row>
    <row r="858" spans="1:13" x14ac:dyDescent="0.2">
      <c r="A858" s="30"/>
      <c r="B858" s="30"/>
      <c r="C858" s="30"/>
      <c r="D858" s="30"/>
      <c r="E858" s="30"/>
      <c r="F858" s="30"/>
      <c r="G858" s="30"/>
      <c r="H858" s="30"/>
      <c r="I858" s="30"/>
      <c r="J858" s="65"/>
      <c r="K858" s="83"/>
      <c r="L858" s="30"/>
      <c r="M858" s="39"/>
    </row>
    <row r="859" spans="1:13" x14ac:dyDescent="0.2">
      <c r="A859" s="30"/>
      <c r="B859" s="30"/>
      <c r="C859" s="30"/>
      <c r="D859" s="30"/>
      <c r="E859" s="30"/>
      <c r="F859" s="30"/>
      <c r="G859" s="30"/>
      <c r="H859" s="30"/>
      <c r="I859" s="30"/>
      <c r="J859" s="65"/>
      <c r="K859" s="83"/>
      <c r="L859" s="30"/>
      <c r="M859" s="39"/>
    </row>
    <row r="860" spans="1:13" x14ac:dyDescent="0.2">
      <c r="A860" s="30"/>
      <c r="B860" s="30"/>
      <c r="C860" s="30"/>
      <c r="D860" s="30"/>
      <c r="E860" s="30"/>
      <c r="F860" s="30"/>
      <c r="G860" s="30"/>
      <c r="H860" s="30"/>
      <c r="I860" s="30"/>
      <c r="J860" s="65"/>
      <c r="K860" s="83"/>
      <c r="L860" s="30"/>
      <c r="M860" s="39"/>
    </row>
    <row r="861" spans="1:13" x14ac:dyDescent="0.2">
      <c r="A861" s="30"/>
      <c r="B861" s="30"/>
      <c r="C861" s="30"/>
      <c r="D861" s="30"/>
      <c r="E861" s="30"/>
      <c r="F861" s="30"/>
      <c r="G861" s="30"/>
      <c r="H861" s="30"/>
      <c r="I861" s="30"/>
      <c r="J861" s="65"/>
      <c r="K861" s="83"/>
      <c r="L861" s="30"/>
      <c r="M861" s="39"/>
    </row>
    <row r="862" spans="1:13" x14ac:dyDescent="0.2">
      <c r="A862" s="30"/>
      <c r="B862" s="30"/>
      <c r="C862" s="30"/>
      <c r="D862" s="30"/>
      <c r="E862" s="30"/>
      <c r="F862" s="30"/>
      <c r="G862" s="30"/>
      <c r="H862" s="30"/>
      <c r="I862" s="30"/>
      <c r="J862" s="65"/>
      <c r="K862" s="83"/>
      <c r="L862" s="30"/>
      <c r="M862" s="39"/>
    </row>
    <row r="863" spans="1:13" x14ac:dyDescent="0.2">
      <c r="A863" s="30"/>
      <c r="B863" s="30"/>
      <c r="C863" s="30"/>
      <c r="D863" s="30"/>
      <c r="E863" s="30"/>
      <c r="F863" s="30"/>
      <c r="G863" s="30"/>
      <c r="H863" s="30"/>
      <c r="I863" s="30"/>
      <c r="J863" s="65"/>
      <c r="K863" s="83"/>
      <c r="L863" s="30"/>
      <c r="M863" s="39"/>
    </row>
    <row r="864" spans="1:13" x14ac:dyDescent="0.2">
      <c r="A864" s="30"/>
      <c r="B864" s="30"/>
      <c r="C864" s="30"/>
      <c r="D864" s="30"/>
      <c r="E864" s="30"/>
      <c r="F864" s="30"/>
      <c r="G864" s="30"/>
      <c r="H864" s="30"/>
      <c r="I864" s="30"/>
      <c r="J864" s="65"/>
      <c r="K864" s="83"/>
      <c r="L864" s="30"/>
      <c r="M864" s="39"/>
    </row>
    <row r="865" spans="1:13" x14ac:dyDescent="0.2">
      <c r="A865" s="30"/>
      <c r="B865" s="30"/>
      <c r="C865" s="30"/>
      <c r="D865" s="30"/>
      <c r="E865" s="30"/>
      <c r="F865" s="30"/>
      <c r="G865" s="30"/>
      <c r="H865" s="30"/>
      <c r="I865" s="30"/>
      <c r="J865" s="65"/>
      <c r="K865" s="83"/>
      <c r="L865" s="30"/>
      <c r="M865" s="39"/>
    </row>
    <row r="866" spans="1:13" x14ac:dyDescent="0.2">
      <c r="A866" s="30"/>
      <c r="B866" s="30"/>
      <c r="C866" s="30"/>
      <c r="D866" s="30"/>
      <c r="E866" s="30"/>
      <c r="F866" s="30"/>
      <c r="G866" s="30"/>
      <c r="H866" s="30"/>
      <c r="I866" s="30"/>
      <c r="J866" s="65"/>
      <c r="K866" s="83"/>
      <c r="L866" s="30"/>
      <c r="M866" s="39"/>
    </row>
    <row r="867" spans="1:13" x14ac:dyDescent="0.2">
      <c r="A867" s="30"/>
      <c r="B867" s="30"/>
      <c r="C867" s="30"/>
      <c r="D867" s="30"/>
      <c r="E867" s="30"/>
      <c r="F867" s="30"/>
      <c r="G867" s="30"/>
      <c r="H867" s="30"/>
      <c r="I867" s="30"/>
      <c r="J867" s="65"/>
      <c r="K867" s="83"/>
      <c r="L867" s="30"/>
      <c r="M867" s="39"/>
    </row>
    <row r="868" spans="1:13" x14ac:dyDescent="0.2">
      <c r="A868" s="30"/>
      <c r="B868" s="30"/>
      <c r="C868" s="30"/>
      <c r="D868" s="30"/>
      <c r="E868" s="30"/>
      <c r="F868" s="30"/>
      <c r="G868" s="30"/>
      <c r="H868" s="30"/>
      <c r="I868" s="30"/>
      <c r="J868" s="65"/>
      <c r="K868" s="83"/>
      <c r="L868" s="30"/>
      <c r="M868" s="39"/>
    </row>
    <row r="869" spans="1:13" x14ac:dyDescent="0.2">
      <c r="A869" s="30"/>
      <c r="B869" s="30"/>
      <c r="C869" s="30"/>
      <c r="D869" s="30"/>
      <c r="E869" s="30"/>
      <c r="F869" s="30"/>
      <c r="G869" s="30"/>
      <c r="H869" s="30"/>
      <c r="I869" s="30"/>
      <c r="J869" s="65"/>
      <c r="K869" s="83"/>
      <c r="L869" s="30"/>
      <c r="M869" s="39"/>
    </row>
    <row r="870" spans="1:13" x14ac:dyDescent="0.2">
      <c r="A870" s="30"/>
      <c r="B870" s="30"/>
      <c r="C870" s="30"/>
      <c r="D870" s="30"/>
      <c r="E870" s="30"/>
      <c r="F870" s="30"/>
      <c r="G870" s="30"/>
      <c r="H870" s="30"/>
      <c r="I870" s="30"/>
      <c r="J870" s="65"/>
      <c r="K870" s="83"/>
      <c r="L870" s="30"/>
      <c r="M870" s="39"/>
    </row>
    <row r="871" spans="1:13" x14ac:dyDescent="0.2">
      <c r="A871" s="30"/>
      <c r="B871" s="30"/>
      <c r="C871" s="30"/>
      <c r="D871" s="30"/>
      <c r="E871" s="30"/>
      <c r="F871" s="30"/>
      <c r="G871" s="30"/>
      <c r="H871" s="30"/>
      <c r="I871" s="30"/>
      <c r="J871" s="65"/>
      <c r="K871" s="83"/>
      <c r="L871" s="30"/>
      <c r="M871" s="39"/>
    </row>
    <row r="872" spans="1:13" x14ac:dyDescent="0.2">
      <c r="A872" s="30"/>
      <c r="B872" s="30"/>
      <c r="C872" s="30"/>
      <c r="D872" s="30"/>
      <c r="E872" s="30"/>
      <c r="F872" s="30"/>
      <c r="G872" s="30"/>
      <c r="H872" s="30"/>
      <c r="I872" s="30"/>
      <c r="J872" s="65"/>
      <c r="K872" s="83"/>
      <c r="L872" s="30"/>
      <c r="M872" s="39"/>
    </row>
    <row r="873" spans="1:13" x14ac:dyDescent="0.2">
      <c r="A873" s="30"/>
      <c r="B873" s="30"/>
      <c r="C873" s="30"/>
      <c r="D873" s="30"/>
      <c r="E873" s="30"/>
      <c r="F873" s="30"/>
      <c r="G873" s="30"/>
      <c r="H873" s="30"/>
      <c r="I873" s="30"/>
      <c r="J873" s="65"/>
      <c r="K873" s="83"/>
      <c r="L873" s="30"/>
      <c r="M873" s="39"/>
    </row>
    <row r="874" spans="1:13" x14ac:dyDescent="0.2">
      <c r="A874" s="30"/>
      <c r="B874" s="30"/>
      <c r="C874" s="30"/>
      <c r="D874" s="30"/>
      <c r="E874" s="30"/>
      <c r="F874" s="30"/>
      <c r="G874" s="30"/>
      <c r="H874" s="30"/>
      <c r="I874" s="30"/>
      <c r="J874" s="65"/>
      <c r="K874" s="83"/>
      <c r="L874" s="30"/>
      <c r="M874" s="39"/>
    </row>
    <row r="875" spans="1:13" x14ac:dyDescent="0.2">
      <c r="A875" s="30"/>
      <c r="B875" s="30"/>
      <c r="C875" s="30"/>
      <c r="D875" s="30"/>
      <c r="E875" s="30"/>
      <c r="F875" s="30"/>
      <c r="G875" s="30"/>
      <c r="H875" s="30"/>
      <c r="I875" s="30"/>
      <c r="J875" s="65"/>
      <c r="K875" s="83"/>
      <c r="L875" s="30"/>
      <c r="M875" s="39"/>
    </row>
    <row r="876" spans="1:13" x14ac:dyDescent="0.2">
      <c r="A876" s="30"/>
      <c r="B876" s="30"/>
      <c r="C876" s="30"/>
      <c r="D876" s="30"/>
      <c r="E876" s="30"/>
      <c r="F876" s="30"/>
      <c r="G876" s="30"/>
      <c r="H876" s="30"/>
      <c r="I876" s="30"/>
      <c r="J876" s="65"/>
      <c r="K876" s="83"/>
      <c r="L876" s="30"/>
      <c r="M876" s="39"/>
    </row>
    <row r="877" spans="1:13" x14ac:dyDescent="0.2">
      <c r="A877" s="30"/>
      <c r="B877" s="30"/>
      <c r="C877" s="30"/>
      <c r="D877" s="30"/>
      <c r="E877" s="30"/>
      <c r="F877" s="30"/>
      <c r="G877" s="30"/>
      <c r="H877" s="30"/>
      <c r="I877" s="30"/>
      <c r="J877" s="65"/>
      <c r="K877" s="83"/>
      <c r="L877" s="30"/>
      <c r="M877" s="39"/>
    </row>
    <row r="878" spans="1:13" x14ac:dyDescent="0.2">
      <c r="A878" s="30"/>
      <c r="B878" s="30"/>
      <c r="C878" s="30"/>
      <c r="D878" s="30"/>
      <c r="E878" s="30"/>
      <c r="F878" s="30"/>
      <c r="G878" s="30"/>
      <c r="H878" s="30"/>
      <c r="I878" s="30"/>
      <c r="J878" s="65"/>
      <c r="K878" s="83"/>
      <c r="L878" s="30"/>
      <c r="M878" s="39"/>
    </row>
    <row r="879" spans="1:13" x14ac:dyDescent="0.2">
      <c r="A879" s="30"/>
      <c r="B879" s="30"/>
      <c r="C879" s="30"/>
      <c r="D879" s="30"/>
      <c r="E879" s="30"/>
      <c r="F879" s="30"/>
      <c r="G879" s="30"/>
      <c r="H879" s="30"/>
      <c r="I879" s="30"/>
      <c r="J879" s="65"/>
      <c r="K879" s="83"/>
      <c r="L879" s="30"/>
      <c r="M879" s="39"/>
    </row>
    <row r="880" spans="1:13" x14ac:dyDescent="0.2">
      <c r="A880" s="30"/>
      <c r="B880" s="30"/>
      <c r="C880" s="30"/>
      <c r="D880" s="30"/>
      <c r="E880" s="30"/>
      <c r="F880" s="30"/>
      <c r="G880" s="30"/>
      <c r="H880" s="30"/>
      <c r="I880" s="30"/>
      <c r="J880" s="65"/>
      <c r="K880" s="83"/>
      <c r="L880" s="30"/>
      <c r="M880" s="39"/>
    </row>
    <row r="881" spans="1:13" x14ac:dyDescent="0.2">
      <c r="A881" s="30"/>
      <c r="B881" s="30"/>
      <c r="C881" s="30"/>
      <c r="D881" s="30"/>
      <c r="E881" s="30"/>
      <c r="F881" s="30"/>
      <c r="G881" s="30"/>
      <c r="H881" s="30"/>
      <c r="I881" s="30"/>
      <c r="J881" s="65"/>
      <c r="K881" s="83"/>
      <c r="L881" s="30"/>
      <c r="M881" s="39"/>
    </row>
    <row r="882" spans="1:13" x14ac:dyDescent="0.2">
      <c r="A882" s="30"/>
      <c r="B882" s="30"/>
      <c r="C882" s="30"/>
      <c r="D882" s="30"/>
      <c r="E882" s="30"/>
      <c r="F882" s="30"/>
      <c r="G882" s="30"/>
      <c r="H882" s="30"/>
      <c r="I882" s="30"/>
      <c r="J882" s="65"/>
      <c r="K882" s="83"/>
      <c r="L882" s="30"/>
      <c r="M882" s="39"/>
    </row>
    <row r="883" spans="1:13" x14ac:dyDescent="0.2">
      <c r="A883" s="30"/>
      <c r="B883" s="30"/>
      <c r="C883" s="30"/>
      <c r="D883" s="30"/>
      <c r="E883" s="30"/>
      <c r="F883" s="30"/>
      <c r="G883" s="30"/>
      <c r="H883" s="30"/>
      <c r="I883" s="30"/>
      <c r="J883" s="65"/>
      <c r="K883" s="83"/>
      <c r="L883" s="30"/>
      <c r="M883" s="39"/>
    </row>
    <row r="884" spans="1:13" x14ac:dyDescent="0.2">
      <c r="A884" s="30"/>
      <c r="B884" s="30"/>
      <c r="C884" s="30"/>
      <c r="D884" s="30"/>
      <c r="E884" s="30"/>
      <c r="F884" s="30"/>
      <c r="G884" s="30"/>
      <c r="H884" s="30"/>
      <c r="I884" s="30"/>
      <c r="J884" s="65"/>
      <c r="K884" s="83"/>
      <c r="L884" s="30"/>
      <c r="M884" s="39"/>
    </row>
    <row r="885" spans="1:13" x14ac:dyDescent="0.2">
      <c r="A885" s="30"/>
      <c r="B885" s="30"/>
      <c r="C885" s="30"/>
      <c r="D885" s="30"/>
      <c r="E885" s="30"/>
      <c r="F885" s="30"/>
      <c r="G885" s="30"/>
      <c r="H885" s="30"/>
      <c r="I885" s="30"/>
      <c r="J885" s="65"/>
      <c r="K885" s="83"/>
      <c r="L885" s="30"/>
      <c r="M885" s="39"/>
    </row>
    <row r="886" spans="1:13" x14ac:dyDescent="0.2">
      <c r="A886" s="30"/>
      <c r="B886" s="30"/>
      <c r="C886" s="30"/>
      <c r="D886" s="30"/>
      <c r="E886" s="30"/>
      <c r="F886" s="30"/>
      <c r="G886" s="30"/>
      <c r="H886" s="30"/>
      <c r="I886" s="30"/>
      <c r="J886" s="65"/>
      <c r="K886" s="83"/>
      <c r="L886" s="30"/>
      <c r="M886" s="39"/>
    </row>
    <row r="887" spans="1:13" x14ac:dyDescent="0.2">
      <c r="A887" s="30"/>
      <c r="B887" s="30"/>
      <c r="C887" s="30"/>
      <c r="D887" s="30"/>
      <c r="E887" s="30"/>
      <c r="F887" s="30"/>
      <c r="G887" s="30"/>
      <c r="H887" s="30"/>
      <c r="I887" s="30"/>
      <c r="J887" s="65"/>
      <c r="K887" s="83"/>
      <c r="L887" s="30"/>
      <c r="M887" s="39"/>
    </row>
    <row r="888" spans="1:13" x14ac:dyDescent="0.2">
      <c r="A888" s="30"/>
      <c r="B888" s="30"/>
      <c r="C888" s="30"/>
      <c r="D888" s="30"/>
      <c r="E888" s="30"/>
      <c r="F888" s="30"/>
      <c r="G888" s="30"/>
      <c r="H888" s="30"/>
      <c r="I888" s="30"/>
      <c r="J888" s="65"/>
      <c r="K888" s="83"/>
      <c r="L888" s="30"/>
      <c r="M888" s="39"/>
    </row>
    <row r="889" spans="1:13" x14ac:dyDescent="0.2">
      <c r="A889" s="30"/>
      <c r="B889" s="30"/>
      <c r="C889" s="30"/>
      <c r="D889" s="30"/>
      <c r="E889" s="30"/>
      <c r="F889" s="30"/>
      <c r="G889" s="30"/>
      <c r="H889" s="30"/>
      <c r="I889" s="30"/>
      <c r="J889" s="65"/>
      <c r="K889" s="83"/>
      <c r="L889" s="30"/>
      <c r="M889" s="39"/>
    </row>
    <row r="890" spans="1:13" x14ac:dyDescent="0.2">
      <c r="A890" s="30"/>
      <c r="B890" s="30"/>
      <c r="C890" s="30"/>
      <c r="D890" s="30"/>
      <c r="E890" s="30"/>
      <c r="F890" s="30"/>
      <c r="G890" s="30"/>
      <c r="H890" s="30"/>
      <c r="I890" s="30"/>
      <c r="J890" s="65"/>
      <c r="K890" s="83"/>
      <c r="L890" s="30"/>
      <c r="M890" s="39"/>
    </row>
    <row r="891" spans="1:13" x14ac:dyDescent="0.2">
      <c r="A891" s="30"/>
      <c r="B891" s="30"/>
      <c r="C891" s="30"/>
      <c r="D891" s="30"/>
      <c r="E891" s="30"/>
      <c r="F891" s="30"/>
      <c r="G891" s="30"/>
      <c r="H891" s="30"/>
      <c r="I891" s="30"/>
      <c r="J891" s="65"/>
      <c r="K891" s="83"/>
      <c r="L891" s="30"/>
      <c r="M891" s="39"/>
    </row>
    <row r="892" spans="1:13" x14ac:dyDescent="0.2">
      <c r="A892" s="30"/>
      <c r="B892" s="30"/>
      <c r="C892" s="30"/>
      <c r="D892" s="30"/>
      <c r="E892" s="30"/>
      <c r="F892" s="30"/>
      <c r="G892" s="30"/>
      <c r="H892" s="30"/>
      <c r="I892" s="30"/>
      <c r="J892" s="65"/>
      <c r="K892" s="83"/>
      <c r="L892" s="30"/>
      <c r="M892" s="39"/>
    </row>
    <row r="893" spans="1:13" x14ac:dyDescent="0.2">
      <c r="A893" s="30"/>
      <c r="B893" s="30"/>
      <c r="C893" s="30"/>
      <c r="D893" s="30"/>
      <c r="E893" s="30"/>
      <c r="F893" s="30"/>
      <c r="G893" s="30"/>
      <c r="H893" s="30"/>
      <c r="I893" s="30"/>
      <c r="J893" s="65"/>
      <c r="K893" s="83"/>
      <c r="L893" s="30"/>
      <c r="M893" s="39"/>
    </row>
    <row r="894" spans="1:13" x14ac:dyDescent="0.2">
      <c r="A894" s="30"/>
      <c r="B894" s="30"/>
      <c r="C894" s="30"/>
      <c r="D894" s="30"/>
      <c r="E894" s="30"/>
      <c r="F894" s="30"/>
      <c r="G894" s="30"/>
      <c r="H894" s="30"/>
      <c r="I894" s="30"/>
      <c r="J894" s="65"/>
      <c r="K894" s="83"/>
      <c r="L894" s="30"/>
      <c r="M894" s="39"/>
    </row>
    <row r="895" spans="1:13" x14ac:dyDescent="0.2">
      <c r="A895" s="30"/>
      <c r="B895" s="30"/>
      <c r="C895" s="30"/>
      <c r="D895" s="30"/>
      <c r="E895" s="30"/>
      <c r="F895" s="30"/>
      <c r="G895" s="30"/>
      <c r="H895" s="30"/>
      <c r="I895" s="30"/>
      <c r="J895" s="65"/>
      <c r="K895" s="83"/>
      <c r="L895" s="30"/>
      <c r="M895" s="39"/>
    </row>
    <row r="896" spans="1:13" x14ac:dyDescent="0.2">
      <c r="A896" s="30"/>
      <c r="B896" s="30"/>
      <c r="C896" s="30"/>
      <c r="D896" s="30"/>
      <c r="E896" s="30"/>
      <c r="F896" s="30"/>
      <c r="G896" s="30"/>
      <c r="H896" s="30"/>
      <c r="I896" s="30"/>
      <c r="J896" s="65"/>
      <c r="K896" s="83"/>
      <c r="L896" s="30"/>
      <c r="M896" s="39"/>
    </row>
    <row r="897" spans="1:13" x14ac:dyDescent="0.2">
      <c r="A897" s="30"/>
      <c r="B897" s="30"/>
      <c r="C897" s="30"/>
      <c r="D897" s="30"/>
      <c r="E897" s="30"/>
      <c r="F897" s="30"/>
      <c r="G897" s="30"/>
      <c r="H897" s="30"/>
      <c r="I897" s="30"/>
      <c r="J897" s="65"/>
      <c r="K897" s="83"/>
      <c r="L897" s="30"/>
      <c r="M897" s="39"/>
    </row>
    <row r="898" spans="1:13" x14ac:dyDescent="0.2">
      <c r="A898" s="30"/>
      <c r="B898" s="30"/>
      <c r="C898" s="30"/>
      <c r="D898" s="30"/>
      <c r="E898" s="30"/>
      <c r="F898" s="30"/>
      <c r="G898" s="30"/>
      <c r="H898" s="30"/>
      <c r="I898" s="30"/>
      <c r="J898" s="65"/>
      <c r="K898" s="83"/>
      <c r="L898" s="30"/>
      <c r="M898" s="39"/>
    </row>
    <row r="899" spans="1:13" x14ac:dyDescent="0.2">
      <c r="A899" s="30"/>
      <c r="B899" s="30"/>
      <c r="C899" s="30"/>
      <c r="D899" s="30"/>
      <c r="E899" s="30"/>
      <c r="F899" s="30"/>
      <c r="G899" s="30"/>
      <c r="H899" s="30"/>
      <c r="I899" s="30"/>
      <c r="J899" s="65"/>
      <c r="K899" s="83"/>
      <c r="L899" s="30"/>
      <c r="M899" s="39"/>
    </row>
    <row r="900" spans="1:13" x14ac:dyDescent="0.2">
      <c r="A900" s="30"/>
      <c r="B900" s="30"/>
      <c r="C900" s="30"/>
      <c r="D900" s="30"/>
      <c r="E900" s="30"/>
      <c r="F900" s="30"/>
      <c r="G900" s="30"/>
      <c r="H900" s="30"/>
      <c r="I900" s="30"/>
      <c r="J900" s="65"/>
      <c r="K900" s="83"/>
      <c r="L900" s="30"/>
      <c r="M900" s="39"/>
    </row>
    <row r="901" spans="1:13" x14ac:dyDescent="0.2">
      <c r="A901" s="30"/>
      <c r="B901" s="30"/>
      <c r="C901" s="30"/>
      <c r="D901" s="30"/>
      <c r="E901" s="30"/>
      <c r="F901" s="30"/>
      <c r="G901" s="30"/>
      <c r="H901" s="30"/>
      <c r="I901" s="30"/>
      <c r="J901" s="65"/>
      <c r="K901" s="83"/>
      <c r="L901" s="30"/>
      <c r="M901" s="39"/>
    </row>
    <row r="902" spans="1:13" x14ac:dyDescent="0.2">
      <c r="A902" s="30"/>
      <c r="B902" s="30"/>
      <c r="C902" s="30"/>
      <c r="D902" s="30"/>
      <c r="E902" s="30"/>
      <c r="F902" s="30"/>
      <c r="G902" s="30"/>
      <c r="H902" s="30"/>
      <c r="I902" s="30"/>
      <c r="J902" s="65"/>
      <c r="K902" s="83"/>
      <c r="L902" s="30"/>
      <c r="M902" s="39"/>
    </row>
    <row r="903" spans="1:13" x14ac:dyDescent="0.2">
      <c r="A903" s="30"/>
      <c r="B903" s="30"/>
      <c r="C903" s="30"/>
      <c r="D903" s="30"/>
      <c r="E903" s="30"/>
      <c r="F903" s="30"/>
      <c r="G903" s="30"/>
      <c r="H903" s="30"/>
      <c r="I903" s="30"/>
      <c r="J903" s="65"/>
      <c r="K903" s="83"/>
      <c r="L903" s="30"/>
      <c r="M903" s="39"/>
    </row>
    <row r="904" spans="1:13" x14ac:dyDescent="0.2">
      <c r="A904" s="30"/>
      <c r="B904" s="30"/>
      <c r="C904" s="30"/>
      <c r="D904" s="30"/>
      <c r="E904" s="30"/>
      <c r="F904" s="30"/>
      <c r="G904" s="30"/>
      <c r="H904" s="30"/>
      <c r="I904" s="30"/>
      <c r="J904" s="65"/>
      <c r="K904" s="83"/>
      <c r="L904" s="30"/>
      <c r="M904" s="39"/>
    </row>
    <row r="905" spans="1:13" x14ac:dyDescent="0.2">
      <c r="A905" s="30"/>
      <c r="B905" s="30"/>
      <c r="C905" s="30"/>
      <c r="D905" s="30"/>
      <c r="E905" s="30"/>
      <c r="F905" s="30"/>
      <c r="G905" s="30"/>
      <c r="H905" s="30"/>
      <c r="I905" s="30"/>
      <c r="J905" s="65"/>
      <c r="K905" s="83"/>
      <c r="L905" s="30"/>
      <c r="M905" s="39"/>
    </row>
    <row r="906" spans="1:13" x14ac:dyDescent="0.2">
      <c r="A906" s="30"/>
      <c r="B906" s="30"/>
      <c r="C906" s="30"/>
      <c r="D906" s="30"/>
      <c r="E906" s="30"/>
      <c r="F906" s="30"/>
      <c r="G906" s="30"/>
      <c r="H906" s="30"/>
      <c r="I906" s="30"/>
      <c r="J906" s="65"/>
      <c r="K906" s="83"/>
      <c r="L906" s="30"/>
      <c r="M906" s="39"/>
    </row>
    <row r="907" spans="1:13" x14ac:dyDescent="0.2">
      <c r="A907" s="30"/>
      <c r="B907" s="30"/>
      <c r="C907" s="30"/>
      <c r="D907" s="30"/>
      <c r="E907" s="30"/>
      <c r="F907" s="30"/>
      <c r="G907" s="30"/>
      <c r="H907" s="30"/>
      <c r="I907" s="30"/>
      <c r="J907" s="65"/>
      <c r="K907" s="83"/>
      <c r="L907" s="30"/>
      <c r="M907" s="39"/>
    </row>
    <row r="908" spans="1:13" x14ac:dyDescent="0.2">
      <c r="A908" s="30"/>
      <c r="B908" s="30"/>
      <c r="C908" s="30"/>
      <c r="D908" s="30"/>
      <c r="E908" s="30"/>
      <c r="F908" s="30"/>
      <c r="G908" s="30"/>
      <c r="H908" s="30"/>
      <c r="I908" s="30"/>
      <c r="J908" s="65"/>
      <c r="K908" s="83"/>
      <c r="L908" s="30"/>
      <c r="M908" s="39"/>
    </row>
    <row r="909" spans="1:13" x14ac:dyDescent="0.2">
      <c r="A909" s="30"/>
      <c r="B909" s="30"/>
      <c r="C909" s="30"/>
      <c r="D909" s="30"/>
      <c r="E909" s="30"/>
      <c r="F909" s="30"/>
      <c r="G909" s="30"/>
      <c r="H909" s="30"/>
      <c r="I909" s="30"/>
      <c r="J909" s="65"/>
      <c r="K909" s="83"/>
      <c r="L909" s="30"/>
      <c r="M909" s="39"/>
    </row>
    <row r="910" spans="1:13" x14ac:dyDescent="0.2">
      <c r="A910" s="30"/>
      <c r="B910" s="30"/>
      <c r="C910" s="30"/>
      <c r="D910" s="30"/>
      <c r="E910" s="30"/>
      <c r="F910" s="30"/>
      <c r="G910" s="30"/>
      <c r="H910" s="30"/>
      <c r="I910" s="30"/>
      <c r="J910" s="65"/>
      <c r="K910" s="83"/>
      <c r="L910" s="30"/>
      <c r="M910" s="39"/>
    </row>
    <row r="911" spans="1:13" x14ac:dyDescent="0.2">
      <c r="A911" s="30"/>
      <c r="B911" s="30"/>
      <c r="C911" s="30"/>
      <c r="D911" s="30"/>
      <c r="E911" s="30"/>
      <c r="F911" s="30"/>
      <c r="G911" s="30"/>
      <c r="H911" s="30"/>
      <c r="I911" s="30"/>
      <c r="J911" s="65"/>
      <c r="K911" s="83"/>
      <c r="L911" s="30"/>
      <c r="M911" s="39"/>
    </row>
    <row r="912" spans="1:13" x14ac:dyDescent="0.2">
      <c r="A912" s="30"/>
      <c r="B912" s="30"/>
      <c r="C912" s="30"/>
      <c r="D912" s="30"/>
      <c r="E912" s="30"/>
      <c r="F912" s="30"/>
      <c r="G912" s="30"/>
      <c r="H912" s="30"/>
      <c r="I912" s="30"/>
      <c r="J912" s="65"/>
      <c r="K912" s="83"/>
      <c r="L912" s="30"/>
      <c r="M912" s="39"/>
    </row>
    <row r="913" spans="1:13" x14ac:dyDescent="0.2">
      <c r="A913" s="30"/>
      <c r="B913" s="30"/>
      <c r="C913" s="30"/>
      <c r="D913" s="30"/>
      <c r="E913" s="30"/>
      <c r="F913" s="30"/>
      <c r="G913" s="30"/>
      <c r="H913" s="30"/>
      <c r="I913" s="30"/>
      <c r="J913" s="65"/>
      <c r="K913" s="83"/>
      <c r="L913" s="30"/>
      <c r="M913" s="39"/>
    </row>
    <row r="914" spans="1:13" x14ac:dyDescent="0.2">
      <c r="A914" s="30"/>
      <c r="B914" s="30"/>
      <c r="C914" s="30"/>
      <c r="D914" s="30"/>
      <c r="E914" s="30"/>
      <c r="F914" s="30"/>
      <c r="G914" s="30"/>
      <c r="H914" s="30"/>
      <c r="I914" s="30"/>
      <c r="J914" s="65"/>
      <c r="K914" s="83"/>
      <c r="L914" s="30"/>
      <c r="M914" s="39"/>
    </row>
    <row r="915" spans="1:13" x14ac:dyDescent="0.2">
      <c r="A915" s="30"/>
      <c r="B915" s="30"/>
      <c r="C915" s="30"/>
      <c r="D915" s="30"/>
      <c r="E915" s="30"/>
      <c r="F915" s="30"/>
      <c r="G915" s="30"/>
      <c r="H915" s="30"/>
      <c r="I915" s="30"/>
      <c r="J915" s="65"/>
      <c r="K915" s="83"/>
      <c r="L915" s="30"/>
      <c r="M915" s="39"/>
    </row>
    <row r="916" spans="1:13" x14ac:dyDescent="0.2">
      <c r="A916" s="30"/>
      <c r="B916" s="30"/>
      <c r="C916" s="30"/>
      <c r="D916" s="30"/>
      <c r="E916" s="30"/>
      <c r="F916" s="30"/>
      <c r="G916" s="30"/>
      <c r="H916" s="30"/>
      <c r="I916" s="30"/>
      <c r="J916" s="65"/>
      <c r="K916" s="83"/>
      <c r="L916" s="30"/>
      <c r="M916" s="39"/>
    </row>
    <row r="917" spans="1:13" x14ac:dyDescent="0.2">
      <c r="A917" s="30"/>
      <c r="B917" s="30"/>
      <c r="C917" s="30"/>
      <c r="D917" s="30"/>
      <c r="E917" s="30"/>
      <c r="F917" s="30"/>
      <c r="G917" s="30"/>
      <c r="H917" s="30"/>
      <c r="I917" s="30"/>
      <c r="J917" s="65"/>
      <c r="K917" s="83"/>
      <c r="L917" s="30"/>
      <c r="M917" s="39"/>
    </row>
    <row r="918" spans="1:13" x14ac:dyDescent="0.2">
      <c r="A918" s="30"/>
      <c r="B918" s="30"/>
      <c r="C918" s="30"/>
      <c r="D918" s="30"/>
      <c r="E918" s="30"/>
      <c r="F918" s="30"/>
      <c r="G918" s="30"/>
      <c r="H918" s="30"/>
      <c r="I918" s="30"/>
      <c r="J918" s="65"/>
      <c r="K918" s="83"/>
      <c r="L918" s="30"/>
      <c r="M918" s="39"/>
    </row>
    <row r="919" spans="1:13" x14ac:dyDescent="0.2">
      <c r="A919" s="30"/>
      <c r="B919" s="30"/>
      <c r="C919" s="30"/>
      <c r="D919" s="30"/>
      <c r="E919" s="30"/>
      <c r="F919" s="30"/>
      <c r="G919" s="30"/>
      <c r="H919" s="30"/>
      <c r="I919" s="30"/>
      <c r="J919" s="65"/>
      <c r="K919" s="83"/>
      <c r="L919" s="30"/>
      <c r="M919" s="39"/>
    </row>
    <row r="920" spans="1:13" x14ac:dyDescent="0.2">
      <c r="A920" s="30"/>
      <c r="B920" s="30"/>
      <c r="C920" s="30"/>
      <c r="D920" s="30"/>
      <c r="E920" s="30"/>
      <c r="F920" s="30"/>
      <c r="G920" s="30"/>
      <c r="H920" s="30"/>
      <c r="I920" s="30"/>
      <c r="J920" s="65"/>
      <c r="K920" s="83"/>
      <c r="L920" s="30"/>
      <c r="M920" s="39"/>
    </row>
    <row r="921" spans="1:13" x14ac:dyDescent="0.2">
      <c r="A921" s="30"/>
      <c r="B921" s="30"/>
      <c r="C921" s="30"/>
      <c r="D921" s="30"/>
      <c r="E921" s="30"/>
      <c r="F921" s="30"/>
      <c r="G921" s="30"/>
      <c r="H921" s="30"/>
      <c r="I921" s="30"/>
      <c r="J921" s="65"/>
      <c r="K921" s="83"/>
      <c r="L921" s="30"/>
      <c r="M921" s="39"/>
    </row>
    <row r="922" spans="1:13" x14ac:dyDescent="0.2">
      <c r="A922" s="30"/>
      <c r="B922" s="30"/>
      <c r="C922" s="30"/>
      <c r="D922" s="30"/>
      <c r="E922" s="30"/>
      <c r="F922" s="30"/>
      <c r="G922" s="30"/>
      <c r="H922" s="30"/>
      <c r="I922" s="30"/>
      <c r="J922" s="65"/>
      <c r="K922" s="83"/>
      <c r="L922" s="30"/>
      <c r="M922" s="39"/>
    </row>
    <row r="923" spans="1:13" x14ac:dyDescent="0.2">
      <c r="A923" s="30"/>
      <c r="B923" s="30"/>
      <c r="C923" s="30"/>
      <c r="D923" s="30"/>
      <c r="E923" s="30"/>
      <c r="F923" s="30"/>
      <c r="G923" s="30"/>
      <c r="H923" s="30"/>
      <c r="I923" s="30"/>
      <c r="J923" s="65"/>
      <c r="K923" s="83"/>
      <c r="L923" s="30"/>
      <c r="M923" s="39"/>
    </row>
    <row r="924" spans="1:13" x14ac:dyDescent="0.2">
      <c r="A924" s="30"/>
      <c r="B924" s="30"/>
      <c r="C924" s="30"/>
      <c r="D924" s="30"/>
      <c r="E924" s="30"/>
      <c r="F924" s="30"/>
      <c r="G924" s="30"/>
      <c r="H924" s="30"/>
      <c r="I924" s="30"/>
      <c r="J924" s="65"/>
      <c r="K924" s="83"/>
      <c r="L924" s="30"/>
      <c r="M924" s="39"/>
    </row>
    <row r="925" spans="1:13" x14ac:dyDescent="0.2">
      <c r="A925" s="30"/>
      <c r="B925" s="30"/>
      <c r="C925" s="30"/>
      <c r="D925" s="30"/>
      <c r="E925" s="30"/>
      <c r="F925" s="30"/>
      <c r="G925" s="30"/>
      <c r="H925" s="30"/>
      <c r="I925" s="30"/>
      <c r="J925" s="65"/>
      <c r="K925" s="83"/>
      <c r="L925" s="30"/>
      <c r="M925" s="39"/>
    </row>
    <row r="926" spans="1:13" x14ac:dyDescent="0.2">
      <c r="A926" s="30"/>
      <c r="B926" s="30"/>
      <c r="C926" s="30"/>
      <c r="D926" s="30"/>
      <c r="E926" s="30"/>
      <c r="F926" s="30"/>
      <c r="G926" s="30"/>
      <c r="H926" s="30"/>
      <c r="I926" s="30"/>
      <c r="J926" s="65"/>
      <c r="K926" s="83"/>
      <c r="L926" s="30"/>
      <c r="M926" s="39"/>
    </row>
    <row r="927" spans="1:13" x14ac:dyDescent="0.2">
      <c r="A927" s="30"/>
      <c r="B927" s="30"/>
      <c r="C927" s="30"/>
      <c r="D927" s="30"/>
      <c r="E927" s="30"/>
      <c r="F927" s="30"/>
      <c r="G927" s="30"/>
      <c r="H927" s="30"/>
      <c r="I927" s="30"/>
      <c r="J927" s="65"/>
      <c r="K927" s="83"/>
      <c r="L927" s="30"/>
      <c r="M927" s="39"/>
    </row>
    <row r="928" spans="1:13" x14ac:dyDescent="0.2">
      <c r="A928" s="30"/>
      <c r="B928" s="30"/>
      <c r="C928" s="30"/>
      <c r="D928" s="30"/>
      <c r="E928" s="30"/>
      <c r="F928" s="30"/>
      <c r="G928" s="30"/>
      <c r="H928" s="30"/>
      <c r="I928" s="30"/>
      <c r="J928" s="65"/>
      <c r="K928" s="83"/>
      <c r="L928" s="30"/>
      <c r="M928" s="39"/>
    </row>
    <row r="929" spans="1:13" x14ac:dyDescent="0.2">
      <c r="A929" s="30"/>
      <c r="B929" s="30"/>
      <c r="C929" s="30"/>
      <c r="D929" s="30"/>
      <c r="E929" s="30"/>
      <c r="F929" s="30"/>
      <c r="G929" s="30"/>
      <c r="H929" s="30"/>
      <c r="I929" s="30"/>
      <c r="J929" s="65"/>
      <c r="K929" s="83"/>
      <c r="L929" s="30"/>
      <c r="M929" s="39"/>
    </row>
    <row r="930" spans="1:13" x14ac:dyDescent="0.2">
      <c r="A930" s="30"/>
      <c r="B930" s="30"/>
      <c r="C930" s="30"/>
      <c r="D930" s="30"/>
      <c r="E930" s="30"/>
      <c r="F930" s="30"/>
      <c r="G930" s="30"/>
      <c r="H930" s="30"/>
      <c r="I930" s="30"/>
      <c r="J930" s="65"/>
      <c r="K930" s="83"/>
      <c r="L930" s="30"/>
      <c r="M930" s="39"/>
    </row>
    <row r="931" spans="1:13" x14ac:dyDescent="0.2">
      <c r="A931" s="30"/>
      <c r="B931" s="30"/>
      <c r="C931" s="30"/>
      <c r="D931" s="30"/>
      <c r="E931" s="30"/>
      <c r="F931" s="30"/>
      <c r="G931" s="30"/>
      <c r="H931" s="30"/>
      <c r="I931" s="30"/>
      <c r="J931" s="65"/>
      <c r="K931" s="83"/>
      <c r="L931" s="30"/>
      <c r="M931" s="39"/>
    </row>
    <row r="932" spans="1:13" x14ac:dyDescent="0.2">
      <c r="A932" s="30"/>
      <c r="B932" s="30"/>
      <c r="C932" s="30"/>
      <c r="D932" s="30"/>
      <c r="E932" s="30"/>
      <c r="F932" s="30"/>
      <c r="G932" s="30"/>
      <c r="H932" s="30"/>
      <c r="I932" s="30"/>
      <c r="J932" s="65"/>
      <c r="K932" s="83"/>
      <c r="L932" s="30"/>
      <c r="M932" s="39"/>
    </row>
    <row r="933" spans="1:13" x14ac:dyDescent="0.2">
      <c r="A933" s="30"/>
      <c r="B933" s="30"/>
      <c r="C933" s="30"/>
      <c r="D933" s="30"/>
      <c r="E933" s="30"/>
      <c r="F933" s="30"/>
      <c r="G933" s="30"/>
      <c r="H933" s="30"/>
      <c r="I933" s="30"/>
      <c r="J933" s="65"/>
      <c r="K933" s="83"/>
      <c r="L933" s="30"/>
      <c r="M933" s="39"/>
    </row>
    <row r="934" spans="1:13" x14ac:dyDescent="0.2">
      <c r="A934" s="30"/>
      <c r="B934" s="30"/>
      <c r="C934" s="30"/>
      <c r="D934" s="30"/>
      <c r="E934" s="30"/>
      <c r="F934" s="30"/>
      <c r="G934" s="30"/>
      <c r="H934" s="30"/>
      <c r="I934" s="30"/>
      <c r="J934" s="65"/>
      <c r="K934" s="83"/>
      <c r="L934" s="30"/>
      <c r="M934" s="39"/>
    </row>
    <row r="935" spans="1:13" x14ac:dyDescent="0.2">
      <c r="A935" s="30"/>
      <c r="B935" s="30"/>
      <c r="C935" s="30"/>
      <c r="D935" s="30"/>
      <c r="E935" s="30"/>
      <c r="F935" s="30"/>
      <c r="G935" s="30"/>
      <c r="H935" s="30"/>
      <c r="I935" s="30"/>
      <c r="J935" s="65"/>
      <c r="K935" s="83"/>
      <c r="L935" s="30"/>
      <c r="M935" s="39"/>
    </row>
    <row r="936" spans="1:13" x14ac:dyDescent="0.2">
      <c r="A936" s="30"/>
      <c r="B936" s="30"/>
      <c r="C936" s="30"/>
      <c r="D936" s="30"/>
      <c r="E936" s="30"/>
      <c r="F936" s="30"/>
      <c r="G936" s="30"/>
      <c r="H936" s="30"/>
      <c r="I936" s="30"/>
      <c r="J936" s="65"/>
      <c r="K936" s="83"/>
      <c r="L936" s="30"/>
      <c r="M936" s="39"/>
    </row>
    <row r="937" spans="1:13" x14ac:dyDescent="0.2">
      <c r="A937" s="30"/>
      <c r="B937" s="30"/>
      <c r="C937" s="30"/>
      <c r="D937" s="30"/>
      <c r="E937" s="30"/>
      <c r="F937" s="30"/>
      <c r="G937" s="30"/>
      <c r="H937" s="30"/>
      <c r="I937" s="30"/>
      <c r="J937" s="65"/>
      <c r="K937" s="83"/>
      <c r="L937" s="30"/>
      <c r="M937" s="39"/>
    </row>
    <row r="938" spans="1:13" x14ac:dyDescent="0.2">
      <c r="A938" s="30"/>
      <c r="B938" s="30"/>
      <c r="C938" s="30"/>
      <c r="D938" s="30"/>
      <c r="E938" s="30"/>
      <c r="F938" s="30"/>
      <c r="G938" s="30"/>
      <c r="H938" s="30"/>
      <c r="I938" s="30"/>
      <c r="J938" s="65"/>
      <c r="K938" s="83"/>
      <c r="L938" s="30"/>
      <c r="M938" s="39"/>
    </row>
    <row r="939" spans="1:13" x14ac:dyDescent="0.2">
      <c r="A939" s="30"/>
      <c r="B939" s="30"/>
      <c r="C939" s="30"/>
      <c r="D939" s="30"/>
      <c r="E939" s="30"/>
      <c r="F939" s="30"/>
      <c r="G939" s="30"/>
      <c r="H939" s="30"/>
      <c r="I939" s="30"/>
      <c r="J939" s="65"/>
      <c r="K939" s="83"/>
      <c r="L939" s="30"/>
      <c r="M939" s="39"/>
    </row>
    <row r="940" spans="1:13" x14ac:dyDescent="0.2">
      <c r="A940" s="30"/>
      <c r="B940" s="30"/>
      <c r="C940" s="30"/>
      <c r="D940" s="30"/>
      <c r="E940" s="30"/>
      <c r="F940" s="30"/>
      <c r="G940" s="30"/>
      <c r="H940" s="30"/>
      <c r="I940" s="30"/>
      <c r="J940" s="65"/>
      <c r="K940" s="83"/>
      <c r="L940" s="30"/>
      <c r="M940" s="39"/>
    </row>
    <row r="941" spans="1:13" x14ac:dyDescent="0.2">
      <c r="A941" s="30"/>
      <c r="B941" s="30"/>
      <c r="C941" s="30"/>
      <c r="D941" s="30"/>
      <c r="E941" s="30"/>
      <c r="F941" s="30"/>
      <c r="G941" s="30"/>
      <c r="H941" s="30"/>
      <c r="I941" s="30"/>
      <c r="J941" s="65"/>
      <c r="K941" s="83"/>
      <c r="L941" s="30"/>
      <c r="M941" s="39"/>
    </row>
    <row r="942" spans="1:13" x14ac:dyDescent="0.2">
      <c r="A942" s="30"/>
      <c r="B942" s="30"/>
      <c r="C942" s="30"/>
      <c r="D942" s="30"/>
      <c r="E942" s="30"/>
      <c r="F942" s="30"/>
      <c r="G942" s="30"/>
      <c r="H942" s="30"/>
      <c r="I942" s="30"/>
      <c r="J942" s="65"/>
      <c r="K942" s="83"/>
      <c r="L942" s="30"/>
      <c r="M942" s="39"/>
    </row>
    <row r="943" spans="1:13" x14ac:dyDescent="0.2">
      <c r="A943" s="30"/>
      <c r="B943" s="30"/>
      <c r="C943" s="30"/>
      <c r="D943" s="30"/>
      <c r="E943" s="30"/>
      <c r="F943" s="30"/>
      <c r="G943" s="30"/>
      <c r="H943" s="30"/>
      <c r="I943" s="30"/>
      <c r="J943" s="65"/>
      <c r="K943" s="83"/>
      <c r="L943" s="30"/>
      <c r="M943" s="39"/>
    </row>
    <row r="944" spans="1:13" x14ac:dyDescent="0.2">
      <c r="A944" s="30"/>
      <c r="B944" s="30"/>
      <c r="C944" s="30"/>
      <c r="D944" s="30"/>
      <c r="E944" s="30"/>
      <c r="F944" s="30"/>
      <c r="G944" s="30"/>
      <c r="H944" s="30"/>
      <c r="I944" s="30"/>
      <c r="J944" s="65"/>
      <c r="K944" s="83"/>
      <c r="L944" s="30"/>
      <c r="M944" s="39"/>
    </row>
    <row r="945" spans="1:13" x14ac:dyDescent="0.2">
      <c r="A945" s="30"/>
      <c r="B945" s="30"/>
      <c r="C945" s="30"/>
      <c r="D945" s="30"/>
      <c r="E945" s="30"/>
      <c r="F945" s="30"/>
      <c r="G945" s="30"/>
      <c r="H945" s="30"/>
      <c r="I945" s="30"/>
      <c r="J945" s="65"/>
      <c r="K945" s="83"/>
      <c r="L945" s="30"/>
      <c r="M945" s="39"/>
    </row>
    <row r="946" spans="1:13" x14ac:dyDescent="0.2">
      <c r="A946" s="30"/>
      <c r="B946" s="30"/>
      <c r="C946" s="30"/>
      <c r="D946" s="30"/>
      <c r="E946" s="30"/>
      <c r="F946" s="30"/>
      <c r="G946" s="30"/>
      <c r="H946" s="30"/>
      <c r="I946" s="30"/>
      <c r="J946" s="65"/>
      <c r="K946" s="83"/>
      <c r="L946" s="30"/>
      <c r="M946" s="39"/>
    </row>
    <row r="947" spans="1:13" x14ac:dyDescent="0.2">
      <c r="A947" s="30"/>
      <c r="B947" s="30"/>
      <c r="C947" s="30"/>
      <c r="D947" s="30"/>
      <c r="E947" s="30"/>
      <c r="F947" s="30"/>
      <c r="G947" s="30"/>
      <c r="H947" s="30"/>
      <c r="I947" s="30"/>
      <c r="J947" s="65"/>
      <c r="K947" s="83"/>
      <c r="L947" s="30"/>
      <c r="M947" s="39"/>
    </row>
    <row r="948" spans="1:13" x14ac:dyDescent="0.2">
      <c r="A948" s="30"/>
      <c r="B948" s="30"/>
      <c r="C948" s="30"/>
      <c r="D948" s="30"/>
      <c r="E948" s="30"/>
      <c r="F948" s="30"/>
      <c r="G948" s="30"/>
      <c r="H948" s="30"/>
      <c r="I948" s="30"/>
      <c r="J948" s="65"/>
      <c r="K948" s="83"/>
      <c r="L948" s="30"/>
      <c r="M948" s="39"/>
    </row>
    <row r="949" spans="1:13" x14ac:dyDescent="0.2">
      <c r="A949" s="30"/>
      <c r="B949" s="30"/>
      <c r="C949" s="30"/>
      <c r="D949" s="30"/>
      <c r="E949" s="30"/>
      <c r="F949" s="30"/>
      <c r="G949" s="30"/>
      <c r="H949" s="30"/>
      <c r="I949" s="30"/>
      <c r="J949" s="65"/>
      <c r="K949" s="83"/>
      <c r="L949" s="30"/>
      <c r="M949" s="39"/>
    </row>
    <row r="950" spans="1:13" x14ac:dyDescent="0.2">
      <c r="A950" s="30"/>
      <c r="B950" s="30"/>
      <c r="C950" s="30"/>
      <c r="D950" s="30"/>
      <c r="E950" s="30"/>
      <c r="F950" s="30"/>
      <c r="G950" s="30"/>
      <c r="H950" s="30"/>
      <c r="I950" s="30"/>
      <c r="J950" s="65"/>
      <c r="K950" s="83"/>
      <c r="L950" s="30"/>
      <c r="M950" s="39"/>
    </row>
    <row r="951" spans="1:13" x14ac:dyDescent="0.2">
      <c r="A951" s="30"/>
      <c r="B951" s="30"/>
      <c r="C951" s="30"/>
      <c r="D951" s="30"/>
      <c r="E951" s="30"/>
      <c r="F951" s="30"/>
      <c r="G951" s="30"/>
      <c r="H951" s="30"/>
      <c r="I951" s="30"/>
      <c r="J951" s="65"/>
      <c r="K951" s="83"/>
      <c r="L951" s="30"/>
      <c r="M951" s="39"/>
    </row>
    <row r="952" spans="1:13" x14ac:dyDescent="0.2">
      <c r="A952" s="30"/>
      <c r="B952" s="30"/>
      <c r="C952" s="30"/>
      <c r="D952" s="30"/>
      <c r="E952" s="30"/>
      <c r="F952" s="30"/>
      <c r="G952" s="30"/>
      <c r="H952" s="30"/>
      <c r="I952" s="30"/>
      <c r="J952" s="65"/>
      <c r="K952" s="83"/>
      <c r="L952" s="30"/>
      <c r="M952" s="39"/>
    </row>
    <row r="953" spans="1:13" x14ac:dyDescent="0.2">
      <c r="A953" s="30"/>
      <c r="B953" s="30"/>
      <c r="C953" s="30"/>
      <c r="D953" s="30"/>
      <c r="E953" s="30"/>
      <c r="F953" s="30"/>
      <c r="G953" s="30"/>
      <c r="H953" s="30"/>
      <c r="I953" s="30"/>
      <c r="J953" s="65"/>
      <c r="K953" s="83"/>
      <c r="L953" s="30"/>
      <c r="M953" s="39"/>
    </row>
    <row r="954" spans="1:13" x14ac:dyDescent="0.2">
      <c r="A954" s="30"/>
      <c r="B954" s="30"/>
      <c r="C954" s="30"/>
      <c r="D954" s="30"/>
      <c r="E954" s="30"/>
      <c r="F954" s="30"/>
      <c r="G954" s="30"/>
      <c r="H954" s="30"/>
      <c r="I954" s="30"/>
      <c r="J954" s="65"/>
      <c r="K954" s="83"/>
      <c r="L954" s="30"/>
      <c r="M954" s="39"/>
    </row>
    <row r="955" spans="1:13" x14ac:dyDescent="0.2">
      <c r="A955" s="30"/>
      <c r="B955" s="30"/>
      <c r="C955" s="30"/>
      <c r="D955" s="30"/>
      <c r="E955" s="30"/>
      <c r="F955" s="30"/>
      <c r="G955" s="30"/>
      <c r="H955" s="30"/>
      <c r="I955" s="30"/>
      <c r="J955" s="65"/>
      <c r="K955" s="83"/>
      <c r="L955" s="30"/>
      <c r="M955" s="39"/>
    </row>
    <row r="956" spans="1:13" x14ac:dyDescent="0.2">
      <c r="A956" s="30"/>
      <c r="B956" s="30"/>
      <c r="C956" s="30"/>
      <c r="D956" s="30"/>
      <c r="E956" s="30"/>
      <c r="F956" s="30"/>
      <c r="G956" s="30"/>
      <c r="H956" s="30"/>
      <c r="I956" s="30"/>
      <c r="J956" s="65"/>
      <c r="K956" s="83"/>
      <c r="L956" s="30"/>
      <c r="M956" s="39"/>
    </row>
    <row r="957" spans="1:13" x14ac:dyDescent="0.2">
      <c r="A957" s="30"/>
      <c r="B957" s="30"/>
      <c r="C957" s="30"/>
      <c r="D957" s="30"/>
      <c r="E957" s="30"/>
      <c r="F957" s="30"/>
      <c r="G957" s="30"/>
      <c r="H957" s="30"/>
      <c r="I957" s="30"/>
      <c r="J957" s="65"/>
      <c r="K957" s="83"/>
      <c r="L957" s="30"/>
      <c r="M957" s="39"/>
    </row>
    <row r="958" spans="1:13" x14ac:dyDescent="0.2">
      <c r="A958" s="30"/>
      <c r="B958" s="30"/>
      <c r="C958" s="30"/>
      <c r="D958" s="30"/>
      <c r="E958" s="30"/>
      <c r="F958" s="30"/>
      <c r="G958" s="30"/>
      <c r="H958" s="30"/>
      <c r="I958" s="30"/>
      <c r="J958" s="65"/>
      <c r="K958" s="83"/>
      <c r="L958" s="30"/>
      <c r="M958" s="39"/>
    </row>
    <row r="959" spans="1:13" x14ac:dyDescent="0.2">
      <c r="A959" s="30"/>
      <c r="B959" s="30"/>
      <c r="C959" s="30"/>
      <c r="D959" s="30"/>
      <c r="E959" s="30"/>
      <c r="F959" s="30"/>
      <c r="G959" s="30"/>
      <c r="H959" s="30"/>
      <c r="I959" s="30"/>
      <c r="J959" s="65"/>
      <c r="K959" s="83"/>
      <c r="L959" s="30"/>
      <c r="M959" s="39"/>
    </row>
    <row r="960" spans="1:13" x14ac:dyDescent="0.2">
      <c r="A960" s="30"/>
      <c r="B960" s="30"/>
      <c r="C960" s="30"/>
      <c r="D960" s="30"/>
      <c r="E960" s="30"/>
      <c r="F960" s="30"/>
      <c r="G960" s="30"/>
      <c r="H960" s="30"/>
      <c r="I960" s="30"/>
      <c r="J960" s="65"/>
      <c r="K960" s="83"/>
      <c r="L960" s="30"/>
      <c r="M960" s="39"/>
    </row>
    <row r="961" spans="1:13" x14ac:dyDescent="0.2">
      <c r="A961" s="30"/>
      <c r="B961" s="30"/>
      <c r="C961" s="30"/>
      <c r="D961" s="30"/>
      <c r="E961" s="30"/>
      <c r="F961" s="30"/>
      <c r="G961" s="30"/>
      <c r="H961" s="30"/>
      <c r="I961" s="30"/>
      <c r="J961" s="65"/>
      <c r="K961" s="83"/>
      <c r="L961" s="30"/>
      <c r="M961" s="39"/>
    </row>
    <row r="962" spans="1:13" x14ac:dyDescent="0.2">
      <c r="A962" s="30"/>
      <c r="B962" s="30"/>
      <c r="C962" s="30"/>
      <c r="D962" s="30"/>
      <c r="E962" s="30"/>
      <c r="F962" s="30"/>
      <c r="G962" s="30"/>
      <c r="H962" s="30"/>
      <c r="I962" s="30"/>
      <c r="J962" s="65"/>
      <c r="K962" s="83"/>
      <c r="L962" s="30"/>
      <c r="M962" s="39"/>
    </row>
    <row r="963" spans="1:13" x14ac:dyDescent="0.2">
      <c r="A963" s="30"/>
      <c r="B963" s="30"/>
      <c r="C963" s="30"/>
      <c r="D963" s="30"/>
      <c r="E963" s="30"/>
      <c r="F963" s="30"/>
      <c r="G963" s="30"/>
      <c r="H963" s="30"/>
      <c r="I963" s="30"/>
      <c r="J963" s="65"/>
      <c r="K963" s="83"/>
      <c r="L963" s="30"/>
      <c r="M963" s="39"/>
    </row>
    <row r="964" spans="1:13" x14ac:dyDescent="0.2">
      <c r="A964" s="30"/>
      <c r="B964" s="30"/>
      <c r="C964" s="30"/>
      <c r="D964" s="30"/>
      <c r="E964" s="30"/>
      <c r="F964" s="30"/>
      <c r="G964" s="30"/>
      <c r="H964" s="30"/>
      <c r="I964" s="30"/>
      <c r="J964" s="65"/>
      <c r="K964" s="83"/>
      <c r="L964" s="30"/>
      <c r="M964" s="39"/>
    </row>
    <row r="965" spans="1:13" x14ac:dyDescent="0.2">
      <c r="A965" s="30"/>
      <c r="B965" s="30"/>
      <c r="C965" s="30"/>
      <c r="D965" s="30"/>
      <c r="E965" s="30"/>
      <c r="F965" s="30"/>
      <c r="G965" s="30"/>
      <c r="H965" s="30"/>
      <c r="I965" s="30"/>
      <c r="J965" s="65"/>
      <c r="K965" s="83"/>
      <c r="L965" s="30"/>
      <c r="M965" s="39"/>
    </row>
    <row r="966" spans="1:13" x14ac:dyDescent="0.2">
      <c r="A966" s="30"/>
      <c r="B966" s="30"/>
      <c r="C966" s="30"/>
      <c r="D966" s="30"/>
      <c r="E966" s="30"/>
      <c r="F966" s="30"/>
      <c r="G966" s="30"/>
      <c r="H966" s="30"/>
      <c r="I966" s="30"/>
      <c r="J966" s="65"/>
      <c r="K966" s="83"/>
      <c r="L966" s="30"/>
      <c r="M966" s="39"/>
    </row>
    <row r="967" spans="1:13" x14ac:dyDescent="0.2">
      <c r="A967" s="30"/>
      <c r="B967" s="30"/>
      <c r="C967" s="30"/>
      <c r="D967" s="30"/>
      <c r="E967" s="30"/>
      <c r="F967" s="30"/>
      <c r="G967" s="30"/>
      <c r="H967" s="30"/>
      <c r="I967" s="30"/>
      <c r="J967" s="65"/>
      <c r="K967" s="83"/>
      <c r="L967" s="30"/>
      <c r="M967" s="39"/>
    </row>
    <row r="968" spans="1:13" x14ac:dyDescent="0.2">
      <c r="A968" s="30"/>
      <c r="B968" s="30"/>
      <c r="C968" s="30"/>
      <c r="D968" s="30"/>
      <c r="E968" s="30"/>
      <c r="F968" s="30"/>
      <c r="G968" s="30"/>
      <c r="H968" s="30"/>
      <c r="I968" s="30"/>
      <c r="J968" s="65"/>
      <c r="K968" s="83"/>
      <c r="L968" s="30"/>
      <c r="M968" s="39"/>
    </row>
    <row r="969" spans="1:13" x14ac:dyDescent="0.2">
      <c r="A969" s="30"/>
      <c r="B969" s="30"/>
      <c r="C969" s="30"/>
      <c r="D969" s="30"/>
      <c r="E969" s="30"/>
      <c r="F969" s="30"/>
      <c r="G969" s="30"/>
      <c r="H969" s="30"/>
      <c r="I969" s="30"/>
      <c r="J969" s="65"/>
      <c r="K969" s="83"/>
      <c r="L969" s="30"/>
      <c r="M969" s="39"/>
    </row>
    <row r="970" spans="1:13" x14ac:dyDescent="0.2">
      <c r="A970" s="30"/>
      <c r="B970" s="30"/>
      <c r="C970" s="30"/>
      <c r="D970" s="30"/>
      <c r="E970" s="30"/>
      <c r="F970" s="30"/>
      <c r="G970" s="30"/>
      <c r="H970" s="30"/>
      <c r="I970" s="30"/>
      <c r="J970" s="65"/>
      <c r="K970" s="83"/>
      <c r="L970" s="30"/>
      <c r="M970" s="39"/>
    </row>
    <row r="971" spans="1:13" x14ac:dyDescent="0.2">
      <c r="A971" s="30"/>
      <c r="B971" s="30"/>
      <c r="C971" s="30"/>
      <c r="D971" s="30"/>
      <c r="E971" s="30"/>
      <c r="F971" s="30"/>
      <c r="G971" s="30"/>
      <c r="H971" s="30"/>
      <c r="I971" s="30"/>
      <c r="J971" s="65"/>
      <c r="K971" s="83"/>
      <c r="L971" s="30"/>
      <c r="M971" s="39"/>
    </row>
    <row r="972" spans="1:13" x14ac:dyDescent="0.2">
      <c r="A972" s="30"/>
      <c r="B972" s="30"/>
      <c r="C972" s="30"/>
      <c r="D972" s="30"/>
      <c r="E972" s="30"/>
      <c r="F972" s="30"/>
      <c r="G972" s="30"/>
      <c r="H972" s="30"/>
      <c r="I972" s="30"/>
      <c r="J972" s="65"/>
      <c r="K972" s="83"/>
      <c r="L972" s="30"/>
      <c r="M972" s="39"/>
    </row>
    <row r="973" spans="1:13" x14ac:dyDescent="0.2">
      <c r="A973" s="30"/>
      <c r="B973" s="30"/>
      <c r="C973" s="30"/>
      <c r="D973" s="30"/>
      <c r="E973" s="30"/>
      <c r="F973" s="30"/>
      <c r="G973" s="30"/>
      <c r="H973" s="30"/>
      <c r="I973" s="30"/>
      <c r="J973" s="65"/>
      <c r="K973" s="83"/>
      <c r="L973" s="30"/>
      <c r="M973" s="39"/>
    </row>
    <row r="974" spans="1:13" x14ac:dyDescent="0.2">
      <c r="A974" s="30"/>
      <c r="B974" s="30"/>
      <c r="C974" s="30"/>
      <c r="D974" s="30"/>
      <c r="E974" s="30"/>
      <c r="F974" s="30"/>
      <c r="G974" s="30"/>
      <c r="H974" s="30"/>
      <c r="I974" s="30"/>
      <c r="J974" s="65"/>
      <c r="K974" s="83"/>
      <c r="L974" s="30"/>
      <c r="M974" s="39"/>
    </row>
    <row r="975" spans="1:13" x14ac:dyDescent="0.2">
      <c r="A975" s="30"/>
      <c r="B975" s="30"/>
      <c r="C975" s="30"/>
      <c r="D975" s="30"/>
      <c r="E975" s="30"/>
      <c r="F975" s="30"/>
      <c r="G975" s="30"/>
      <c r="H975" s="30"/>
      <c r="I975" s="30"/>
      <c r="J975" s="65"/>
      <c r="K975" s="83"/>
      <c r="L975" s="30"/>
      <c r="M975" s="39"/>
    </row>
    <row r="976" spans="1:13" x14ac:dyDescent="0.2">
      <c r="A976" s="30"/>
      <c r="B976" s="30"/>
      <c r="C976" s="30"/>
      <c r="D976" s="30"/>
      <c r="E976" s="30"/>
      <c r="F976" s="30"/>
      <c r="G976" s="30"/>
      <c r="H976" s="30"/>
      <c r="I976" s="30"/>
      <c r="J976" s="65"/>
      <c r="K976" s="83"/>
      <c r="L976" s="30"/>
      <c r="M976" s="39"/>
    </row>
    <row r="977" spans="1:13" x14ac:dyDescent="0.2">
      <c r="A977" s="30"/>
      <c r="B977" s="30"/>
      <c r="C977" s="30"/>
      <c r="D977" s="30"/>
      <c r="E977" s="30"/>
      <c r="F977" s="30"/>
      <c r="G977" s="30"/>
      <c r="H977" s="30"/>
      <c r="I977" s="30"/>
      <c r="J977" s="65"/>
      <c r="K977" s="83"/>
      <c r="L977" s="30"/>
      <c r="M977" s="39"/>
    </row>
    <row r="978" spans="1:13" x14ac:dyDescent="0.2">
      <c r="A978" s="30"/>
      <c r="B978" s="30"/>
      <c r="C978" s="30"/>
      <c r="D978" s="30"/>
      <c r="E978" s="30"/>
      <c r="F978" s="30"/>
      <c r="G978" s="30"/>
      <c r="H978" s="30"/>
      <c r="I978" s="30"/>
      <c r="J978" s="65"/>
      <c r="K978" s="83"/>
      <c r="L978" s="30"/>
      <c r="M978" s="39"/>
    </row>
    <row r="979" spans="1:13" x14ac:dyDescent="0.2">
      <c r="A979" s="30"/>
      <c r="B979" s="30"/>
      <c r="C979" s="30"/>
      <c r="D979" s="30"/>
      <c r="E979" s="30"/>
      <c r="F979" s="30"/>
      <c r="G979" s="30"/>
      <c r="H979" s="30"/>
      <c r="I979" s="30"/>
      <c r="J979" s="65"/>
      <c r="K979" s="83"/>
      <c r="L979" s="30"/>
      <c r="M979" s="39"/>
    </row>
    <row r="980" spans="1:13" x14ac:dyDescent="0.2">
      <c r="A980" s="30"/>
      <c r="B980" s="30"/>
      <c r="C980" s="30"/>
      <c r="D980" s="30"/>
      <c r="E980" s="30"/>
      <c r="F980" s="30"/>
      <c r="G980" s="30"/>
      <c r="H980" s="30"/>
      <c r="I980" s="30"/>
      <c r="J980" s="65"/>
      <c r="K980" s="83"/>
      <c r="L980" s="30"/>
      <c r="M980" s="39"/>
    </row>
    <row r="981" spans="1:13" x14ac:dyDescent="0.2">
      <c r="A981" s="30"/>
      <c r="B981" s="30"/>
      <c r="C981" s="30"/>
      <c r="D981" s="30"/>
      <c r="E981" s="30"/>
      <c r="F981" s="30"/>
      <c r="G981" s="30"/>
      <c r="H981" s="30"/>
      <c r="I981" s="30"/>
      <c r="J981" s="65"/>
      <c r="K981" s="83"/>
      <c r="L981" s="30"/>
      <c r="M981" s="39"/>
    </row>
    <row r="982" spans="1:13" x14ac:dyDescent="0.2">
      <c r="A982" s="30"/>
      <c r="B982" s="30"/>
      <c r="C982" s="30"/>
      <c r="D982" s="30"/>
      <c r="E982" s="30"/>
      <c r="F982" s="30"/>
      <c r="G982" s="30"/>
      <c r="H982" s="30"/>
      <c r="I982" s="30"/>
      <c r="J982" s="65"/>
      <c r="K982" s="83"/>
      <c r="L982" s="30"/>
      <c r="M982" s="39"/>
    </row>
    <row r="983" spans="1:13" x14ac:dyDescent="0.2">
      <c r="A983" s="30"/>
      <c r="B983" s="30"/>
      <c r="C983" s="30"/>
      <c r="D983" s="30"/>
      <c r="E983" s="30"/>
      <c r="F983" s="30"/>
      <c r="G983" s="30"/>
      <c r="H983" s="30"/>
      <c r="I983" s="30"/>
      <c r="J983" s="65"/>
      <c r="K983" s="83"/>
      <c r="L983" s="30"/>
      <c r="M983" s="39"/>
    </row>
    <row r="984" spans="1:13" x14ac:dyDescent="0.2">
      <c r="A984" s="30"/>
      <c r="B984" s="30"/>
      <c r="C984" s="30"/>
      <c r="D984" s="30"/>
      <c r="E984" s="30"/>
      <c r="F984" s="30"/>
      <c r="G984" s="30"/>
      <c r="H984" s="30"/>
      <c r="I984" s="30"/>
      <c r="J984" s="65"/>
      <c r="K984" s="83"/>
      <c r="L984" s="30"/>
      <c r="M984" s="39"/>
    </row>
    <row r="985" spans="1:13" x14ac:dyDescent="0.2">
      <c r="A985" s="30"/>
      <c r="B985" s="30"/>
      <c r="C985" s="30"/>
      <c r="D985" s="30"/>
      <c r="E985" s="30"/>
      <c r="F985" s="30"/>
      <c r="G985" s="30"/>
      <c r="H985" s="30"/>
      <c r="I985" s="30"/>
      <c r="J985" s="65"/>
      <c r="K985" s="83"/>
      <c r="L985" s="30"/>
      <c r="M985" s="39"/>
    </row>
    <row r="986" spans="1:13" x14ac:dyDescent="0.2">
      <c r="A986" s="30"/>
      <c r="B986" s="30"/>
      <c r="C986" s="30"/>
      <c r="D986" s="30"/>
      <c r="E986" s="30"/>
      <c r="F986" s="30"/>
      <c r="G986" s="30"/>
      <c r="H986" s="30"/>
      <c r="I986" s="30"/>
      <c r="J986" s="65"/>
      <c r="K986" s="83"/>
      <c r="L986" s="30"/>
      <c r="M986" s="39"/>
    </row>
    <row r="987" spans="1:13" x14ac:dyDescent="0.2">
      <c r="A987" s="30"/>
      <c r="B987" s="30"/>
      <c r="C987" s="30"/>
      <c r="D987" s="30"/>
      <c r="E987" s="30"/>
      <c r="F987" s="30"/>
      <c r="G987" s="30"/>
      <c r="H987" s="30"/>
      <c r="I987" s="30"/>
      <c r="J987" s="65"/>
      <c r="K987" s="83"/>
      <c r="L987" s="30"/>
      <c r="M987" s="39"/>
    </row>
    <row r="988" spans="1:13" x14ac:dyDescent="0.2">
      <c r="A988" s="30"/>
      <c r="B988" s="30"/>
      <c r="C988" s="30"/>
      <c r="D988" s="30"/>
      <c r="E988" s="30"/>
      <c r="F988" s="30"/>
      <c r="G988" s="30"/>
      <c r="H988" s="30"/>
      <c r="I988" s="30"/>
      <c r="J988" s="65"/>
      <c r="K988" s="83"/>
      <c r="L988" s="30"/>
      <c r="M988" s="39"/>
    </row>
    <row r="989" spans="1:13" x14ac:dyDescent="0.2">
      <c r="A989" s="30"/>
      <c r="B989" s="30"/>
      <c r="C989" s="30"/>
      <c r="D989" s="30"/>
      <c r="E989" s="30"/>
      <c r="F989" s="30"/>
      <c r="G989" s="30"/>
      <c r="H989" s="30"/>
      <c r="I989" s="30"/>
      <c r="J989" s="65"/>
      <c r="K989" s="83"/>
      <c r="L989" s="30"/>
      <c r="M989" s="39"/>
    </row>
    <row r="990" spans="1:13" x14ac:dyDescent="0.2">
      <c r="A990" s="30"/>
      <c r="B990" s="30"/>
      <c r="C990" s="30"/>
      <c r="D990" s="30"/>
      <c r="E990" s="30"/>
      <c r="F990" s="30"/>
      <c r="G990" s="30"/>
      <c r="H990" s="30"/>
      <c r="I990" s="30"/>
      <c r="J990" s="65"/>
      <c r="K990" s="83"/>
      <c r="L990" s="30"/>
      <c r="M990" s="39"/>
    </row>
    <row r="991" spans="1:13" x14ac:dyDescent="0.2">
      <c r="A991" s="30"/>
      <c r="B991" s="30"/>
      <c r="C991" s="30"/>
      <c r="D991" s="30"/>
      <c r="E991" s="30"/>
      <c r="F991" s="30"/>
      <c r="G991" s="30"/>
      <c r="H991" s="30"/>
      <c r="I991" s="30"/>
      <c r="J991" s="65"/>
      <c r="K991" s="83"/>
      <c r="L991" s="30"/>
      <c r="M991" s="39"/>
    </row>
    <row r="992" spans="1:13" x14ac:dyDescent="0.2">
      <c r="A992" s="30"/>
      <c r="B992" s="30"/>
      <c r="C992" s="30"/>
      <c r="D992" s="30"/>
      <c r="E992" s="30"/>
      <c r="F992" s="30"/>
      <c r="G992" s="30"/>
      <c r="H992" s="30"/>
      <c r="I992" s="30"/>
      <c r="J992" s="65"/>
      <c r="K992" s="83"/>
      <c r="L992" s="30"/>
      <c r="M992" s="39"/>
    </row>
    <row r="993" spans="1:13" x14ac:dyDescent="0.2">
      <c r="A993" s="30"/>
      <c r="B993" s="30"/>
      <c r="C993" s="30"/>
      <c r="D993" s="30"/>
      <c r="E993" s="30"/>
      <c r="F993" s="30"/>
      <c r="G993" s="30"/>
      <c r="H993" s="30"/>
      <c r="I993" s="30"/>
      <c r="J993" s="65"/>
      <c r="K993" s="83"/>
      <c r="L993" s="30"/>
      <c r="M993" s="39"/>
    </row>
    <row r="994" spans="1:13" x14ac:dyDescent="0.2">
      <c r="A994" s="30"/>
      <c r="B994" s="30"/>
      <c r="C994" s="30"/>
      <c r="D994" s="30"/>
      <c r="E994" s="30"/>
      <c r="F994" s="30"/>
      <c r="G994" s="30"/>
      <c r="H994" s="30"/>
      <c r="I994" s="30"/>
      <c r="J994" s="65"/>
      <c r="K994" s="83"/>
      <c r="L994" s="30"/>
      <c r="M994" s="39"/>
    </row>
    <row r="995" spans="1:13" x14ac:dyDescent="0.2">
      <c r="A995" s="30"/>
      <c r="B995" s="30"/>
      <c r="C995" s="30"/>
      <c r="D995" s="30"/>
      <c r="E995" s="30"/>
      <c r="F995" s="30"/>
      <c r="G995" s="30"/>
      <c r="H995" s="30"/>
      <c r="I995" s="30"/>
      <c r="J995" s="65"/>
      <c r="K995" s="83"/>
      <c r="L995" s="30"/>
      <c r="M995" s="39"/>
    </row>
    <row r="996" spans="1:13" x14ac:dyDescent="0.2">
      <c r="A996" s="30"/>
      <c r="B996" s="30"/>
      <c r="C996" s="30"/>
      <c r="D996" s="30"/>
      <c r="E996" s="30"/>
      <c r="F996" s="30"/>
      <c r="G996" s="30"/>
      <c r="H996" s="30"/>
      <c r="I996" s="30"/>
      <c r="J996" s="65"/>
      <c r="K996" s="83"/>
      <c r="L996" s="30"/>
      <c r="M996" s="39"/>
    </row>
    <row r="997" spans="1:13" x14ac:dyDescent="0.2">
      <c r="A997" s="30"/>
      <c r="B997" s="30"/>
      <c r="C997" s="30"/>
      <c r="D997" s="30"/>
      <c r="E997" s="30"/>
      <c r="F997" s="30"/>
      <c r="G997" s="30"/>
      <c r="H997" s="30"/>
      <c r="I997" s="30"/>
      <c r="J997" s="65"/>
      <c r="K997" s="83"/>
      <c r="L997" s="30"/>
      <c r="M997" s="39"/>
    </row>
    <row r="998" spans="1:13" x14ac:dyDescent="0.2">
      <c r="A998" s="30"/>
      <c r="B998" s="30"/>
      <c r="C998" s="30"/>
      <c r="D998" s="30"/>
      <c r="E998" s="30"/>
      <c r="F998" s="30"/>
      <c r="G998" s="30"/>
      <c r="H998" s="30"/>
      <c r="I998" s="30"/>
      <c r="J998" s="65"/>
      <c r="K998" s="83"/>
      <c r="L998" s="30"/>
      <c r="M998" s="39"/>
    </row>
    <row r="999" spans="1:13" x14ac:dyDescent="0.2">
      <c r="A999" s="30"/>
      <c r="B999" s="30"/>
      <c r="C999" s="30"/>
      <c r="D999" s="30"/>
      <c r="E999" s="30"/>
      <c r="F999" s="30"/>
      <c r="G999" s="30"/>
      <c r="H999" s="30"/>
      <c r="I999" s="30"/>
      <c r="J999" s="65"/>
      <c r="K999" s="83"/>
      <c r="L999" s="30"/>
      <c r="M999" s="39"/>
    </row>
    <row r="1000" spans="1:13" x14ac:dyDescent="0.2">
      <c r="A1000" s="30"/>
      <c r="B1000" s="30"/>
      <c r="C1000" s="30"/>
      <c r="D1000" s="30"/>
      <c r="E1000" s="30"/>
      <c r="F1000" s="30"/>
      <c r="G1000" s="30"/>
      <c r="H1000" s="30"/>
      <c r="I1000" s="30"/>
      <c r="J1000" s="65"/>
      <c r="K1000" s="83"/>
      <c r="L1000" s="30"/>
      <c r="M1000" s="39"/>
    </row>
    <row r="1001" spans="1:13" x14ac:dyDescent="0.2">
      <c r="A1001" s="30"/>
      <c r="B1001" s="30"/>
      <c r="C1001" s="30"/>
      <c r="D1001" s="30"/>
      <c r="E1001" s="30"/>
      <c r="F1001" s="30"/>
      <c r="G1001" s="30"/>
      <c r="H1001" s="30"/>
      <c r="I1001" s="30"/>
      <c r="J1001" s="65"/>
      <c r="K1001" s="83"/>
      <c r="L1001" s="30"/>
      <c r="M1001" s="39"/>
    </row>
    <row r="1002" spans="1:13" x14ac:dyDescent="0.2">
      <c r="A1002" s="30"/>
      <c r="B1002" s="30"/>
      <c r="C1002" s="30"/>
      <c r="D1002" s="30"/>
      <c r="E1002" s="30"/>
      <c r="F1002" s="30"/>
      <c r="G1002" s="30"/>
      <c r="H1002" s="30"/>
      <c r="I1002" s="30"/>
      <c r="J1002" s="65"/>
      <c r="K1002" s="83"/>
      <c r="L1002" s="30"/>
      <c r="M1002" s="39"/>
    </row>
    <row r="1003" spans="1:13" x14ac:dyDescent="0.2">
      <c r="A1003" s="30"/>
      <c r="B1003" s="30"/>
      <c r="C1003" s="30"/>
      <c r="D1003" s="30"/>
      <c r="E1003" s="30"/>
      <c r="F1003" s="30"/>
      <c r="G1003" s="30"/>
      <c r="H1003" s="30"/>
      <c r="I1003" s="30"/>
      <c r="J1003" s="65"/>
      <c r="K1003" s="83"/>
      <c r="L1003" s="30"/>
      <c r="M1003" s="39"/>
    </row>
    <row r="1004" spans="1:13" x14ac:dyDescent="0.2">
      <c r="A1004" s="30"/>
      <c r="B1004" s="30"/>
      <c r="C1004" s="30"/>
      <c r="D1004" s="30"/>
      <c r="E1004" s="30"/>
      <c r="F1004" s="30"/>
      <c r="G1004" s="30"/>
      <c r="H1004" s="30"/>
      <c r="I1004" s="30"/>
      <c r="J1004" s="65"/>
      <c r="K1004" s="83"/>
      <c r="L1004" s="30"/>
      <c r="M1004" s="39"/>
    </row>
    <row r="1005" spans="1:13" x14ac:dyDescent="0.2">
      <c r="A1005" s="30"/>
      <c r="B1005" s="30"/>
      <c r="C1005" s="30"/>
      <c r="D1005" s="30"/>
      <c r="E1005" s="30"/>
      <c r="F1005" s="30"/>
      <c r="G1005" s="30"/>
      <c r="H1005" s="30"/>
      <c r="I1005" s="30"/>
      <c r="J1005" s="65"/>
      <c r="K1005" s="83"/>
      <c r="L1005" s="30"/>
      <c r="M1005" s="39"/>
    </row>
    <row r="1006" spans="1:13" x14ac:dyDescent="0.2">
      <c r="A1006" s="30"/>
      <c r="B1006" s="30"/>
      <c r="C1006" s="30"/>
      <c r="D1006" s="30"/>
      <c r="E1006" s="30"/>
      <c r="F1006" s="30"/>
      <c r="G1006" s="30"/>
      <c r="H1006" s="30"/>
      <c r="I1006" s="30"/>
      <c r="J1006" s="65"/>
      <c r="K1006" s="83"/>
      <c r="L1006" s="30"/>
      <c r="M1006" s="39"/>
    </row>
    <row r="1007" spans="1:13" x14ac:dyDescent="0.2">
      <c r="A1007" s="30"/>
      <c r="B1007" s="30"/>
      <c r="C1007" s="30"/>
      <c r="D1007" s="30"/>
      <c r="E1007" s="30"/>
      <c r="F1007" s="30"/>
      <c r="G1007" s="30"/>
      <c r="H1007" s="30"/>
      <c r="I1007" s="30"/>
      <c r="J1007" s="65"/>
      <c r="K1007" s="83"/>
      <c r="L1007" s="30"/>
      <c r="M1007" s="39"/>
    </row>
    <row r="1008" spans="1:13" x14ac:dyDescent="0.2">
      <c r="A1008" s="30"/>
      <c r="B1008" s="30"/>
      <c r="C1008" s="30"/>
      <c r="D1008" s="30"/>
      <c r="E1008" s="30"/>
      <c r="F1008" s="30"/>
      <c r="G1008" s="30"/>
      <c r="H1008" s="30"/>
      <c r="I1008" s="30"/>
      <c r="J1008" s="65"/>
      <c r="K1008" s="83"/>
      <c r="L1008" s="30"/>
      <c r="M1008" s="39"/>
    </row>
    <row r="1009" spans="1:13" x14ac:dyDescent="0.2">
      <c r="A1009" s="30"/>
      <c r="B1009" s="30"/>
      <c r="C1009" s="30"/>
      <c r="D1009" s="30"/>
      <c r="E1009" s="30"/>
      <c r="F1009" s="30"/>
      <c r="G1009" s="30"/>
      <c r="H1009" s="30"/>
      <c r="I1009" s="30"/>
      <c r="J1009" s="65"/>
      <c r="K1009" s="83"/>
      <c r="L1009" s="30"/>
      <c r="M1009" s="39"/>
    </row>
    <row r="1010" spans="1:13" x14ac:dyDescent="0.2">
      <c r="A1010" s="30"/>
      <c r="B1010" s="30"/>
      <c r="C1010" s="30"/>
      <c r="D1010" s="30"/>
      <c r="E1010" s="30"/>
      <c r="F1010" s="30"/>
      <c r="G1010" s="30"/>
      <c r="H1010" s="30"/>
      <c r="I1010" s="30"/>
      <c r="J1010" s="65"/>
      <c r="K1010" s="83"/>
      <c r="L1010" s="30"/>
      <c r="M1010" s="39"/>
    </row>
    <row r="1011" spans="1:13" x14ac:dyDescent="0.2">
      <c r="A1011" s="30"/>
      <c r="B1011" s="30"/>
      <c r="C1011" s="30"/>
      <c r="D1011" s="30"/>
      <c r="E1011" s="30"/>
      <c r="F1011" s="30"/>
      <c r="G1011" s="30"/>
      <c r="H1011" s="30"/>
      <c r="I1011" s="30"/>
      <c r="J1011" s="65"/>
      <c r="K1011" s="83"/>
      <c r="L1011" s="30"/>
      <c r="M1011" s="39"/>
    </row>
    <row r="1012" spans="1:13" x14ac:dyDescent="0.2">
      <c r="A1012" s="30"/>
      <c r="B1012" s="30"/>
      <c r="C1012" s="30"/>
      <c r="D1012" s="30"/>
      <c r="E1012" s="30"/>
      <c r="F1012" s="30"/>
      <c r="G1012" s="30"/>
      <c r="H1012" s="30"/>
      <c r="I1012" s="30"/>
      <c r="J1012" s="65"/>
      <c r="K1012" s="83"/>
      <c r="L1012" s="30"/>
      <c r="M1012" s="39"/>
    </row>
    <row r="1013" spans="1:13" x14ac:dyDescent="0.2">
      <c r="A1013" s="30"/>
      <c r="B1013" s="30"/>
      <c r="C1013" s="30"/>
      <c r="D1013" s="30"/>
      <c r="E1013" s="30"/>
      <c r="F1013" s="30"/>
      <c r="G1013" s="30"/>
      <c r="H1013" s="30"/>
      <c r="I1013" s="30"/>
      <c r="J1013" s="65"/>
      <c r="K1013" s="83"/>
      <c r="L1013" s="30"/>
      <c r="M1013" s="39"/>
    </row>
    <row r="1014" spans="1:13" x14ac:dyDescent="0.2">
      <c r="A1014" s="30"/>
      <c r="B1014" s="30"/>
      <c r="C1014" s="30"/>
      <c r="D1014" s="30"/>
      <c r="E1014" s="30"/>
      <c r="F1014" s="30"/>
      <c r="G1014" s="30"/>
      <c r="H1014" s="30"/>
      <c r="I1014" s="30"/>
      <c r="J1014" s="65"/>
      <c r="K1014" s="83"/>
      <c r="L1014" s="30"/>
      <c r="M1014" s="39"/>
    </row>
    <row r="1015" spans="1:13" x14ac:dyDescent="0.2">
      <c r="A1015" s="30"/>
      <c r="B1015" s="30"/>
      <c r="C1015" s="30"/>
      <c r="D1015" s="30"/>
      <c r="E1015" s="30"/>
      <c r="F1015" s="30"/>
      <c r="G1015" s="30"/>
      <c r="H1015" s="30"/>
      <c r="I1015" s="30"/>
      <c r="J1015" s="65"/>
      <c r="K1015" s="83"/>
      <c r="L1015" s="30"/>
      <c r="M1015" s="39"/>
    </row>
    <row r="1016" spans="1:13" x14ac:dyDescent="0.2">
      <c r="A1016" s="30"/>
      <c r="B1016" s="30"/>
      <c r="C1016" s="30"/>
      <c r="D1016" s="30"/>
      <c r="E1016" s="30"/>
      <c r="F1016" s="30"/>
      <c r="G1016" s="30"/>
      <c r="H1016" s="30"/>
      <c r="I1016" s="30"/>
      <c r="J1016" s="65"/>
      <c r="K1016" s="83"/>
      <c r="L1016" s="30"/>
      <c r="M1016" s="39"/>
    </row>
    <row r="1017" spans="1:13" x14ac:dyDescent="0.2">
      <c r="A1017" s="30"/>
      <c r="B1017" s="30"/>
      <c r="C1017" s="30"/>
      <c r="D1017" s="30"/>
      <c r="E1017" s="30"/>
      <c r="F1017" s="30"/>
      <c r="G1017" s="30"/>
      <c r="H1017" s="30"/>
      <c r="I1017" s="30"/>
      <c r="J1017" s="65"/>
      <c r="K1017" s="83"/>
      <c r="L1017" s="30"/>
      <c r="M1017" s="39"/>
    </row>
    <row r="1018" spans="1:13" x14ac:dyDescent="0.2">
      <c r="A1018" s="30"/>
      <c r="B1018" s="30"/>
      <c r="C1018" s="30"/>
      <c r="D1018" s="30"/>
      <c r="E1018" s="30"/>
      <c r="F1018" s="30"/>
      <c r="G1018" s="30"/>
      <c r="H1018" s="30"/>
      <c r="I1018" s="30"/>
      <c r="J1018" s="65"/>
      <c r="K1018" s="83"/>
      <c r="L1018" s="30"/>
      <c r="M1018" s="39"/>
    </row>
    <row r="1019" spans="1:13" x14ac:dyDescent="0.2">
      <c r="A1019" s="30"/>
      <c r="B1019" s="30"/>
      <c r="C1019" s="30"/>
      <c r="D1019" s="30"/>
      <c r="E1019" s="30"/>
      <c r="F1019" s="30"/>
      <c r="G1019" s="30"/>
      <c r="H1019" s="30"/>
      <c r="I1019" s="30"/>
      <c r="J1019" s="65"/>
      <c r="K1019" s="83"/>
      <c r="L1019" s="30"/>
      <c r="M1019" s="39"/>
    </row>
    <row r="1020" spans="1:13" x14ac:dyDescent="0.2">
      <c r="A1020" s="30"/>
      <c r="B1020" s="30"/>
      <c r="C1020" s="30"/>
      <c r="D1020" s="30"/>
      <c r="E1020" s="30"/>
      <c r="F1020" s="30"/>
      <c r="G1020" s="30"/>
      <c r="H1020" s="30"/>
      <c r="I1020" s="30"/>
      <c r="J1020" s="65"/>
      <c r="K1020" s="83"/>
      <c r="L1020" s="30"/>
      <c r="M1020" s="39"/>
    </row>
    <row r="1021" spans="1:13" x14ac:dyDescent="0.2">
      <c r="A1021" s="30"/>
      <c r="B1021" s="30"/>
      <c r="C1021" s="30"/>
      <c r="D1021" s="30"/>
      <c r="E1021" s="30"/>
      <c r="F1021" s="30"/>
      <c r="G1021" s="30"/>
      <c r="H1021" s="30"/>
      <c r="I1021" s="30"/>
      <c r="J1021" s="65"/>
      <c r="K1021" s="83"/>
      <c r="L1021" s="30"/>
      <c r="M1021" s="39"/>
    </row>
    <row r="1022" spans="1:13" x14ac:dyDescent="0.2">
      <c r="A1022" s="30"/>
      <c r="B1022" s="30"/>
      <c r="C1022" s="30"/>
      <c r="D1022" s="30"/>
      <c r="E1022" s="30"/>
      <c r="F1022" s="30"/>
      <c r="G1022" s="30"/>
      <c r="H1022" s="30"/>
      <c r="I1022" s="30"/>
      <c r="J1022" s="65"/>
      <c r="K1022" s="83"/>
      <c r="L1022" s="30"/>
      <c r="M1022" s="39"/>
    </row>
    <row r="1023" spans="1:13" x14ac:dyDescent="0.2">
      <c r="A1023" s="30"/>
      <c r="B1023" s="30"/>
      <c r="C1023" s="30"/>
      <c r="D1023" s="30"/>
      <c r="E1023" s="30"/>
      <c r="F1023" s="30"/>
      <c r="G1023" s="30"/>
      <c r="H1023" s="30"/>
      <c r="I1023" s="30"/>
      <c r="J1023" s="65"/>
      <c r="K1023" s="83"/>
      <c r="L1023" s="30"/>
      <c r="M1023" s="39"/>
    </row>
    <row r="1024" spans="1:13" x14ac:dyDescent="0.2">
      <c r="A1024" s="30"/>
      <c r="B1024" s="30"/>
      <c r="C1024" s="30"/>
      <c r="D1024" s="30"/>
      <c r="E1024" s="30"/>
      <c r="F1024" s="30"/>
      <c r="G1024" s="30"/>
      <c r="H1024" s="30"/>
      <c r="I1024" s="30"/>
      <c r="J1024" s="65"/>
      <c r="K1024" s="83"/>
      <c r="L1024" s="30"/>
      <c r="M1024" s="39"/>
    </row>
    <row r="1025" spans="1:13" x14ac:dyDescent="0.2">
      <c r="A1025" s="30"/>
      <c r="B1025" s="30"/>
      <c r="C1025" s="30"/>
      <c r="D1025" s="30"/>
      <c r="E1025" s="30"/>
      <c r="F1025" s="30"/>
      <c r="G1025" s="30"/>
      <c r="H1025" s="30"/>
      <c r="I1025" s="30"/>
      <c r="J1025" s="65"/>
      <c r="K1025" s="83"/>
      <c r="L1025" s="30"/>
      <c r="M1025" s="39"/>
    </row>
    <row r="1026" spans="1:13" x14ac:dyDescent="0.2">
      <c r="A1026" s="30"/>
      <c r="B1026" s="30"/>
      <c r="C1026" s="30"/>
      <c r="D1026" s="30"/>
      <c r="E1026" s="30"/>
      <c r="F1026" s="30"/>
      <c r="G1026" s="30"/>
      <c r="H1026" s="30"/>
      <c r="I1026" s="30"/>
      <c r="J1026" s="65"/>
      <c r="K1026" s="83"/>
      <c r="L1026" s="30"/>
      <c r="M1026" s="39"/>
    </row>
    <row r="1027" spans="1:13" x14ac:dyDescent="0.2">
      <c r="A1027" s="30"/>
      <c r="B1027" s="30"/>
      <c r="C1027" s="30"/>
      <c r="D1027" s="30"/>
      <c r="E1027" s="30"/>
      <c r="F1027" s="30"/>
      <c r="G1027" s="30"/>
      <c r="H1027" s="30"/>
      <c r="I1027" s="30"/>
      <c r="J1027" s="65"/>
      <c r="K1027" s="83"/>
      <c r="L1027" s="30"/>
      <c r="M1027" s="39"/>
    </row>
    <row r="1028" spans="1:13" x14ac:dyDescent="0.2">
      <c r="A1028" s="30"/>
      <c r="B1028" s="30"/>
      <c r="C1028" s="30"/>
      <c r="D1028" s="30"/>
      <c r="E1028" s="30"/>
      <c r="F1028" s="30"/>
      <c r="G1028" s="30"/>
      <c r="H1028" s="30"/>
      <c r="I1028" s="30"/>
      <c r="J1028" s="65"/>
      <c r="K1028" s="83"/>
      <c r="L1028" s="30"/>
      <c r="M1028" s="39"/>
    </row>
    <row r="1029" spans="1:13" x14ac:dyDescent="0.2">
      <c r="A1029" s="30"/>
      <c r="B1029" s="30"/>
      <c r="C1029" s="30"/>
      <c r="D1029" s="30"/>
      <c r="E1029" s="30"/>
      <c r="F1029" s="30"/>
      <c r="G1029" s="30"/>
      <c r="H1029" s="30"/>
      <c r="I1029" s="30"/>
      <c r="J1029" s="65"/>
      <c r="K1029" s="83"/>
      <c r="L1029" s="30"/>
      <c r="M1029" s="39"/>
    </row>
    <row r="1030" spans="1:13" x14ac:dyDescent="0.2">
      <c r="A1030" s="30"/>
      <c r="B1030" s="30"/>
      <c r="C1030" s="30"/>
      <c r="D1030" s="30"/>
      <c r="E1030" s="30"/>
      <c r="F1030" s="30"/>
      <c r="G1030" s="30"/>
      <c r="H1030" s="30"/>
      <c r="I1030" s="30"/>
      <c r="J1030" s="65"/>
      <c r="K1030" s="83"/>
      <c r="L1030" s="30"/>
      <c r="M1030" s="39"/>
    </row>
    <row r="1031" spans="1:13" x14ac:dyDescent="0.2">
      <c r="A1031" s="30"/>
      <c r="B1031" s="30"/>
      <c r="C1031" s="30"/>
      <c r="D1031" s="30"/>
      <c r="E1031" s="30"/>
      <c r="F1031" s="30"/>
      <c r="G1031" s="30"/>
      <c r="H1031" s="30"/>
      <c r="I1031" s="30"/>
      <c r="J1031" s="65"/>
      <c r="K1031" s="83"/>
      <c r="L1031" s="30"/>
      <c r="M1031" s="39"/>
    </row>
    <row r="1032" spans="1:13" x14ac:dyDescent="0.2">
      <c r="A1032" s="30"/>
      <c r="B1032" s="30"/>
      <c r="C1032" s="30"/>
      <c r="D1032" s="30"/>
      <c r="E1032" s="30"/>
      <c r="F1032" s="30"/>
      <c r="G1032" s="30"/>
      <c r="H1032" s="30"/>
      <c r="I1032" s="30"/>
      <c r="J1032" s="65"/>
      <c r="K1032" s="83"/>
      <c r="L1032" s="30"/>
      <c r="M1032" s="39"/>
    </row>
    <row r="1033" spans="1:13" x14ac:dyDescent="0.2">
      <c r="A1033" s="30"/>
      <c r="B1033" s="30"/>
      <c r="C1033" s="30"/>
      <c r="D1033" s="30"/>
      <c r="E1033" s="30"/>
      <c r="F1033" s="30"/>
      <c r="G1033" s="30"/>
      <c r="H1033" s="30"/>
      <c r="I1033" s="30"/>
      <c r="J1033" s="65"/>
      <c r="K1033" s="83"/>
      <c r="L1033" s="30"/>
      <c r="M1033" s="39"/>
    </row>
    <row r="1034" spans="1:13" x14ac:dyDescent="0.2">
      <c r="A1034" s="30"/>
      <c r="B1034" s="30"/>
      <c r="C1034" s="30"/>
      <c r="D1034" s="30"/>
      <c r="E1034" s="30"/>
      <c r="F1034" s="30"/>
      <c r="G1034" s="30"/>
      <c r="H1034" s="30"/>
      <c r="I1034" s="30"/>
      <c r="J1034" s="65"/>
      <c r="K1034" s="83"/>
      <c r="L1034" s="30"/>
      <c r="M1034" s="39"/>
    </row>
    <row r="1035" spans="1:13" x14ac:dyDescent="0.2">
      <c r="A1035" s="30"/>
      <c r="B1035" s="30"/>
      <c r="C1035" s="30"/>
      <c r="D1035" s="30"/>
      <c r="E1035" s="30"/>
      <c r="F1035" s="30"/>
      <c r="G1035" s="30"/>
      <c r="H1035" s="30"/>
      <c r="I1035" s="30"/>
      <c r="J1035" s="65"/>
      <c r="K1035" s="83"/>
      <c r="L1035" s="30"/>
      <c r="M1035" s="39"/>
    </row>
    <row r="1036" spans="1:13" x14ac:dyDescent="0.2">
      <c r="A1036" s="30"/>
      <c r="B1036" s="30"/>
      <c r="C1036" s="30"/>
      <c r="D1036" s="30"/>
      <c r="E1036" s="30"/>
      <c r="F1036" s="30"/>
      <c r="G1036" s="30"/>
      <c r="H1036" s="30"/>
      <c r="I1036" s="30"/>
      <c r="J1036" s="65"/>
      <c r="K1036" s="83"/>
      <c r="L1036" s="30"/>
      <c r="M1036" s="39"/>
    </row>
    <row r="1037" spans="1:13" x14ac:dyDescent="0.2">
      <c r="A1037" s="30"/>
      <c r="B1037" s="30"/>
      <c r="C1037" s="30"/>
      <c r="D1037" s="30"/>
      <c r="E1037" s="30"/>
      <c r="F1037" s="30"/>
      <c r="G1037" s="30"/>
      <c r="H1037" s="30"/>
      <c r="I1037" s="30"/>
      <c r="J1037" s="65"/>
      <c r="K1037" s="83"/>
      <c r="L1037" s="30"/>
      <c r="M1037" s="39"/>
    </row>
    <row r="1038" spans="1:13" x14ac:dyDescent="0.2">
      <c r="A1038" s="30"/>
      <c r="B1038" s="30"/>
      <c r="C1038" s="30"/>
      <c r="D1038" s="30"/>
      <c r="E1038" s="30"/>
      <c r="F1038" s="30"/>
      <c r="G1038" s="30"/>
      <c r="H1038" s="30"/>
      <c r="I1038" s="30"/>
      <c r="J1038" s="65"/>
      <c r="K1038" s="83"/>
      <c r="L1038" s="30"/>
      <c r="M1038" s="39"/>
    </row>
    <row r="1039" spans="1:13" x14ac:dyDescent="0.2">
      <c r="A1039" s="30"/>
      <c r="B1039" s="30"/>
      <c r="C1039" s="30"/>
      <c r="D1039" s="30"/>
      <c r="E1039" s="30"/>
      <c r="F1039" s="30"/>
      <c r="G1039" s="30"/>
      <c r="H1039" s="30"/>
      <c r="I1039" s="30"/>
      <c r="J1039" s="65"/>
      <c r="K1039" s="83"/>
      <c r="L1039" s="30"/>
      <c r="M1039" s="39"/>
    </row>
    <row r="1040" spans="1:13" x14ac:dyDescent="0.2">
      <c r="A1040" s="30"/>
      <c r="B1040" s="30"/>
      <c r="C1040" s="30"/>
      <c r="D1040" s="30"/>
      <c r="E1040" s="30"/>
      <c r="F1040" s="30"/>
      <c r="G1040" s="30"/>
      <c r="H1040" s="30"/>
      <c r="I1040" s="30"/>
      <c r="J1040" s="65"/>
      <c r="K1040" s="83"/>
      <c r="L1040" s="30"/>
      <c r="M1040" s="39"/>
    </row>
    <row r="1041" spans="1:13" x14ac:dyDescent="0.2">
      <c r="A1041" s="30"/>
      <c r="B1041" s="30"/>
      <c r="C1041" s="30"/>
      <c r="D1041" s="30"/>
      <c r="E1041" s="30"/>
      <c r="F1041" s="30"/>
      <c r="G1041" s="30"/>
      <c r="H1041" s="30"/>
      <c r="I1041" s="30"/>
      <c r="J1041" s="65"/>
      <c r="K1041" s="83"/>
      <c r="L1041" s="30"/>
      <c r="M1041" s="39"/>
    </row>
    <row r="1042" spans="1:13" x14ac:dyDescent="0.2">
      <c r="A1042" s="30"/>
      <c r="B1042" s="30"/>
      <c r="C1042" s="30"/>
      <c r="D1042" s="30"/>
      <c r="E1042" s="30"/>
      <c r="F1042" s="30"/>
      <c r="G1042" s="30"/>
      <c r="H1042" s="30"/>
      <c r="I1042" s="30"/>
      <c r="J1042" s="65"/>
      <c r="K1042" s="83"/>
      <c r="L1042" s="30"/>
      <c r="M1042" s="39"/>
    </row>
    <row r="1043" spans="1:13" x14ac:dyDescent="0.2">
      <c r="A1043" s="30"/>
      <c r="B1043" s="30"/>
      <c r="C1043" s="30"/>
      <c r="D1043" s="30"/>
      <c r="E1043" s="30"/>
      <c r="F1043" s="30"/>
      <c r="G1043" s="30"/>
      <c r="H1043" s="30"/>
      <c r="I1043" s="30"/>
      <c r="J1043" s="65"/>
      <c r="K1043" s="83"/>
      <c r="L1043" s="30"/>
      <c r="M1043" s="39"/>
    </row>
    <row r="1044" spans="1:13" x14ac:dyDescent="0.2">
      <c r="A1044" s="30"/>
      <c r="B1044" s="30"/>
      <c r="C1044" s="30"/>
      <c r="D1044" s="30"/>
      <c r="E1044" s="30"/>
      <c r="F1044" s="30"/>
      <c r="G1044" s="30"/>
      <c r="H1044" s="30"/>
      <c r="I1044" s="30"/>
      <c r="J1044" s="65"/>
      <c r="K1044" s="83"/>
      <c r="L1044" s="30"/>
      <c r="M1044" s="39"/>
    </row>
    <row r="1045" spans="1:13" x14ac:dyDescent="0.2">
      <c r="A1045" s="30"/>
      <c r="B1045" s="30"/>
      <c r="C1045" s="30"/>
      <c r="D1045" s="30"/>
      <c r="E1045" s="30"/>
      <c r="F1045" s="30"/>
      <c r="G1045" s="30"/>
      <c r="H1045" s="30"/>
      <c r="I1045" s="30"/>
      <c r="J1045" s="65"/>
      <c r="K1045" s="83"/>
      <c r="L1045" s="30"/>
      <c r="M1045" s="39"/>
    </row>
    <row r="1046" spans="1:13" x14ac:dyDescent="0.2">
      <c r="A1046" s="30"/>
      <c r="B1046" s="30"/>
      <c r="C1046" s="30"/>
      <c r="D1046" s="30"/>
      <c r="E1046" s="30"/>
      <c r="F1046" s="30"/>
      <c r="G1046" s="30"/>
      <c r="H1046" s="30"/>
      <c r="I1046" s="30"/>
      <c r="J1046" s="65"/>
      <c r="K1046" s="83"/>
      <c r="L1046" s="30"/>
      <c r="M1046" s="39"/>
    </row>
    <row r="1047" spans="1:13" x14ac:dyDescent="0.2">
      <c r="A1047" s="30"/>
      <c r="B1047" s="30"/>
      <c r="C1047" s="30"/>
      <c r="D1047" s="30"/>
      <c r="E1047" s="30"/>
      <c r="F1047" s="30"/>
      <c r="G1047" s="30"/>
      <c r="H1047" s="30"/>
      <c r="I1047" s="30"/>
      <c r="J1047" s="65"/>
      <c r="K1047" s="83"/>
      <c r="L1047" s="30"/>
      <c r="M1047" s="39"/>
    </row>
    <row r="1048" spans="1:13" x14ac:dyDescent="0.2">
      <c r="A1048" s="30"/>
      <c r="B1048" s="30"/>
      <c r="C1048" s="30"/>
      <c r="D1048" s="30"/>
      <c r="E1048" s="30"/>
      <c r="F1048" s="30"/>
      <c r="G1048" s="30"/>
      <c r="H1048" s="30"/>
      <c r="I1048" s="30"/>
      <c r="J1048" s="65"/>
      <c r="K1048" s="83"/>
      <c r="L1048" s="30"/>
      <c r="M1048" s="39"/>
    </row>
    <row r="1049" spans="1:13" x14ac:dyDescent="0.2">
      <c r="A1049" s="30"/>
      <c r="B1049" s="30"/>
      <c r="C1049" s="30"/>
      <c r="D1049" s="30"/>
      <c r="E1049" s="30"/>
      <c r="F1049" s="30"/>
      <c r="G1049" s="30"/>
      <c r="H1049" s="30"/>
      <c r="I1049" s="30"/>
      <c r="J1049" s="65"/>
      <c r="K1049" s="83"/>
      <c r="L1049" s="30"/>
      <c r="M1049" s="39"/>
    </row>
    <row r="1050" spans="1:13" x14ac:dyDescent="0.2">
      <c r="A1050" s="30"/>
      <c r="B1050" s="30"/>
      <c r="C1050" s="30"/>
      <c r="D1050" s="30"/>
      <c r="E1050" s="30"/>
      <c r="F1050" s="30"/>
      <c r="G1050" s="30"/>
      <c r="H1050" s="30"/>
      <c r="I1050" s="30"/>
      <c r="J1050" s="65"/>
      <c r="K1050" s="83"/>
      <c r="L1050" s="30"/>
      <c r="M1050" s="39"/>
    </row>
    <row r="1051" spans="1:13" x14ac:dyDescent="0.2">
      <c r="A1051" s="30"/>
      <c r="B1051" s="30"/>
      <c r="C1051" s="30"/>
      <c r="D1051" s="30"/>
      <c r="E1051" s="30"/>
      <c r="F1051" s="30"/>
      <c r="G1051" s="30"/>
      <c r="H1051" s="30"/>
      <c r="I1051" s="30"/>
      <c r="J1051" s="65"/>
      <c r="K1051" s="83"/>
      <c r="L1051" s="30"/>
      <c r="M1051" s="39"/>
    </row>
    <row r="1052" spans="1:13" x14ac:dyDescent="0.2">
      <c r="A1052" s="30"/>
      <c r="B1052" s="30"/>
      <c r="C1052" s="30"/>
      <c r="D1052" s="30"/>
      <c r="E1052" s="30"/>
      <c r="F1052" s="30"/>
      <c r="G1052" s="30"/>
      <c r="H1052" s="30"/>
      <c r="I1052" s="30"/>
      <c r="J1052" s="65"/>
      <c r="K1052" s="83"/>
      <c r="L1052" s="30"/>
      <c r="M1052" s="39"/>
    </row>
    <row r="1053" spans="1:13" x14ac:dyDescent="0.2">
      <c r="A1053" s="30"/>
      <c r="B1053" s="30"/>
      <c r="C1053" s="30"/>
      <c r="D1053" s="30"/>
      <c r="E1053" s="30"/>
      <c r="F1053" s="30"/>
      <c r="G1053" s="30"/>
      <c r="H1053" s="30"/>
      <c r="I1053" s="30"/>
      <c r="J1053" s="65"/>
      <c r="K1053" s="83"/>
      <c r="L1053" s="30"/>
      <c r="M1053" s="39"/>
    </row>
    <row r="1054" spans="1:13" x14ac:dyDescent="0.2">
      <c r="A1054" s="30"/>
      <c r="B1054" s="30"/>
      <c r="C1054" s="30"/>
      <c r="D1054" s="30"/>
      <c r="E1054" s="30"/>
      <c r="F1054" s="30"/>
      <c r="G1054" s="30"/>
      <c r="H1054" s="30"/>
      <c r="I1054" s="30"/>
      <c r="J1054" s="65"/>
      <c r="K1054" s="83"/>
      <c r="L1054" s="30"/>
      <c r="M1054" s="39"/>
    </row>
    <row r="1055" spans="1:13" x14ac:dyDescent="0.2">
      <c r="A1055" s="30"/>
      <c r="B1055" s="30"/>
      <c r="C1055" s="30"/>
      <c r="D1055" s="30"/>
      <c r="E1055" s="30"/>
      <c r="F1055" s="30"/>
      <c r="G1055" s="30"/>
      <c r="H1055" s="30"/>
      <c r="I1055" s="30"/>
      <c r="J1055" s="65"/>
      <c r="K1055" s="83"/>
      <c r="L1055" s="30"/>
      <c r="M1055" s="39"/>
    </row>
    <row r="1056" spans="1:13" x14ac:dyDescent="0.2">
      <c r="A1056" s="30"/>
      <c r="B1056" s="30"/>
      <c r="C1056" s="30"/>
      <c r="D1056" s="30"/>
      <c r="E1056" s="30"/>
      <c r="F1056" s="30"/>
      <c r="G1056" s="30"/>
      <c r="H1056" s="30"/>
      <c r="I1056" s="30"/>
      <c r="J1056" s="65"/>
      <c r="K1056" s="83"/>
      <c r="L1056" s="30"/>
      <c r="M1056" s="39"/>
    </row>
    <row r="1057" spans="1:13" x14ac:dyDescent="0.2">
      <c r="A1057" s="30"/>
      <c r="B1057" s="30"/>
      <c r="C1057" s="30"/>
      <c r="D1057" s="30"/>
      <c r="E1057" s="30"/>
      <c r="F1057" s="30"/>
      <c r="G1057" s="30"/>
      <c r="H1057" s="30"/>
      <c r="I1057" s="30"/>
      <c r="J1057" s="65"/>
      <c r="K1057" s="83"/>
      <c r="L1057" s="30"/>
      <c r="M1057" s="39"/>
    </row>
    <row r="1058" spans="1:13" x14ac:dyDescent="0.2">
      <c r="A1058" s="30"/>
      <c r="B1058" s="30"/>
      <c r="C1058" s="30"/>
      <c r="D1058" s="30"/>
      <c r="E1058" s="30"/>
      <c r="F1058" s="30"/>
      <c r="G1058" s="30"/>
      <c r="H1058" s="30"/>
      <c r="I1058" s="30"/>
      <c r="J1058" s="65"/>
      <c r="K1058" s="83"/>
      <c r="L1058" s="30"/>
      <c r="M1058" s="39"/>
    </row>
    <row r="1059" spans="1:13" x14ac:dyDescent="0.2">
      <c r="A1059" s="30"/>
      <c r="B1059" s="30"/>
      <c r="C1059" s="30"/>
      <c r="D1059" s="30"/>
      <c r="E1059" s="30"/>
      <c r="F1059" s="30"/>
      <c r="G1059" s="30"/>
      <c r="H1059" s="30"/>
      <c r="I1059" s="30"/>
      <c r="J1059" s="65"/>
      <c r="K1059" s="83"/>
      <c r="L1059" s="30"/>
      <c r="M1059" s="39"/>
    </row>
    <row r="1060" spans="1:13" x14ac:dyDescent="0.2">
      <c r="A1060" s="30"/>
      <c r="B1060" s="30"/>
      <c r="C1060" s="30"/>
      <c r="D1060" s="30"/>
      <c r="E1060" s="30"/>
      <c r="F1060" s="30"/>
      <c r="G1060" s="30"/>
      <c r="H1060" s="30"/>
      <c r="I1060" s="30"/>
      <c r="J1060" s="65"/>
      <c r="K1060" s="83"/>
      <c r="L1060" s="30"/>
      <c r="M1060" s="39"/>
    </row>
    <row r="1061" spans="1:13" x14ac:dyDescent="0.2">
      <c r="A1061" s="30"/>
      <c r="B1061" s="30"/>
      <c r="C1061" s="30"/>
      <c r="D1061" s="30"/>
      <c r="E1061" s="30"/>
      <c r="F1061" s="30"/>
      <c r="G1061" s="30"/>
      <c r="H1061" s="30"/>
      <c r="I1061" s="30"/>
      <c r="J1061" s="65"/>
      <c r="K1061" s="83"/>
      <c r="L1061" s="30"/>
      <c r="M1061" s="39"/>
    </row>
    <row r="1062" spans="1:13" x14ac:dyDescent="0.2">
      <c r="A1062" s="30"/>
      <c r="B1062" s="30"/>
      <c r="C1062" s="30"/>
      <c r="D1062" s="30"/>
      <c r="E1062" s="30"/>
      <c r="F1062" s="30"/>
      <c r="G1062" s="30"/>
      <c r="H1062" s="30"/>
      <c r="I1062" s="30"/>
      <c r="J1062" s="65"/>
      <c r="K1062" s="83"/>
      <c r="L1062" s="30"/>
      <c r="M1062" s="39"/>
    </row>
    <row r="1063" spans="1:13" x14ac:dyDescent="0.2">
      <c r="A1063" s="30"/>
      <c r="B1063" s="30"/>
      <c r="C1063" s="30"/>
      <c r="D1063" s="30"/>
      <c r="E1063" s="30"/>
      <c r="F1063" s="30"/>
      <c r="G1063" s="30"/>
      <c r="H1063" s="30"/>
      <c r="I1063" s="30"/>
      <c r="J1063" s="65"/>
      <c r="K1063" s="83"/>
      <c r="L1063" s="30"/>
      <c r="M1063" s="39"/>
    </row>
    <row r="1064" spans="1:13" x14ac:dyDescent="0.2">
      <c r="A1064" s="30"/>
      <c r="B1064" s="30"/>
      <c r="C1064" s="30"/>
      <c r="D1064" s="30"/>
      <c r="E1064" s="30"/>
      <c r="F1064" s="30"/>
      <c r="G1064" s="30"/>
      <c r="H1064" s="30"/>
      <c r="I1064" s="30"/>
      <c r="J1064" s="65"/>
      <c r="K1064" s="83"/>
      <c r="L1064" s="30"/>
      <c r="M1064" s="39"/>
    </row>
    <row r="1065" spans="1:13" x14ac:dyDescent="0.2">
      <c r="A1065" s="30"/>
      <c r="B1065" s="30"/>
      <c r="C1065" s="30"/>
      <c r="D1065" s="30"/>
      <c r="E1065" s="30"/>
      <c r="F1065" s="30"/>
      <c r="G1065" s="30"/>
      <c r="H1065" s="30"/>
      <c r="I1065" s="30"/>
      <c r="J1065" s="65"/>
      <c r="K1065" s="83"/>
      <c r="L1065" s="30"/>
      <c r="M1065" s="39"/>
    </row>
    <row r="1066" spans="1:13" x14ac:dyDescent="0.2">
      <c r="A1066" s="30"/>
      <c r="B1066" s="30"/>
      <c r="C1066" s="30"/>
      <c r="D1066" s="30"/>
      <c r="E1066" s="30"/>
      <c r="F1066" s="30"/>
      <c r="G1066" s="30"/>
      <c r="H1066" s="30"/>
      <c r="I1066" s="30"/>
      <c r="J1066" s="65"/>
      <c r="K1066" s="83"/>
      <c r="L1066" s="30"/>
      <c r="M1066" s="39"/>
    </row>
    <row r="1067" spans="1:13" x14ac:dyDescent="0.2">
      <c r="A1067" s="30"/>
      <c r="B1067" s="30"/>
      <c r="C1067" s="30"/>
      <c r="D1067" s="30"/>
      <c r="E1067" s="30"/>
      <c r="F1067" s="30"/>
      <c r="G1067" s="30"/>
      <c r="H1067" s="30"/>
      <c r="I1067" s="30"/>
      <c r="J1067" s="65"/>
      <c r="K1067" s="83"/>
      <c r="L1067" s="30"/>
      <c r="M1067" s="39"/>
    </row>
    <row r="1068" spans="1:13" x14ac:dyDescent="0.2">
      <c r="A1068" s="30"/>
      <c r="B1068" s="30"/>
      <c r="C1068" s="30"/>
      <c r="D1068" s="30"/>
      <c r="E1068" s="30"/>
      <c r="F1068" s="30"/>
      <c r="G1068" s="30"/>
      <c r="H1068" s="30"/>
      <c r="I1068" s="30"/>
      <c r="J1068" s="65"/>
      <c r="K1068" s="83"/>
      <c r="L1068" s="30"/>
      <c r="M1068" s="39"/>
    </row>
    <row r="1069" spans="1:13" x14ac:dyDescent="0.2">
      <c r="A1069" s="30"/>
      <c r="B1069" s="30"/>
      <c r="C1069" s="30"/>
      <c r="D1069" s="30"/>
      <c r="E1069" s="30"/>
      <c r="F1069" s="30"/>
      <c r="G1069" s="30"/>
      <c r="H1069" s="30"/>
      <c r="I1069" s="30"/>
      <c r="J1069" s="65"/>
      <c r="K1069" s="83"/>
      <c r="L1069" s="30"/>
      <c r="M1069" s="39"/>
    </row>
    <row r="1070" spans="1:13" x14ac:dyDescent="0.2">
      <c r="A1070" s="30"/>
      <c r="B1070" s="30"/>
      <c r="C1070" s="30"/>
      <c r="D1070" s="30"/>
      <c r="E1070" s="30"/>
      <c r="F1070" s="30"/>
      <c r="G1070" s="30"/>
      <c r="H1070" s="30"/>
      <c r="I1070" s="30"/>
      <c r="J1070" s="65"/>
      <c r="K1070" s="83"/>
      <c r="L1070" s="30"/>
      <c r="M1070" s="39"/>
    </row>
    <row r="1071" spans="1:13" x14ac:dyDescent="0.2">
      <c r="A1071" s="30"/>
      <c r="B1071" s="30"/>
      <c r="C1071" s="30"/>
      <c r="D1071" s="30"/>
      <c r="E1071" s="30"/>
      <c r="F1071" s="30"/>
      <c r="G1071" s="30"/>
      <c r="H1071" s="30"/>
      <c r="I1071" s="30"/>
      <c r="J1071" s="65"/>
      <c r="K1071" s="83"/>
      <c r="L1071" s="30"/>
      <c r="M1071" s="39"/>
    </row>
    <row r="1072" spans="1:13" x14ac:dyDescent="0.2">
      <c r="A1072" s="30"/>
      <c r="B1072" s="30"/>
      <c r="C1072" s="30"/>
      <c r="D1072" s="30"/>
      <c r="E1072" s="30"/>
      <c r="F1072" s="30"/>
      <c r="G1072" s="30"/>
      <c r="H1072" s="30"/>
      <c r="I1072" s="30"/>
      <c r="J1072" s="65"/>
      <c r="K1072" s="83"/>
      <c r="L1072" s="30"/>
      <c r="M1072" s="39"/>
    </row>
    <row r="1073" spans="1:13" x14ac:dyDescent="0.2">
      <c r="A1073" s="30"/>
      <c r="B1073" s="30"/>
      <c r="C1073" s="30"/>
      <c r="D1073" s="30"/>
      <c r="E1073" s="30"/>
      <c r="F1073" s="30"/>
      <c r="G1073" s="30"/>
      <c r="H1073" s="30"/>
      <c r="I1073" s="30"/>
      <c r="J1073" s="65"/>
      <c r="K1073" s="83"/>
      <c r="L1073" s="30"/>
      <c r="M1073" s="39"/>
    </row>
    <row r="1074" spans="1:13" x14ac:dyDescent="0.2">
      <c r="A1074" s="30"/>
      <c r="B1074" s="30"/>
      <c r="C1074" s="30"/>
      <c r="D1074" s="30"/>
      <c r="E1074" s="30"/>
      <c r="F1074" s="30"/>
      <c r="G1074" s="30"/>
      <c r="H1074" s="30"/>
      <c r="I1074" s="30"/>
      <c r="J1074" s="65"/>
      <c r="K1074" s="83"/>
      <c r="L1074" s="30"/>
      <c r="M1074" s="39"/>
    </row>
    <row r="1075" spans="1:13" x14ac:dyDescent="0.2">
      <c r="A1075" s="30"/>
      <c r="B1075" s="30"/>
      <c r="C1075" s="30"/>
      <c r="D1075" s="30"/>
      <c r="E1075" s="30"/>
      <c r="F1075" s="30"/>
      <c r="G1075" s="30"/>
      <c r="H1075" s="30"/>
      <c r="I1075" s="30"/>
      <c r="J1075" s="65"/>
      <c r="K1075" s="83"/>
      <c r="L1075" s="30"/>
      <c r="M1075" s="39"/>
    </row>
    <row r="1076" spans="1:13" x14ac:dyDescent="0.2">
      <c r="A1076" s="30"/>
      <c r="B1076" s="30"/>
      <c r="C1076" s="30"/>
      <c r="D1076" s="30"/>
      <c r="E1076" s="30"/>
      <c r="F1076" s="30"/>
      <c r="G1076" s="30"/>
      <c r="H1076" s="30"/>
      <c r="I1076" s="30"/>
      <c r="J1076" s="65"/>
      <c r="K1076" s="83"/>
      <c r="L1076" s="30"/>
      <c r="M1076" s="39"/>
    </row>
    <row r="1077" spans="1:13" x14ac:dyDescent="0.2">
      <c r="A1077" s="30"/>
      <c r="B1077" s="30"/>
      <c r="C1077" s="30"/>
      <c r="D1077" s="30"/>
      <c r="E1077" s="30"/>
      <c r="F1077" s="30"/>
      <c r="G1077" s="30"/>
      <c r="H1077" s="30"/>
      <c r="I1077" s="30"/>
      <c r="J1077" s="65"/>
      <c r="K1077" s="83"/>
      <c r="L1077" s="30"/>
      <c r="M1077" s="39"/>
    </row>
    <row r="1078" spans="1:13" x14ac:dyDescent="0.2">
      <c r="A1078" s="30"/>
      <c r="B1078" s="30"/>
      <c r="C1078" s="30"/>
      <c r="D1078" s="30"/>
      <c r="E1078" s="30"/>
      <c r="F1078" s="30"/>
      <c r="G1078" s="30"/>
      <c r="H1078" s="30"/>
      <c r="I1078" s="30"/>
      <c r="J1078" s="65"/>
      <c r="K1078" s="83"/>
      <c r="L1078" s="30"/>
      <c r="M1078" s="39"/>
    </row>
    <row r="1079" spans="1:13" x14ac:dyDescent="0.2">
      <c r="A1079" s="30"/>
      <c r="B1079" s="30"/>
      <c r="C1079" s="30"/>
      <c r="D1079" s="30"/>
      <c r="E1079" s="30"/>
      <c r="F1079" s="30"/>
      <c r="G1079" s="30"/>
      <c r="H1079" s="30"/>
      <c r="I1079" s="30"/>
      <c r="J1079" s="65"/>
      <c r="K1079" s="83"/>
      <c r="L1079" s="30"/>
      <c r="M1079" s="39"/>
    </row>
    <row r="1080" spans="1:13" x14ac:dyDescent="0.2">
      <c r="A1080" s="30"/>
      <c r="B1080" s="30"/>
      <c r="C1080" s="30"/>
      <c r="D1080" s="30"/>
      <c r="E1080" s="30"/>
      <c r="F1080" s="30"/>
      <c r="G1080" s="30"/>
      <c r="H1080" s="30"/>
      <c r="I1080" s="30"/>
      <c r="J1080" s="65"/>
      <c r="K1080" s="83"/>
      <c r="L1080" s="30"/>
      <c r="M1080" s="39"/>
    </row>
    <row r="1081" spans="1:13" x14ac:dyDescent="0.2">
      <c r="A1081" s="30"/>
      <c r="B1081" s="30"/>
      <c r="C1081" s="30"/>
      <c r="D1081" s="30"/>
      <c r="E1081" s="30"/>
      <c r="F1081" s="30"/>
      <c r="G1081" s="30"/>
      <c r="H1081" s="30"/>
      <c r="I1081" s="30"/>
      <c r="J1081" s="65"/>
      <c r="K1081" s="83"/>
      <c r="L1081" s="30"/>
      <c r="M1081" s="39"/>
    </row>
    <row r="1082" spans="1:13" x14ac:dyDescent="0.2">
      <c r="A1082" s="30"/>
      <c r="B1082" s="30"/>
      <c r="C1082" s="30"/>
      <c r="D1082" s="30"/>
      <c r="E1082" s="30"/>
      <c r="F1082" s="30"/>
      <c r="G1082" s="30"/>
      <c r="H1082" s="30"/>
      <c r="I1082" s="30"/>
      <c r="J1082" s="65"/>
      <c r="K1082" s="83"/>
      <c r="L1082" s="30"/>
      <c r="M1082" s="39"/>
    </row>
    <row r="1083" spans="1:13" x14ac:dyDescent="0.2">
      <c r="A1083" s="30"/>
      <c r="B1083" s="30"/>
      <c r="C1083" s="30"/>
      <c r="D1083" s="30"/>
      <c r="E1083" s="30"/>
      <c r="F1083" s="30"/>
      <c r="G1083" s="30"/>
      <c r="H1083" s="30"/>
      <c r="I1083" s="30"/>
      <c r="J1083" s="65"/>
      <c r="K1083" s="83"/>
      <c r="L1083" s="30"/>
      <c r="M1083" s="39"/>
    </row>
    <row r="1084" spans="1:13" x14ac:dyDescent="0.2">
      <c r="A1084" s="30"/>
      <c r="B1084" s="30"/>
      <c r="C1084" s="30"/>
      <c r="D1084" s="30"/>
      <c r="E1084" s="30"/>
      <c r="F1084" s="30"/>
      <c r="G1084" s="30"/>
      <c r="H1084" s="30"/>
      <c r="I1084" s="30"/>
      <c r="J1084" s="65"/>
      <c r="K1084" s="83"/>
      <c r="L1084" s="30"/>
      <c r="M1084" s="39"/>
    </row>
    <row r="1085" spans="1:13" x14ac:dyDescent="0.2">
      <c r="A1085" s="30"/>
      <c r="B1085" s="30"/>
      <c r="C1085" s="30"/>
      <c r="D1085" s="30"/>
      <c r="E1085" s="30"/>
      <c r="F1085" s="30"/>
      <c r="G1085" s="30"/>
      <c r="H1085" s="30"/>
      <c r="I1085" s="30"/>
      <c r="J1085" s="65"/>
      <c r="K1085" s="83"/>
      <c r="L1085" s="30"/>
      <c r="M1085" s="39"/>
    </row>
    <row r="1086" spans="1:13" x14ac:dyDescent="0.2">
      <c r="A1086" s="30"/>
      <c r="B1086" s="30"/>
      <c r="C1086" s="30"/>
      <c r="D1086" s="30"/>
      <c r="E1086" s="30"/>
      <c r="F1086" s="30"/>
      <c r="G1086" s="30"/>
      <c r="H1086" s="30"/>
      <c r="I1086" s="30"/>
      <c r="J1086" s="65"/>
      <c r="K1086" s="83"/>
      <c r="L1086" s="30"/>
      <c r="M1086" s="39"/>
    </row>
    <row r="1087" spans="1:13" x14ac:dyDescent="0.2">
      <c r="A1087" s="30"/>
      <c r="B1087" s="30"/>
      <c r="C1087" s="30"/>
      <c r="D1087" s="30"/>
      <c r="E1087" s="30"/>
      <c r="F1087" s="30"/>
      <c r="G1087" s="30"/>
      <c r="H1087" s="30"/>
      <c r="I1087" s="30"/>
      <c r="J1087" s="65"/>
      <c r="K1087" s="83"/>
      <c r="L1087" s="30"/>
      <c r="M1087" s="39"/>
    </row>
    <row r="1088" spans="1:13" x14ac:dyDescent="0.2">
      <c r="A1088" s="30"/>
      <c r="B1088" s="30"/>
      <c r="C1088" s="30"/>
      <c r="D1088" s="30"/>
      <c r="E1088" s="30"/>
      <c r="F1088" s="30"/>
      <c r="G1088" s="30"/>
      <c r="H1088" s="30"/>
      <c r="I1088" s="30"/>
      <c r="J1088" s="65"/>
      <c r="K1088" s="83"/>
      <c r="L1088" s="30"/>
      <c r="M1088" s="39"/>
    </row>
    <row r="1089" spans="1:13" x14ac:dyDescent="0.2">
      <c r="A1089" s="30"/>
      <c r="B1089" s="30"/>
      <c r="C1089" s="30"/>
      <c r="D1089" s="30"/>
      <c r="E1089" s="30"/>
      <c r="F1089" s="30"/>
      <c r="G1089" s="30"/>
      <c r="H1089" s="30"/>
      <c r="I1089" s="30"/>
      <c r="J1089" s="65"/>
      <c r="K1089" s="83"/>
      <c r="L1089" s="30"/>
      <c r="M1089" s="39"/>
    </row>
    <row r="1090" spans="1:13" x14ac:dyDescent="0.2">
      <c r="A1090" s="30"/>
      <c r="B1090" s="30"/>
      <c r="C1090" s="30"/>
      <c r="D1090" s="30"/>
      <c r="E1090" s="30"/>
      <c r="F1090" s="30"/>
      <c r="G1090" s="30"/>
      <c r="H1090" s="30"/>
      <c r="I1090" s="30"/>
      <c r="J1090" s="65"/>
      <c r="K1090" s="83"/>
      <c r="L1090" s="30"/>
      <c r="M1090" s="39"/>
    </row>
    <row r="1091" spans="1:13" x14ac:dyDescent="0.2">
      <c r="A1091" s="30"/>
      <c r="B1091" s="30"/>
      <c r="C1091" s="30"/>
      <c r="D1091" s="30"/>
      <c r="E1091" s="30"/>
      <c r="F1091" s="30"/>
      <c r="G1091" s="30"/>
      <c r="H1091" s="30"/>
      <c r="I1091" s="30"/>
      <c r="J1091" s="65"/>
      <c r="K1091" s="83"/>
      <c r="L1091" s="30"/>
      <c r="M1091" s="39"/>
    </row>
    <row r="1092" spans="1:13" x14ac:dyDescent="0.2">
      <c r="A1092" s="30"/>
      <c r="B1092" s="30"/>
      <c r="C1092" s="30"/>
      <c r="D1092" s="30"/>
      <c r="E1092" s="30"/>
      <c r="F1092" s="30"/>
      <c r="G1092" s="30"/>
      <c r="H1092" s="30"/>
      <c r="I1092" s="30"/>
      <c r="J1092" s="65"/>
      <c r="K1092" s="83"/>
      <c r="L1092" s="30"/>
      <c r="M1092" s="39"/>
    </row>
    <row r="1093" spans="1:13" x14ac:dyDescent="0.2">
      <c r="A1093" s="30"/>
      <c r="B1093" s="30"/>
      <c r="C1093" s="30"/>
      <c r="D1093" s="30"/>
      <c r="E1093" s="30"/>
      <c r="F1093" s="30"/>
      <c r="G1093" s="30"/>
      <c r="H1093" s="30"/>
      <c r="I1093" s="30"/>
      <c r="J1093" s="65"/>
      <c r="K1093" s="83"/>
      <c r="L1093" s="30"/>
      <c r="M1093" s="39"/>
    </row>
    <row r="1094" spans="1:13" x14ac:dyDescent="0.2">
      <c r="A1094" s="30"/>
      <c r="B1094" s="30"/>
      <c r="C1094" s="30"/>
      <c r="D1094" s="30"/>
      <c r="E1094" s="30"/>
      <c r="F1094" s="30"/>
      <c r="G1094" s="30"/>
      <c r="H1094" s="30"/>
      <c r="I1094" s="30"/>
      <c r="J1094" s="65"/>
      <c r="K1094" s="83"/>
      <c r="L1094" s="30"/>
      <c r="M1094" s="39"/>
    </row>
    <row r="1095" spans="1:13" x14ac:dyDescent="0.2">
      <c r="A1095" s="30"/>
      <c r="B1095" s="30"/>
      <c r="C1095" s="30"/>
      <c r="D1095" s="30"/>
      <c r="E1095" s="30"/>
      <c r="F1095" s="30"/>
      <c r="G1095" s="30"/>
      <c r="H1095" s="30"/>
      <c r="I1095" s="30"/>
      <c r="J1095" s="65"/>
      <c r="K1095" s="83"/>
      <c r="L1095" s="30"/>
      <c r="M1095" s="39"/>
    </row>
    <row r="1096" spans="1:13" x14ac:dyDescent="0.2">
      <c r="A1096" s="30"/>
      <c r="B1096" s="30"/>
      <c r="C1096" s="30"/>
      <c r="D1096" s="30"/>
      <c r="E1096" s="30"/>
      <c r="F1096" s="30"/>
      <c r="G1096" s="30"/>
      <c r="H1096" s="30"/>
      <c r="I1096" s="30"/>
      <c r="J1096" s="65"/>
      <c r="K1096" s="83"/>
      <c r="L1096" s="30"/>
      <c r="M1096" s="39"/>
    </row>
    <row r="1097" spans="1:13" x14ac:dyDescent="0.2">
      <c r="A1097" s="30"/>
      <c r="B1097" s="30"/>
      <c r="C1097" s="30"/>
      <c r="D1097" s="30"/>
      <c r="E1097" s="30"/>
      <c r="F1097" s="30"/>
      <c r="G1097" s="30"/>
      <c r="H1097" s="30"/>
      <c r="I1097" s="30"/>
      <c r="J1097" s="65"/>
      <c r="K1097" s="83"/>
      <c r="L1097" s="30"/>
      <c r="M1097" s="39"/>
    </row>
    <row r="1098" spans="1:13" x14ac:dyDescent="0.2">
      <c r="A1098" s="30"/>
      <c r="B1098" s="30"/>
      <c r="C1098" s="30"/>
      <c r="D1098" s="30"/>
      <c r="E1098" s="30"/>
      <c r="F1098" s="30"/>
      <c r="G1098" s="30"/>
      <c r="H1098" s="30"/>
      <c r="I1098" s="30"/>
      <c r="J1098" s="65"/>
      <c r="K1098" s="83"/>
      <c r="L1098" s="30"/>
      <c r="M1098" s="39"/>
    </row>
    <row r="1099" spans="1:13" x14ac:dyDescent="0.2">
      <c r="A1099" s="30"/>
      <c r="B1099" s="30"/>
      <c r="C1099" s="30"/>
      <c r="D1099" s="30"/>
      <c r="E1099" s="30"/>
      <c r="F1099" s="30"/>
      <c r="G1099" s="30"/>
      <c r="H1099" s="30"/>
      <c r="I1099" s="30"/>
      <c r="J1099" s="65"/>
      <c r="K1099" s="83"/>
      <c r="L1099" s="30"/>
      <c r="M1099" s="39"/>
    </row>
    <row r="1100" spans="1:13" x14ac:dyDescent="0.2">
      <c r="A1100" s="30"/>
      <c r="B1100" s="30"/>
      <c r="C1100" s="30"/>
      <c r="D1100" s="30"/>
      <c r="E1100" s="30"/>
      <c r="F1100" s="30"/>
      <c r="G1100" s="30"/>
      <c r="H1100" s="30"/>
      <c r="I1100" s="30"/>
      <c r="J1100" s="65"/>
      <c r="K1100" s="83"/>
      <c r="L1100" s="30"/>
      <c r="M1100" s="39"/>
    </row>
    <row r="1101" spans="1:13" x14ac:dyDescent="0.2">
      <c r="A1101" s="30"/>
      <c r="B1101" s="30"/>
      <c r="C1101" s="30"/>
      <c r="D1101" s="30"/>
      <c r="E1101" s="30"/>
      <c r="F1101" s="30"/>
      <c r="G1101" s="30"/>
      <c r="H1101" s="30"/>
      <c r="I1101" s="30"/>
      <c r="J1101" s="65"/>
      <c r="K1101" s="83"/>
      <c r="L1101" s="30"/>
      <c r="M1101" s="39"/>
    </row>
    <row r="1102" spans="1:13" x14ac:dyDescent="0.2">
      <c r="A1102" s="30"/>
      <c r="B1102" s="30"/>
      <c r="C1102" s="30"/>
      <c r="D1102" s="30"/>
      <c r="E1102" s="30"/>
      <c r="F1102" s="30"/>
      <c r="G1102" s="30"/>
      <c r="H1102" s="30"/>
      <c r="I1102" s="30"/>
      <c r="J1102" s="65"/>
      <c r="K1102" s="83"/>
      <c r="L1102" s="30"/>
      <c r="M1102" s="39"/>
    </row>
    <row r="1103" spans="1:13" x14ac:dyDescent="0.2">
      <c r="A1103" s="30"/>
      <c r="B1103" s="30"/>
      <c r="C1103" s="30"/>
      <c r="D1103" s="30"/>
      <c r="E1103" s="30"/>
      <c r="F1103" s="30"/>
      <c r="G1103" s="30"/>
      <c r="H1103" s="30"/>
      <c r="I1103" s="30"/>
      <c r="J1103" s="65"/>
      <c r="K1103" s="83"/>
      <c r="L1103" s="30"/>
      <c r="M1103" s="39"/>
    </row>
    <row r="1104" spans="1:13" x14ac:dyDescent="0.2">
      <c r="A1104" s="30"/>
      <c r="B1104" s="30"/>
      <c r="C1104" s="30"/>
      <c r="D1104" s="30"/>
      <c r="E1104" s="30"/>
      <c r="F1104" s="30"/>
      <c r="G1104" s="30"/>
      <c r="H1104" s="30"/>
      <c r="I1104" s="30"/>
      <c r="J1104" s="65"/>
      <c r="K1104" s="83"/>
      <c r="L1104" s="30"/>
      <c r="M1104" s="39"/>
    </row>
    <row r="1105" spans="1:13" x14ac:dyDescent="0.2">
      <c r="A1105" s="30"/>
      <c r="B1105" s="30"/>
      <c r="C1105" s="30"/>
      <c r="D1105" s="30"/>
      <c r="E1105" s="30"/>
      <c r="F1105" s="30"/>
      <c r="G1105" s="30"/>
      <c r="H1105" s="30"/>
      <c r="I1105" s="30"/>
      <c r="J1105" s="65"/>
      <c r="K1105" s="83"/>
      <c r="L1105" s="30"/>
      <c r="M1105" s="39"/>
    </row>
    <row r="1106" spans="1:13" x14ac:dyDescent="0.2">
      <c r="A1106" s="30"/>
      <c r="B1106" s="30"/>
      <c r="C1106" s="30"/>
      <c r="D1106" s="30"/>
      <c r="E1106" s="30"/>
      <c r="F1106" s="30"/>
      <c r="G1106" s="30"/>
      <c r="H1106" s="30"/>
      <c r="I1106" s="30"/>
      <c r="J1106" s="65"/>
      <c r="K1106" s="83"/>
      <c r="L1106" s="30"/>
      <c r="M1106" s="39"/>
    </row>
    <row r="1107" spans="1:13" x14ac:dyDescent="0.2">
      <c r="A1107" s="30"/>
      <c r="B1107" s="30"/>
      <c r="C1107" s="30"/>
      <c r="D1107" s="30"/>
      <c r="E1107" s="30"/>
      <c r="F1107" s="30"/>
      <c r="G1107" s="30"/>
      <c r="H1107" s="30"/>
      <c r="I1107" s="30"/>
      <c r="J1107" s="65"/>
      <c r="K1107" s="83"/>
      <c r="L1107" s="30"/>
      <c r="M1107" s="39"/>
    </row>
    <row r="1108" spans="1:13" x14ac:dyDescent="0.2">
      <c r="A1108" s="30"/>
      <c r="B1108" s="30"/>
      <c r="C1108" s="30"/>
      <c r="D1108" s="30"/>
      <c r="E1108" s="30"/>
      <c r="F1108" s="30"/>
      <c r="G1108" s="30"/>
      <c r="H1108" s="30"/>
      <c r="I1108" s="30"/>
      <c r="J1108" s="65"/>
      <c r="K1108" s="83"/>
      <c r="L1108" s="30"/>
      <c r="M1108" s="39"/>
    </row>
    <row r="1109" spans="1:13" x14ac:dyDescent="0.2">
      <c r="A1109" s="30"/>
      <c r="B1109" s="30"/>
      <c r="C1109" s="30"/>
      <c r="D1109" s="30"/>
      <c r="E1109" s="30"/>
      <c r="F1109" s="30"/>
      <c r="G1109" s="30"/>
      <c r="H1109" s="30"/>
      <c r="I1109" s="30"/>
      <c r="J1109" s="65"/>
      <c r="K1109" s="83"/>
      <c r="L1109" s="30"/>
      <c r="M1109" s="39"/>
    </row>
    <row r="1110" spans="1:13" x14ac:dyDescent="0.2">
      <c r="A1110" s="30"/>
      <c r="B1110" s="30"/>
      <c r="C1110" s="30"/>
      <c r="D1110" s="30"/>
      <c r="E1110" s="30"/>
      <c r="F1110" s="30"/>
      <c r="G1110" s="30"/>
      <c r="H1110" s="30"/>
      <c r="I1110" s="30"/>
      <c r="J1110" s="65"/>
      <c r="K1110" s="83"/>
      <c r="L1110" s="30"/>
      <c r="M1110" s="39"/>
    </row>
    <row r="1111" spans="1:13" x14ac:dyDescent="0.2">
      <c r="A1111" s="30"/>
      <c r="B1111" s="30"/>
      <c r="C1111" s="30"/>
      <c r="D1111" s="30"/>
      <c r="E1111" s="30"/>
      <c r="F1111" s="30"/>
      <c r="G1111" s="30"/>
      <c r="H1111" s="30"/>
      <c r="I1111" s="30"/>
      <c r="J1111" s="65"/>
      <c r="K1111" s="83"/>
      <c r="L1111" s="30"/>
      <c r="M1111" s="39"/>
    </row>
    <row r="1112" spans="1:13" x14ac:dyDescent="0.2">
      <c r="A1112" s="30"/>
      <c r="B1112" s="30"/>
      <c r="C1112" s="30"/>
      <c r="D1112" s="30"/>
      <c r="E1112" s="30"/>
      <c r="F1112" s="30"/>
      <c r="G1112" s="30"/>
      <c r="H1112" s="30"/>
      <c r="I1112" s="30"/>
      <c r="J1112" s="65"/>
      <c r="K1112" s="83"/>
      <c r="L1112" s="30"/>
      <c r="M1112" s="39"/>
    </row>
    <row r="1113" spans="1:13" x14ac:dyDescent="0.2">
      <c r="A1113" s="30"/>
      <c r="B1113" s="30"/>
      <c r="C1113" s="30"/>
      <c r="D1113" s="30"/>
      <c r="E1113" s="30"/>
      <c r="F1113" s="30"/>
      <c r="G1113" s="30"/>
      <c r="H1113" s="30"/>
      <c r="I1113" s="30"/>
      <c r="J1113" s="65"/>
      <c r="K1113" s="83"/>
      <c r="L1113" s="30"/>
      <c r="M1113" s="39"/>
    </row>
    <row r="1114" spans="1:13" x14ac:dyDescent="0.2">
      <c r="A1114" s="30"/>
      <c r="B1114" s="30"/>
      <c r="C1114" s="30"/>
      <c r="D1114" s="30"/>
      <c r="E1114" s="30"/>
      <c r="F1114" s="30"/>
      <c r="G1114" s="30"/>
      <c r="H1114" s="30"/>
      <c r="I1114" s="30"/>
      <c r="J1114" s="65"/>
      <c r="K1114" s="83"/>
      <c r="L1114" s="30"/>
      <c r="M1114" s="39"/>
    </row>
    <row r="1115" spans="1:13" x14ac:dyDescent="0.2">
      <c r="A1115" s="30"/>
      <c r="B1115" s="30"/>
      <c r="C1115" s="30"/>
      <c r="D1115" s="30"/>
      <c r="E1115" s="30"/>
      <c r="F1115" s="30"/>
      <c r="G1115" s="30"/>
      <c r="H1115" s="30"/>
      <c r="I1115" s="30"/>
      <c r="J1115" s="65"/>
      <c r="K1115" s="83"/>
      <c r="L1115" s="30"/>
      <c r="M1115" s="39"/>
    </row>
    <row r="1116" spans="1:13" x14ac:dyDescent="0.2">
      <c r="A1116" s="30"/>
      <c r="B1116" s="30"/>
      <c r="C1116" s="30"/>
      <c r="D1116" s="30"/>
      <c r="E1116" s="30"/>
      <c r="F1116" s="30"/>
      <c r="G1116" s="30"/>
      <c r="H1116" s="30"/>
      <c r="I1116" s="30"/>
      <c r="J1116" s="65"/>
      <c r="K1116" s="83"/>
      <c r="L1116" s="30"/>
      <c r="M1116" s="39"/>
    </row>
    <row r="1117" spans="1:13" x14ac:dyDescent="0.2">
      <c r="A1117" s="30"/>
      <c r="B1117" s="30"/>
      <c r="C1117" s="30"/>
      <c r="D1117" s="30"/>
      <c r="E1117" s="30"/>
      <c r="F1117" s="30"/>
      <c r="G1117" s="30"/>
      <c r="H1117" s="30"/>
      <c r="I1117" s="30"/>
      <c r="J1117" s="65"/>
      <c r="K1117" s="83"/>
      <c r="L1117" s="30"/>
      <c r="M1117" s="39"/>
    </row>
    <row r="1118" spans="1:13" x14ac:dyDescent="0.2">
      <c r="A1118" s="30"/>
      <c r="B1118" s="30"/>
      <c r="C1118" s="30"/>
      <c r="D1118" s="30"/>
      <c r="E1118" s="30"/>
      <c r="F1118" s="30"/>
      <c r="G1118" s="30"/>
      <c r="H1118" s="30"/>
      <c r="I1118" s="30"/>
      <c r="J1118" s="65"/>
      <c r="K1118" s="83"/>
      <c r="L1118" s="30"/>
      <c r="M1118" s="39"/>
    </row>
    <row r="1119" spans="1:13" x14ac:dyDescent="0.2">
      <c r="A1119" s="30"/>
      <c r="B1119" s="30"/>
      <c r="C1119" s="30"/>
      <c r="D1119" s="30"/>
      <c r="E1119" s="30"/>
      <c r="F1119" s="30"/>
      <c r="G1119" s="30"/>
      <c r="H1119" s="30"/>
      <c r="I1119" s="30"/>
      <c r="J1119" s="65"/>
      <c r="K1119" s="83"/>
      <c r="L1119" s="30"/>
      <c r="M1119" s="39"/>
    </row>
    <row r="1120" spans="1:13" x14ac:dyDescent="0.2">
      <c r="A1120" s="30"/>
      <c r="B1120" s="30"/>
      <c r="C1120" s="30"/>
      <c r="D1120" s="30"/>
      <c r="E1120" s="30"/>
      <c r="F1120" s="30"/>
      <c r="G1120" s="30"/>
      <c r="H1120" s="30"/>
      <c r="I1120" s="30"/>
      <c r="J1120" s="65"/>
      <c r="K1120" s="83"/>
      <c r="L1120" s="30"/>
      <c r="M1120" s="39"/>
    </row>
    <row r="1121" spans="1:13" x14ac:dyDescent="0.2">
      <c r="A1121" s="30"/>
      <c r="B1121" s="30"/>
      <c r="C1121" s="30"/>
      <c r="D1121" s="30"/>
      <c r="E1121" s="30"/>
      <c r="F1121" s="30"/>
      <c r="G1121" s="30"/>
      <c r="H1121" s="30"/>
      <c r="I1121" s="30"/>
      <c r="J1121" s="65"/>
      <c r="K1121" s="83"/>
      <c r="L1121" s="30"/>
      <c r="M1121" s="39"/>
    </row>
    <row r="1122" spans="1:13" x14ac:dyDescent="0.2">
      <c r="A1122" s="30"/>
      <c r="B1122" s="30"/>
      <c r="C1122" s="30"/>
      <c r="D1122" s="30"/>
      <c r="E1122" s="30"/>
      <c r="F1122" s="30"/>
      <c r="G1122" s="30"/>
      <c r="H1122" s="30"/>
      <c r="I1122" s="30"/>
      <c r="J1122" s="65"/>
      <c r="K1122" s="83"/>
      <c r="L1122" s="30"/>
      <c r="M1122" s="39"/>
    </row>
    <row r="1123" spans="1:13" x14ac:dyDescent="0.2">
      <c r="A1123" s="30"/>
      <c r="B1123" s="30"/>
      <c r="C1123" s="30"/>
      <c r="D1123" s="30"/>
      <c r="E1123" s="30"/>
      <c r="F1123" s="30"/>
      <c r="G1123" s="30"/>
      <c r="H1123" s="30"/>
      <c r="I1123" s="30"/>
      <c r="J1123" s="65"/>
      <c r="K1123" s="83"/>
      <c r="L1123" s="30"/>
      <c r="M1123" s="39"/>
    </row>
    <row r="1124" spans="1:13" x14ac:dyDescent="0.2">
      <c r="A1124" s="30"/>
      <c r="B1124" s="30"/>
      <c r="C1124" s="30"/>
      <c r="D1124" s="30"/>
      <c r="E1124" s="30"/>
      <c r="F1124" s="30"/>
      <c r="G1124" s="30"/>
      <c r="H1124" s="30"/>
      <c r="I1124" s="30"/>
      <c r="J1124" s="65"/>
      <c r="K1124" s="83"/>
      <c r="L1124" s="30"/>
      <c r="M1124" s="39"/>
    </row>
    <row r="1125" spans="1:13" x14ac:dyDescent="0.2">
      <c r="A1125" s="30"/>
      <c r="B1125" s="30"/>
      <c r="C1125" s="30"/>
      <c r="D1125" s="30"/>
      <c r="E1125" s="30"/>
      <c r="F1125" s="30"/>
      <c r="G1125" s="30"/>
      <c r="H1125" s="30"/>
      <c r="I1125" s="30"/>
      <c r="J1125" s="65"/>
      <c r="K1125" s="83"/>
      <c r="L1125" s="30"/>
      <c r="M1125" s="39"/>
    </row>
    <row r="1126" spans="1:13" x14ac:dyDescent="0.2">
      <c r="A1126" s="30"/>
      <c r="B1126" s="30"/>
      <c r="C1126" s="30"/>
      <c r="D1126" s="30"/>
      <c r="E1126" s="30"/>
      <c r="F1126" s="30"/>
      <c r="G1126" s="30"/>
      <c r="H1126" s="30"/>
      <c r="I1126" s="30"/>
      <c r="J1126" s="65"/>
      <c r="K1126" s="83"/>
      <c r="L1126" s="30"/>
      <c r="M1126" s="39"/>
    </row>
    <row r="1127" spans="1:13" x14ac:dyDescent="0.2">
      <c r="A1127" s="30"/>
      <c r="B1127" s="30"/>
      <c r="C1127" s="30"/>
      <c r="D1127" s="30"/>
      <c r="E1127" s="30"/>
      <c r="F1127" s="30"/>
      <c r="G1127" s="30"/>
      <c r="H1127" s="30"/>
      <c r="I1127" s="30"/>
      <c r="J1127" s="65"/>
      <c r="K1127" s="83"/>
      <c r="L1127" s="30"/>
      <c r="M1127" s="39"/>
    </row>
    <row r="1128" spans="1:13" x14ac:dyDescent="0.2">
      <c r="A1128" s="30"/>
      <c r="B1128" s="30"/>
      <c r="C1128" s="30"/>
      <c r="D1128" s="30"/>
      <c r="E1128" s="30"/>
      <c r="F1128" s="30"/>
      <c r="G1128" s="30"/>
      <c r="H1128" s="30"/>
      <c r="I1128" s="30"/>
      <c r="J1128" s="65"/>
      <c r="K1128" s="83"/>
      <c r="L1128" s="30"/>
      <c r="M1128" s="39"/>
    </row>
    <row r="1129" spans="1:13" x14ac:dyDescent="0.2">
      <c r="A1129" s="30"/>
      <c r="B1129" s="30"/>
      <c r="C1129" s="30"/>
      <c r="D1129" s="30"/>
      <c r="E1129" s="30"/>
      <c r="F1129" s="30"/>
      <c r="G1129" s="30"/>
      <c r="H1129" s="30"/>
      <c r="I1129" s="30"/>
      <c r="J1129" s="65"/>
      <c r="K1129" s="83"/>
      <c r="L1129" s="30"/>
      <c r="M1129" s="39"/>
    </row>
    <row r="1130" spans="1:13" x14ac:dyDescent="0.2">
      <c r="A1130" s="30"/>
      <c r="B1130" s="30"/>
      <c r="C1130" s="30"/>
      <c r="D1130" s="30"/>
      <c r="E1130" s="30"/>
      <c r="F1130" s="30"/>
      <c r="G1130" s="30"/>
      <c r="H1130" s="30"/>
      <c r="I1130" s="30"/>
      <c r="J1130" s="65"/>
      <c r="K1130" s="83"/>
      <c r="L1130" s="30"/>
      <c r="M1130" s="39"/>
    </row>
    <row r="1131" spans="1:13" x14ac:dyDescent="0.2">
      <c r="A1131" s="30"/>
      <c r="B1131" s="30"/>
      <c r="C1131" s="30"/>
      <c r="D1131" s="30"/>
      <c r="E1131" s="30"/>
      <c r="F1131" s="30"/>
      <c r="G1131" s="30"/>
      <c r="H1131" s="30"/>
      <c r="I1131" s="30"/>
      <c r="J1131" s="65"/>
      <c r="K1131" s="83"/>
      <c r="L1131" s="30"/>
      <c r="M1131" s="39"/>
    </row>
    <row r="1132" spans="1:13" x14ac:dyDescent="0.2">
      <c r="A1132" s="30"/>
      <c r="B1132" s="30"/>
      <c r="C1132" s="30"/>
      <c r="D1132" s="30"/>
      <c r="E1132" s="30"/>
      <c r="F1132" s="30"/>
      <c r="G1132" s="30"/>
      <c r="H1132" s="30"/>
      <c r="I1132" s="30"/>
      <c r="J1132" s="65"/>
      <c r="K1132" s="83"/>
      <c r="L1132" s="30"/>
      <c r="M1132" s="39"/>
    </row>
    <row r="1133" spans="1:13" x14ac:dyDescent="0.2">
      <c r="A1133" s="30"/>
      <c r="B1133" s="30"/>
      <c r="C1133" s="30"/>
      <c r="D1133" s="30"/>
      <c r="E1133" s="30"/>
      <c r="F1133" s="30"/>
      <c r="G1133" s="30"/>
      <c r="H1133" s="30"/>
      <c r="I1133" s="30"/>
      <c r="J1133" s="65"/>
      <c r="K1133" s="83"/>
      <c r="L1133" s="30"/>
      <c r="M1133" s="39"/>
    </row>
    <row r="1134" spans="1:13" x14ac:dyDescent="0.2">
      <c r="A1134" s="30"/>
      <c r="B1134" s="30"/>
      <c r="C1134" s="30"/>
      <c r="D1134" s="30"/>
      <c r="E1134" s="30"/>
      <c r="F1134" s="30"/>
      <c r="G1134" s="30"/>
      <c r="H1134" s="30"/>
      <c r="I1134" s="30"/>
      <c r="J1134" s="65"/>
      <c r="K1134" s="83"/>
      <c r="L1134" s="30"/>
      <c r="M1134" s="39"/>
    </row>
    <row r="1135" spans="1:13" x14ac:dyDescent="0.2">
      <c r="A1135" s="30"/>
      <c r="B1135" s="30"/>
      <c r="C1135" s="30"/>
      <c r="D1135" s="30"/>
      <c r="E1135" s="30"/>
      <c r="F1135" s="30"/>
      <c r="G1135" s="30"/>
      <c r="H1135" s="30"/>
      <c r="I1135" s="30"/>
      <c r="J1135" s="65"/>
      <c r="K1135" s="83"/>
      <c r="L1135" s="30"/>
      <c r="M1135" s="39"/>
    </row>
    <row r="1136" spans="1:13" x14ac:dyDescent="0.2">
      <c r="A1136" s="30"/>
      <c r="B1136" s="30"/>
      <c r="C1136" s="30"/>
      <c r="D1136" s="30"/>
      <c r="E1136" s="30"/>
      <c r="F1136" s="30"/>
      <c r="G1136" s="30"/>
      <c r="H1136" s="30"/>
      <c r="I1136" s="30"/>
      <c r="J1136" s="65"/>
      <c r="K1136" s="83"/>
      <c r="L1136" s="30"/>
      <c r="M1136" s="39"/>
    </row>
    <row r="1137" spans="1:13" x14ac:dyDescent="0.2">
      <c r="A1137" s="30"/>
      <c r="B1137" s="30"/>
      <c r="C1137" s="30"/>
      <c r="D1137" s="30"/>
      <c r="E1137" s="30"/>
      <c r="F1137" s="30"/>
      <c r="G1137" s="30"/>
      <c r="H1137" s="30"/>
      <c r="I1137" s="30"/>
      <c r="J1137" s="65"/>
      <c r="K1137" s="83"/>
      <c r="L1137" s="30"/>
      <c r="M1137" s="39"/>
    </row>
    <row r="1138" spans="1:13" x14ac:dyDescent="0.2">
      <c r="A1138" s="30"/>
      <c r="B1138" s="30"/>
      <c r="C1138" s="30"/>
      <c r="D1138" s="30"/>
      <c r="E1138" s="30"/>
      <c r="F1138" s="30"/>
      <c r="G1138" s="30"/>
      <c r="H1138" s="30"/>
      <c r="I1138" s="30"/>
      <c r="J1138" s="65"/>
      <c r="K1138" s="83"/>
      <c r="L1138" s="30"/>
      <c r="M1138" s="39"/>
    </row>
    <row r="1139" spans="1:13" x14ac:dyDescent="0.2">
      <c r="A1139" s="30"/>
      <c r="B1139" s="30"/>
      <c r="C1139" s="30"/>
      <c r="D1139" s="30"/>
      <c r="E1139" s="30"/>
      <c r="F1139" s="30"/>
      <c r="G1139" s="30"/>
      <c r="H1139" s="30"/>
      <c r="I1139" s="30"/>
      <c r="J1139" s="65"/>
      <c r="K1139" s="83"/>
      <c r="L1139" s="30"/>
      <c r="M1139" s="39"/>
    </row>
    <row r="1140" spans="1:13" x14ac:dyDescent="0.2">
      <c r="A1140" s="30"/>
      <c r="B1140" s="30"/>
      <c r="C1140" s="30"/>
      <c r="D1140" s="30"/>
      <c r="E1140" s="30"/>
      <c r="F1140" s="30"/>
      <c r="G1140" s="30"/>
      <c r="H1140" s="30"/>
      <c r="I1140" s="30"/>
      <c r="J1140" s="65"/>
      <c r="K1140" s="83"/>
      <c r="L1140" s="30"/>
      <c r="M1140" s="39"/>
    </row>
    <row r="1141" spans="1:13" x14ac:dyDescent="0.2">
      <c r="A1141" s="30"/>
      <c r="B1141" s="30"/>
      <c r="C1141" s="30"/>
      <c r="D1141" s="30"/>
      <c r="E1141" s="30"/>
      <c r="F1141" s="30"/>
      <c r="G1141" s="30"/>
      <c r="H1141" s="30"/>
      <c r="I1141" s="30"/>
      <c r="J1141" s="65"/>
      <c r="K1141" s="83"/>
      <c r="L1141" s="30"/>
      <c r="M1141" s="39"/>
    </row>
    <row r="1142" spans="1:13" x14ac:dyDescent="0.2">
      <c r="A1142" s="30"/>
      <c r="B1142" s="30"/>
      <c r="C1142" s="30"/>
      <c r="D1142" s="30"/>
      <c r="E1142" s="30"/>
      <c r="F1142" s="30"/>
      <c r="G1142" s="30"/>
      <c r="H1142" s="30"/>
      <c r="I1142" s="30"/>
      <c r="J1142" s="65"/>
      <c r="K1142" s="83"/>
      <c r="L1142" s="30"/>
      <c r="M1142" s="39"/>
    </row>
    <row r="1143" spans="1:13" x14ac:dyDescent="0.2">
      <c r="A1143" s="30"/>
      <c r="B1143" s="30"/>
      <c r="C1143" s="30"/>
      <c r="D1143" s="30"/>
      <c r="E1143" s="30"/>
      <c r="F1143" s="30"/>
      <c r="G1143" s="30"/>
      <c r="H1143" s="30"/>
      <c r="I1143" s="30"/>
      <c r="J1143" s="65"/>
      <c r="K1143" s="83"/>
      <c r="L1143" s="30"/>
      <c r="M1143" s="39"/>
    </row>
    <row r="1144" spans="1:13" x14ac:dyDescent="0.2">
      <c r="A1144" s="30"/>
      <c r="B1144" s="30"/>
      <c r="C1144" s="30"/>
      <c r="D1144" s="30"/>
      <c r="E1144" s="30"/>
      <c r="F1144" s="30"/>
      <c r="G1144" s="30"/>
      <c r="H1144" s="30"/>
      <c r="I1144" s="30"/>
      <c r="J1144" s="65"/>
      <c r="K1144" s="83"/>
      <c r="L1144" s="30"/>
      <c r="M1144" s="39"/>
    </row>
    <row r="1145" spans="1:13" x14ac:dyDescent="0.2">
      <c r="A1145" s="30"/>
      <c r="B1145" s="30"/>
      <c r="C1145" s="30"/>
      <c r="D1145" s="30"/>
      <c r="E1145" s="30"/>
      <c r="F1145" s="30"/>
      <c r="G1145" s="30"/>
      <c r="H1145" s="30"/>
      <c r="I1145" s="30"/>
      <c r="J1145" s="65"/>
      <c r="K1145" s="83"/>
      <c r="L1145" s="30"/>
      <c r="M1145" s="39"/>
    </row>
    <row r="1146" spans="1:13" x14ac:dyDescent="0.2">
      <c r="A1146" s="30"/>
      <c r="B1146" s="30"/>
      <c r="C1146" s="30"/>
      <c r="D1146" s="30"/>
      <c r="E1146" s="30"/>
      <c r="F1146" s="30"/>
      <c r="G1146" s="30"/>
      <c r="H1146" s="30"/>
      <c r="I1146" s="30"/>
      <c r="J1146" s="65"/>
      <c r="K1146" s="83"/>
      <c r="L1146" s="30"/>
      <c r="M1146" s="39"/>
    </row>
    <row r="1147" spans="1:13" x14ac:dyDescent="0.2">
      <c r="A1147" s="30"/>
      <c r="B1147" s="30"/>
      <c r="C1147" s="30"/>
      <c r="D1147" s="30"/>
      <c r="E1147" s="30"/>
      <c r="F1147" s="30"/>
      <c r="G1147" s="30"/>
      <c r="H1147" s="30"/>
      <c r="I1147" s="30"/>
      <c r="J1147" s="65"/>
      <c r="K1147" s="83"/>
      <c r="L1147" s="30"/>
      <c r="M1147" s="39"/>
    </row>
    <row r="1148" spans="1:13" x14ac:dyDescent="0.2">
      <c r="A1148" s="30"/>
      <c r="B1148" s="30"/>
      <c r="C1148" s="30"/>
      <c r="D1148" s="30"/>
      <c r="E1148" s="30"/>
      <c r="F1148" s="30"/>
      <c r="G1148" s="30"/>
      <c r="H1148" s="30"/>
      <c r="I1148" s="30"/>
      <c r="J1148" s="65"/>
      <c r="K1148" s="83"/>
      <c r="L1148" s="30"/>
      <c r="M1148" s="39"/>
    </row>
    <row r="1149" spans="1:13" x14ac:dyDescent="0.2">
      <c r="A1149" s="30"/>
      <c r="B1149" s="30"/>
      <c r="C1149" s="30"/>
      <c r="D1149" s="30"/>
      <c r="E1149" s="30"/>
      <c r="F1149" s="30"/>
      <c r="G1149" s="30"/>
      <c r="H1149" s="30"/>
      <c r="I1149" s="30"/>
      <c r="J1149" s="65"/>
      <c r="K1149" s="83"/>
      <c r="L1149" s="30"/>
      <c r="M1149" s="39"/>
    </row>
    <row r="1150" spans="1:13" x14ac:dyDescent="0.2">
      <c r="A1150" s="30"/>
      <c r="B1150" s="30"/>
      <c r="C1150" s="30"/>
      <c r="D1150" s="30"/>
      <c r="E1150" s="30"/>
      <c r="F1150" s="30"/>
      <c r="G1150" s="30"/>
      <c r="H1150" s="30"/>
      <c r="I1150" s="30"/>
      <c r="J1150" s="65"/>
      <c r="K1150" s="83"/>
      <c r="L1150" s="30"/>
      <c r="M1150" s="39"/>
    </row>
    <row r="1151" spans="1:13" x14ac:dyDescent="0.2">
      <c r="A1151" s="30"/>
      <c r="B1151" s="30"/>
      <c r="C1151" s="30"/>
      <c r="D1151" s="30"/>
      <c r="E1151" s="30"/>
      <c r="F1151" s="30"/>
      <c r="G1151" s="30"/>
      <c r="H1151" s="30"/>
      <c r="I1151" s="30"/>
      <c r="J1151" s="65"/>
      <c r="K1151" s="83"/>
      <c r="L1151" s="30"/>
      <c r="M1151" s="39"/>
    </row>
    <row r="1152" spans="1:13" x14ac:dyDescent="0.2">
      <c r="A1152" s="30"/>
      <c r="B1152" s="30"/>
      <c r="C1152" s="30"/>
      <c r="D1152" s="30"/>
      <c r="E1152" s="30"/>
      <c r="F1152" s="30"/>
      <c r="G1152" s="30"/>
      <c r="H1152" s="30"/>
      <c r="I1152" s="30"/>
      <c r="J1152" s="65"/>
      <c r="K1152" s="83"/>
      <c r="L1152" s="30"/>
      <c r="M1152" s="39"/>
    </row>
    <row r="1153" spans="1:13" x14ac:dyDescent="0.2">
      <c r="A1153" s="30"/>
      <c r="B1153" s="30"/>
      <c r="C1153" s="30"/>
      <c r="D1153" s="30"/>
      <c r="E1153" s="30"/>
      <c r="F1153" s="30"/>
      <c r="G1153" s="30"/>
      <c r="H1153" s="30"/>
      <c r="I1153" s="30"/>
      <c r="J1153" s="65"/>
      <c r="K1153" s="83"/>
      <c r="L1153" s="30"/>
      <c r="M1153" s="39"/>
    </row>
    <row r="1154" spans="1:13" x14ac:dyDescent="0.2">
      <c r="A1154" s="30"/>
      <c r="B1154" s="30"/>
      <c r="C1154" s="30"/>
      <c r="D1154" s="30"/>
      <c r="E1154" s="30"/>
      <c r="F1154" s="30"/>
      <c r="G1154" s="30"/>
      <c r="H1154" s="30"/>
      <c r="I1154" s="30"/>
      <c r="J1154" s="65"/>
      <c r="K1154" s="83"/>
      <c r="L1154" s="30"/>
      <c r="M1154" s="39"/>
    </row>
    <row r="1155" spans="1:13" x14ac:dyDescent="0.2">
      <c r="A1155" s="30"/>
      <c r="B1155" s="30"/>
      <c r="C1155" s="30"/>
      <c r="D1155" s="30"/>
      <c r="E1155" s="30"/>
      <c r="F1155" s="30"/>
      <c r="G1155" s="30"/>
      <c r="H1155" s="30"/>
      <c r="I1155" s="30"/>
      <c r="J1155" s="65"/>
      <c r="K1155" s="83"/>
      <c r="L1155" s="30"/>
      <c r="M1155" s="39"/>
    </row>
    <row r="1156" spans="1:13" x14ac:dyDescent="0.2">
      <c r="A1156" s="30"/>
      <c r="B1156" s="30"/>
      <c r="C1156" s="30"/>
      <c r="D1156" s="30"/>
      <c r="E1156" s="30"/>
      <c r="F1156" s="30"/>
      <c r="G1156" s="30"/>
      <c r="H1156" s="30"/>
      <c r="I1156" s="30"/>
      <c r="J1156" s="65"/>
      <c r="K1156" s="83"/>
      <c r="L1156" s="30"/>
      <c r="M1156" s="39"/>
    </row>
    <row r="1157" spans="1:13" x14ac:dyDescent="0.2">
      <c r="A1157" s="30"/>
      <c r="B1157" s="30"/>
      <c r="C1157" s="30"/>
      <c r="D1157" s="30"/>
      <c r="E1157" s="30"/>
      <c r="F1157" s="30"/>
      <c r="G1157" s="30"/>
      <c r="H1157" s="30"/>
      <c r="I1157" s="30"/>
      <c r="J1157" s="65"/>
      <c r="K1157" s="83"/>
      <c r="L1157" s="30"/>
      <c r="M1157" s="39"/>
    </row>
    <row r="1158" spans="1:13" x14ac:dyDescent="0.2">
      <c r="A1158" s="30"/>
      <c r="B1158" s="30"/>
      <c r="C1158" s="30"/>
      <c r="D1158" s="30"/>
      <c r="E1158" s="30"/>
      <c r="F1158" s="30"/>
      <c r="G1158" s="30"/>
      <c r="H1158" s="30"/>
      <c r="I1158" s="30"/>
      <c r="J1158" s="65"/>
      <c r="K1158" s="83"/>
      <c r="L1158" s="30"/>
      <c r="M1158" s="39"/>
    </row>
    <row r="1159" spans="1:13" x14ac:dyDescent="0.2">
      <c r="A1159" s="30"/>
      <c r="B1159" s="30"/>
      <c r="C1159" s="30"/>
      <c r="D1159" s="30"/>
      <c r="E1159" s="30"/>
      <c r="F1159" s="30"/>
      <c r="G1159" s="30"/>
      <c r="H1159" s="30"/>
      <c r="I1159" s="30"/>
      <c r="J1159" s="65"/>
      <c r="K1159" s="83"/>
      <c r="L1159" s="30"/>
      <c r="M1159" s="39"/>
    </row>
    <row r="1160" spans="1:13" x14ac:dyDescent="0.2">
      <c r="A1160" s="30"/>
      <c r="B1160" s="30"/>
      <c r="C1160" s="30"/>
      <c r="D1160" s="30"/>
      <c r="E1160" s="30"/>
      <c r="F1160" s="30"/>
      <c r="G1160" s="30"/>
      <c r="H1160" s="30"/>
      <c r="I1160" s="30"/>
      <c r="J1160" s="65"/>
      <c r="K1160" s="83"/>
      <c r="L1160" s="30"/>
      <c r="M1160" s="39"/>
    </row>
    <row r="1161" spans="1:13" x14ac:dyDescent="0.2">
      <c r="A1161" s="30"/>
      <c r="B1161" s="30"/>
      <c r="C1161" s="30"/>
      <c r="D1161" s="30"/>
      <c r="E1161" s="30"/>
      <c r="F1161" s="30"/>
      <c r="G1161" s="30"/>
      <c r="H1161" s="30"/>
      <c r="I1161" s="30"/>
      <c r="J1161" s="65"/>
      <c r="K1161" s="83"/>
      <c r="L1161" s="30"/>
      <c r="M1161" s="39"/>
    </row>
    <row r="1162" spans="1:13" x14ac:dyDescent="0.2">
      <c r="A1162" s="30"/>
      <c r="B1162" s="30"/>
      <c r="C1162" s="30"/>
      <c r="D1162" s="30"/>
      <c r="E1162" s="30"/>
      <c r="F1162" s="30"/>
      <c r="G1162" s="30"/>
      <c r="H1162" s="30"/>
      <c r="I1162" s="30"/>
      <c r="J1162" s="65"/>
      <c r="K1162" s="83"/>
      <c r="L1162" s="30"/>
      <c r="M1162" s="39"/>
    </row>
    <row r="1163" spans="1:13" x14ac:dyDescent="0.2">
      <c r="A1163" s="30"/>
      <c r="B1163" s="30"/>
      <c r="C1163" s="30"/>
      <c r="D1163" s="30"/>
      <c r="E1163" s="30"/>
      <c r="F1163" s="30"/>
      <c r="G1163" s="30"/>
      <c r="H1163" s="30"/>
      <c r="I1163" s="30"/>
      <c r="J1163" s="65"/>
      <c r="K1163" s="83"/>
      <c r="L1163" s="30"/>
      <c r="M1163" s="39"/>
    </row>
    <row r="1164" spans="1:13" x14ac:dyDescent="0.2">
      <c r="A1164" s="30"/>
      <c r="B1164" s="30"/>
      <c r="C1164" s="30"/>
      <c r="D1164" s="30"/>
      <c r="E1164" s="30"/>
      <c r="F1164" s="30"/>
      <c r="G1164" s="30"/>
      <c r="H1164" s="30"/>
      <c r="I1164" s="30"/>
      <c r="J1164" s="65"/>
      <c r="K1164" s="83"/>
      <c r="L1164" s="30"/>
      <c r="M1164" s="39"/>
    </row>
    <row r="1165" spans="1:13" x14ac:dyDescent="0.2">
      <c r="A1165" s="30"/>
      <c r="B1165" s="30"/>
      <c r="C1165" s="30"/>
      <c r="D1165" s="30"/>
      <c r="E1165" s="30"/>
      <c r="F1165" s="30"/>
      <c r="G1165" s="30"/>
      <c r="H1165" s="30"/>
      <c r="I1165" s="30"/>
      <c r="J1165" s="65"/>
      <c r="K1165" s="83"/>
      <c r="L1165" s="30"/>
      <c r="M1165" s="39"/>
    </row>
    <row r="1166" spans="1:13" x14ac:dyDescent="0.2">
      <c r="A1166" s="30"/>
      <c r="B1166" s="30"/>
      <c r="C1166" s="30"/>
      <c r="D1166" s="30"/>
      <c r="E1166" s="30"/>
      <c r="F1166" s="30"/>
      <c r="G1166" s="30"/>
      <c r="H1166" s="30"/>
      <c r="I1166" s="30"/>
      <c r="J1166" s="65"/>
      <c r="K1166" s="83"/>
      <c r="L1166" s="30"/>
      <c r="M1166" s="39"/>
    </row>
    <row r="1167" spans="1:13" x14ac:dyDescent="0.2">
      <c r="A1167" s="30"/>
      <c r="B1167" s="30"/>
      <c r="C1167" s="30"/>
      <c r="D1167" s="30"/>
      <c r="E1167" s="30"/>
      <c r="F1167" s="30"/>
      <c r="G1167" s="30"/>
      <c r="H1167" s="30"/>
      <c r="I1167" s="30"/>
      <c r="J1167" s="65"/>
      <c r="K1167" s="83"/>
      <c r="L1167" s="30"/>
      <c r="M1167" s="39"/>
    </row>
    <row r="1168" spans="1:13" x14ac:dyDescent="0.2">
      <c r="A1168" s="30"/>
      <c r="B1168" s="30"/>
      <c r="C1168" s="30"/>
      <c r="D1168" s="30"/>
      <c r="E1168" s="30"/>
      <c r="F1168" s="30"/>
      <c r="G1168" s="30"/>
      <c r="H1168" s="30"/>
      <c r="I1168" s="30"/>
      <c r="J1168" s="65"/>
      <c r="K1168" s="83"/>
      <c r="L1168" s="30"/>
      <c r="M1168" s="39"/>
    </row>
    <row r="1169" spans="1:13" x14ac:dyDescent="0.2">
      <c r="A1169" s="30"/>
      <c r="B1169" s="30"/>
      <c r="C1169" s="30"/>
      <c r="D1169" s="30"/>
      <c r="E1169" s="30"/>
      <c r="F1169" s="30"/>
      <c r="G1169" s="30"/>
      <c r="H1169" s="30"/>
      <c r="I1169" s="30"/>
      <c r="J1169" s="65"/>
      <c r="K1169" s="83"/>
      <c r="L1169" s="30"/>
      <c r="M1169" s="39"/>
    </row>
    <row r="1170" spans="1:13" x14ac:dyDescent="0.2">
      <c r="A1170" s="30"/>
      <c r="B1170" s="30"/>
      <c r="C1170" s="30"/>
      <c r="D1170" s="30"/>
      <c r="E1170" s="30"/>
      <c r="F1170" s="30"/>
      <c r="G1170" s="30"/>
      <c r="H1170" s="30"/>
      <c r="I1170" s="30"/>
      <c r="J1170" s="65"/>
      <c r="K1170" s="83"/>
      <c r="L1170" s="30"/>
      <c r="M1170" s="39"/>
    </row>
    <row r="1171" spans="1:13" x14ac:dyDescent="0.2">
      <c r="A1171" s="30"/>
      <c r="B1171" s="30"/>
      <c r="C1171" s="30"/>
      <c r="D1171" s="30"/>
      <c r="E1171" s="30"/>
      <c r="F1171" s="30"/>
      <c r="G1171" s="30"/>
      <c r="H1171" s="30"/>
      <c r="I1171" s="30"/>
      <c r="J1171" s="65"/>
      <c r="K1171" s="83"/>
      <c r="L1171" s="30"/>
      <c r="M1171" s="39"/>
    </row>
    <row r="1172" spans="1:13" x14ac:dyDescent="0.2">
      <c r="A1172" s="30"/>
      <c r="B1172" s="30"/>
      <c r="C1172" s="30"/>
      <c r="D1172" s="30"/>
      <c r="E1172" s="30"/>
      <c r="F1172" s="30"/>
      <c r="G1172" s="30"/>
      <c r="H1172" s="30"/>
      <c r="I1172" s="30"/>
      <c r="J1172" s="65"/>
      <c r="K1172" s="83"/>
      <c r="L1172" s="30"/>
      <c r="M1172" s="39"/>
    </row>
    <row r="1173" spans="1:13" x14ac:dyDescent="0.2">
      <c r="A1173" s="30"/>
      <c r="B1173" s="30"/>
      <c r="C1173" s="30"/>
      <c r="D1173" s="30"/>
      <c r="E1173" s="30"/>
      <c r="F1173" s="30"/>
      <c r="G1173" s="30"/>
      <c r="H1173" s="30"/>
      <c r="I1173" s="30"/>
      <c r="J1173" s="65"/>
      <c r="K1173" s="83"/>
      <c r="L1173" s="30"/>
      <c r="M1173" s="39"/>
    </row>
    <row r="1174" spans="1:13" x14ac:dyDescent="0.2">
      <c r="A1174" s="30"/>
      <c r="B1174" s="30"/>
      <c r="C1174" s="30"/>
      <c r="D1174" s="30"/>
      <c r="E1174" s="30"/>
      <c r="F1174" s="30"/>
      <c r="G1174" s="30"/>
      <c r="H1174" s="30"/>
      <c r="I1174" s="30"/>
      <c r="J1174" s="65"/>
      <c r="K1174" s="83"/>
      <c r="L1174" s="30"/>
      <c r="M1174" s="39"/>
    </row>
    <row r="1175" spans="1:13" x14ac:dyDescent="0.2">
      <c r="A1175" s="30"/>
      <c r="B1175" s="30"/>
      <c r="C1175" s="30"/>
      <c r="D1175" s="30"/>
      <c r="E1175" s="30"/>
      <c r="F1175" s="30"/>
      <c r="G1175" s="30"/>
      <c r="H1175" s="30"/>
      <c r="I1175" s="30"/>
      <c r="J1175" s="65"/>
      <c r="K1175" s="83"/>
      <c r="L1175" s="30"/>
      <c r="M1175" s="39"/>
    </row>
    <row r="1176" spans="1:13" x14ac:dyDescent="0.2">
      <c r="A1176" s="30"/>
      <c r="B1176" s="30"/>
      <c r="C1176" s="30"/>
      <c r="D1176" s="30"/>
      <c r="E1176" s="30"/>
      <c r="F1176" s="30"/>
      <c r="G1176" s="30"/>
      <c r="H1176" s="30"/>
      <c r="I1176" s="30"/>
      <c r="J1176" s="65"/>
      <c r="K1176" s="83"/>
      <c r="L1176" s="30"/>
      <c r="M1176" s="39"/>
    </row>
    <row r="1177" spans="1:13" x14ac:dyDescent="0.2">
      <c r="A1177" s="30"/>
      <c r="B1177" s="30"/>
      <c r="C1177" s="30"/>
      <c r="D1177" s="30"/>
      <c r="E1177" s="30"/>
      <c r="F1177" s="30"/>
      <c r="G1177" s="30"/>
      <c r="H1177" s="30"/>
      <c r="I1177" s="30"/>
      <c r="J1177" s="65"/>
      <c r="K1177" s="83"/>
      <c r="L1177" s="30"/>
      <c r="M1177" s="39"/>
    </row>
    <row r="1178" spans="1:13" x14ac:dyDescent="0.2">
      <c r="A1178" s="30"/>
      <c r="B1178" s="30"/>
      <c r="C1178" s="30"/>
      <c r="D1178" s="30"/>
      <c r="E1178" s="30"/>
      <c r="F1178" s="30"/>
      <c r="G1178" s="30"/>
      <c r="H1178" s="30"/>
      <c r="I1178" s="30"/>
      <c r="J1178" s="65"/>
      <c r="K1178" s="83"/>
      <c r="L1178" s="30"/>
      <c r="M1178" s="39"/>
    </row>
    <row r="1179" spans="1:13" x14ac:dyDescent="0.2">
      <c r="A1179" s="30"/>
      <c r="B1179" s="30"/>
      <c r="C1179" s="30"/>
      <c r="D1179" s="30"/>
      <c r="E1179" s="30"/>
      <c r="F1179" s="30"/>
      <c r="G1179" s="30"/>
      <c r="H1179" s="30"/>
      <c r="I1179" s="30"/>
      <c r="J1179" s="65"/>
      <c r="K1179" s="83"/>
      <c r="L1179" s="30"/>
      <c r="M1179" s="39"/>
    </row>
    <row r="1180" spans="1:13" x14ac:dyDescent="0.2">
      <c r="A1180" s="30"/>
      <c r="B1180" s="30"/>
      <c r="C1180" s="30"/>
      <c r="D1180" s="30"/>
      <c r="E1180" s="30"/>
      <c r="F1180" s="30"/>
      <c r="G1180" s="30"/>
      <c r="H1180" s="30"/>
      <c r="I1180" s="30"/>
      <c r="J1180" s="65"/>
      <c r="K1180" s="83"/>
      <c r="L1180" s="30"/>
      <c r="M1180" s="39"/>
    </row>
    <row r="1181" spans="1:13" x14ac:dyDescent="0.2">
      <c r="A1181" s="30"/>
      <c r="B1181" s="30"/>
      <c r="C1181" s="30"/>
      <c r="D1181" s="30"/>
      <c r="E1181" s="30"/>
      <c r="F1181" s="30"/>
      <c r="G1181" s="30"/>
      <c r="H1181" s="30"/>
      <c r="I1181" s="30"/>
      <c r="J1181" s="65"/>
      <c r="K1181" s="83"/>
      <c r="L1181" s="30"/>
      <c r="M1181" s="39"/>
    </row>
    <row r="1182" spans="1:13" x14ac:dyDescent="0.2">
      <c r="A1182" s="30"/>
      <c r="B1182" s="30"/>
      <c r="C1182" s="30"/>
      <c r="D1182" s="30"/>
      <c r="E1182" s="30"/>
      <c r="F1182" s="30"/>
      <c r="G1182" s="30"/>
      <c r="H1182" s="30"/>
      <c r="I1182" s="30"/>
      <c r="J1182" s="65"/>
      <c r="K1182" s="83"/>
      <c r="L1182" s="30"/>
      <c r="M1182" s="39"/>
    </row>
    <row r="1183" spans="1:13" x14ac:dyDescent="0.2">
      <c r="A1183" s="30"/>
      <c r="B1183" s="30"/>
      <c r="C1183" s="30"/>
      <c r="D1183" s="30"/>
      <c r="E1183" s="30"/>
      <c r="F1183" s="30"/>
      <c r="G1183" s="30"/>
      <c r="H1183" s="30"/>
      <c r="I1183" s="30"/>
      <c r="J1183" s="65"/>
      <c r="K1183" s="83"/>
      <c r="L1183" s="30"/>
      <c r="M1183" s="39"/>
    </row>
    <row r="1184" spans="1:13" x14ac:dyDescent="0.2">
      <c r="A1184" s="30"/>
      <c r="B1184" s="30"/>
      <c r="C1184" s="30"/>
      <c r="D1184" s="30"/>
      <c r="E1184" s="30"/>
      <c r="F1184" s="30"/>
      <c r="G1184" s="30"/>
      <c r="H1184" s="30"/>
      <c r="I1184" s="30"/>
      <c r="J1184" s="65"/>
      <c r="K1184" s="83"/>
      <c r="L1184" s="30"/>
      <c r="M1184" s="39"/>
    </row>
    <row r="1185" spans="1:13" x14ac:dyDescent="0.2">
      <c r="A1185" s="30"/>
      <c r="B1185" s="30"/>
      <c r="C1185" s="30"/>
      <c r="D1185" s="30"/>
      <c r="E1185" s="30"/>
      <c r="F1185" s="30"/>
      <c r="G1185" s="30"/>
      <c r="H1185" s="30"/>
      <c r="I1185" s="30"/>
      <c r="J1185" s="65"/>
      <c r="K1185" s="83"/>
      <c r="L1185" s="30"/>
      <c r="M1185" s="39"/>
    </row>
    <row r="1186" spans="1:13" x14ac:dyDescent="0.2">
      <c r="A1186" s="30"/>
      <c r="B1186" s="30"/>
      <c r="C1186" s="30"/>
      <c r="D1186" s="30"/>
      <c r="E1186" s="30"/>
      <c r="F1186" s="30"/>
      <c r="G1186" s="30"/>
      <c r="H1186" s="30"/>
      <c r="I1186" s="30"/>
      <c r="J1186" s="65"/>
      <c r="K1186" s="83"/>
      <c r="L1186" s="30"/>
      <c r="M1186" s="39"/>
    </row>
    <row r="1187" spans="1:13" x14ac:dyDescent="0.2">
      <c r="A1187" s="30"/>
      <c r="B1187" s="30"/>
      <c r="C1187" s="30"/>
      <c r="D1187" s="30"/>
      <c r="E1187" s="30"/>
      <c r="F1187" s="30"/>
      <c r="G1187" s="30"/>
      <c r="H1187" s="30"/>
      <c r="I1187" s="30"/>
      <c r="J1187" s="65"/>
      <c r="K1187" s="83"/>
      <c r="L1187" s="30"/>
      <c r="M1187" s="39"/>
    </row>
    <row r="1188" spans="1:13" x14ac:dyDescent="0.2">
      <c r="A1188" s="30"/>
      <c r="B1188" s="30"/>
      <c r="C1188" s="30"/>
      <c r="D1188" s="30"/>
      <c r="E1188" s="30"/>
      <c r="F1188" s="30"/>
      <c r="G1188" s="30"/>
      <c r="H1188" s="30"/>
      <c r="I1188" s="30"/>
      <c r="J1188" s="65"/>
      <c r="K1188" s="83"/>
      <c r="L1188" s="30"/>
      <c r="M1188" s="39"/>
    </row>
    <row r="1189" spans="1:13" x14ac:dyDescent="0.2">
      <c r="A1189" s="30"/>
      <c r="B1189" s="30"/>
      <c r="C1189" s="30"/>
      <c r="D1189" s="30"/>
      <c r="E1189" s="30"/>
      <c r="F1189" s="30"/>
      <c r="G1189" s="30"/>
      <c r="H1189" s="30"/>
      <c r="I1189" s="30"/>
      <c r="J1189" s="65"/>
      <c r="K1189" s="83"/>
      <c r="L1189" s="30"/>
      <c r="M1189" s="39"/>
    </row>
    <row r="1190" spans="1:13" x14ac:dyDescent="0.2">
      <c r="A1190" s="30"/>
      <c r="B1190" s="30"/>
      <c r="C1190" s="30"/>
      <c r="D1190" s="30"/>
      <c r="E1190" s="30"/>
      <c r="F1190" s="30"/>
      <c r="G1190" s="30"/>
      <c r="H1190" s="30"/>
      <c r="I1190" s="30"/>
      <c r="J1190" s="65"/>
      <c r="K1190" s="83"/>
      <c r="L1190" s="30"/>
      <c r="M1190" s="39"/>
    </row>
    <row r="1191" spans="1:13" x14ac:dyDescent="0.2">
      <c r="A1191" s="30"/>
      <c r="B1191" s="30"/>
      <c r="C1191" s="30"/>
      <c r="D1191" s="30"/>
      <c r="E1191" s="30"/>
      <c r="F1191" s="30"/>
      <c r="G1191" s="30"/>
      <c r="H1191" s="30"/>
      <c r="I1191" s="30"/>
      <c r="J1191" s="65"/>
      <c r="K1191" s="83"/>
      <c r="L1191" s="30"/>
      <c r="M1191" s="39"/>
    </row>
    <row r="1192" spans="1:13" x14ac:dyDescent="0.2">
      <c r="A1192" s="30"/>
      <c r="B1192" s="30"/>
      <c r="C1192" s="30"/>
      <c r="D1192" s="30"/>
      <c r="E1192" s="30"/>
      <c r="F1192" s="30"/>
      <c r="G1192" s="30"/>
      <c r="H1192" s="30"/>
      <c r="I1192" s="30"/>
      <c r="J1192" s="65"/>
      <c r="K1192" s="83"/>
      <c r="L1192" s="30"/>
      <c r="M1192" s="39"/>
    </row>
    <row r="1193" spans="1:13" x14ac:dyDescent="0.2">
      <c r="A1193" s="30"/>
      <c r="B1193" s="30"/>
      <c r="C1193" s="30"/>
      <c r="D1193" s="30"/>
      <c r="E1193" s="30"/>
      <c r="F1193" s="30"/>
      <c r="G1193" s="30"/>
      <c r="H1193" s="30"/>
      <c r="I1193" s="30"/>
      <c r="J1193" s="65"/>
      <c r="K1193" s="83"/>
      <c r="L1193" s="30"/>
      <c r="M1193" s="39"/>
    </row>
    <row r="1194" spans="1:13" x14ac:dyDescent="0.2">
      <c r="A1194" s="30"/>
      <c r="B1194" s="30"/>
      <c r="C1194" s="30"/>
      <c r="D1194" s="30"/>
      <c r="E1194" s="30"/>
      <c r="F1194" s="30"/>
      <c r="G1194" s="30"/>
      <c r="H1194" s="30"/>
      <c r="I1194" s="30"/>
      <c r="J1194" s="65"/>
      <c r="K1194" s="83"/>
      <c r="L1194" s="30"/>
      <c r="M1194" s="39"/>
    </row>
    <row r="1195" spans="1:13" x14ac:dyDescent="0.2">
      <c r="A1195" s="30"/>
      <c r="B1195" s="30"/>
      <c r="C1195" s="30"/>
      <c r="D1195" s="30"/>
      <c r="E1195" s="30"/>
      <c r="F1195" s="30"/>
      <c r="G1195" s="30"/>
      <c r="H1195" s="30"/>
      <c r="I1195" s="30"/>
      <c r="J1195" s="65"/>
      <c r="K1195" s="83"/>
      <c r="L1195" s="30"/>
      <c r="M1195" s="39"/>
    </row>
    <row r="1196" spans="1:13" x14ac:dyDescent="0.2">
      <c r="A1196" s="30"/>
      <c r="B1196" s="30"/>
      <c r="C1196" s="30"/>
      <c r="D1196" s="30"/>
      <c r="E1196" s="30"/>
      <c r="F1196" s="30"/>
      <c r="G1196" s="30"/>
      <c r="H1196" s="30"/>
      <c r="I1196" s="30"/>
      <c r="J1196" s="65"/>
      <c r="K1196" s="83"/>
      <c r="L1196" s="30"/>
      <c r="M1196" s="39"/>
    </row>
    <row r="1197" spans="1:13" x14ac:dyDescent="0.2">
      <c r="A1197" s="30"/>
      <c r="B1197" s="30"/>
      <c r="C1197" s="30"/>
      <c r="D1197" s="30"/>
      <c r="E1197" s="30"/>
      <c r="F1197" s="30"/>
      <c r="G1197" s="30"/>
      <c r="H1197" s="30"/>
      <c r="I1197" s="30"/>
      <c r="J1197" s="65"/>
      <c r="K1197" s="83"/>
      <c r="L1197" s="30"/>
      <c r="M1197" s="39"/>
    </row>
    <row r="1198" spans="1:13" x14ac:dyDescent="0.2">
      <c r="A1198" s="30"/>
      <c r="B1198" s="30"/>
      <c r="C1198" s="30"/>
      <c r="D1198" s="30"/>
      <c r="E1198" s="30"/>
      <c r="F1198" s="30"/>
      <c r="G1198" s="30"/>
      <c r="H1198" s="30"/>
      <c r="I1198" s="30"/>
      <c r="J1198" s="65"/>
      <c r="K1198" s="83"/>
      <c r="L1198" s="30"/>
      <c r="M1198" s="39"/>
    </row>
    <row r="1199" spans="1:13" x14ac:dyDescent="0.2">
      <c r="A1199" s="30"/>
      <c r="B1199" s="30"/>
      <c r="C1199" s="30"/>
      <c r="D1199" s="30"/>
      <c r="E1199" s="30"/>
      <c r="F1199" s="30"/>
      <c r="G1199" s="30"/>
      <c r="H1199" s="30"/>
      <c r="I1199" s="30"/>
      <c r="J1199" s="65"/>
      <c r="K1199" s="83"/>
      <c r="L1199" s="30"/>
      <c r="M1199" s="39"/>
    </row>
    <row r="1200" spans="1:13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65"/>
      <c r="K1200" s="83"/>
      <c r="L1200" s="30"/>
      <c r="M1200" s="39"/>
    </row>
    <row r="1201" spans="1:13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65"/>
      <c r="K1201" s="83"/>
      <c r="L1201" s="30"/>
      <c r="M1201" s="39"/>
    </row>
    <row r="1202" spans="1:13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65"/>
      <c r="K1202" s="83"/>
      <c r="L1202" s="30"/>
      <c r="M1202" s="39"/>
    </row>
    <row r="1203" spans="1:13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65"/>
      <c r="K1203" s="83"/>
      <c r="L1203" s="30"/>
      <c r="M1203" s="39"/>
    </row>
    <row r="1204" spans="1:13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65"/>
      <c r="K1204" s="83"/>
      <c r="L1204" s="30"/>
      <c r="M1204" s="39"/>
    </row>
    <row r="1205" spans="1:13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65"/>
      <c r="K1205" s="83"/>
      <c r="L1205" s="30"/>
      <c r="M1205" s="39"/>
    </row>
    <row r="1206" spans="1:13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65"/>
      <c r="K1206" s="83"/>
      <c r="L1206" s="30"/>
      <c r="M1206" s="39"/>
    </row>
    <row r="1207" spans="1:13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65"/>
      <c r="K1207" s="83"/>
      <c r="L1207" s="30"/>
      <c r="M1207" s="39"/>
    </row>
    <row r="1208" spans="1:13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65"/>
      <c r="K1208" s="83"/>
      <c r="L1208" s="30"/>
      <c r="M1208" s="39"/>
    </row>
    <row r="1209" spans="1:13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65"/>
      <c r="K1209" s="83"/>
      <c r="L1209" s="30"/>
      <c r="M1209" s="39"/>
    </row>
    <row r="1210" spans="1:13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65"/>
      <c r="K1210" s="83"/>
      <c r="L1210" s="30"/>
      <c r="M1210" s="39"/>
    </row>
    <row r="1211" spans="1:13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65"/>
      <c r="K1211" s="83"/>
      <c r="L1211" s="30"/>
      <c r="M1211" s="39"/>
    </row>
    <row r="1212" spans="1:13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65"/>
      <c r="K1212" s="83"/>
      <c r="L1212" s="30"/>
      <c r="M1212" s="39"/>
    </row>
    <row r="1213" spans="1:13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65"/>
      <c r="K1213" s="83"/>
      <c r="L1213" s="30"/>
      <c r="M1213" s="39"/>
    </row>
    <row r="1214" spans="1:13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65"/>
      <c r="K1214" s="83"/>
      <c r="L1214" s="30"/>
      <c r="M1214" s="39"/>
    </row>
    <row r="1215" spans="1:13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65"/>
      <c r="K1215" s="83"/>
      <c r="L1215" s="30"/>
      <c r="M1215" s="39"/>
    </row>
    <row r="1216" spans="1:13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65"/>
      <c r="K1216" s="83"/>
      <c r="L1216" s="30"/>
      <c r="M1216" s="39"/>
    </row>
    <row r="1217" spans="1:13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65"/>
      <c r="K1217" s="83"/>
      <c r="L1217" s="30"/>
      <c r="M1217" s="39"/>
    </row>
    <row r="1218" spans="1:13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65"/>
      <c r="K1218" s="83"/>
      <c r="L1218" s="30"/>
      <c r="M1218" s="39"/>
    </row>
    <row r="1219" spans="1:13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65"/>
      <c r="K1219" s="83"/>
      <c r="L1219" s="30"/>
      <c r="M1219" s="39"/>
    </row>
    <row r="1220" spans="1:13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65"/>
      <c r="K1220" s="83"/>
      <c r="L1220" s="30"/>
      <c r="M1220" s="39"/>
    </row>
    <row r="1221" spans="1:13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65"/>
      <c r="K1221" s="83"/>
      <c r="L1221" s="30"/>
      <c r="M1221" s="39"/>
    </row>
    <row r="1222" spans="1:13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65"/>
      <c r="K1222" s="83"/>
      <c r="L1222" s="30"/>
      <c r="M1222" s="39"/>
    </row>
    <row r="1223" spans="1:13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65"/>
      <c r="K1223" s="83"/>
      <c r="L1223" s="30"/>
      <c r="M1223" s="39"/>
    </row>
    <row r="1224" spans="1:13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65"/>
      <c r="K1224" s="83"/>
      <c r="L1224" s="30"/>
      <c r="M1224" s="39"/>
    </row>
    <row r="1225" spans="1:13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65"/>
      <c r="K1225" s="81"/>
      <c r="L1225" s="30"/>
      <c r="M1225" s="39"/>
    </row>
    <row r="1226" spans="1:13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65"/>
      <c r="K1226" s="81"/>
      <c r="L1226" s="30"/>
      <c r="M1226" s="39"/>
    </row>
    <row r="1227" spans="1:13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65"/>
      <c r="K1227" s="81"/>
      <c r="L1227" s="30"/>
      <c r="M1227" s="39"/>
    </row>
    <row r="1228" spans="1:13" x14ac:dyDescent="0.2">
      <c r="A1228" s="30"/>
      <c r="B1228" s="30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7"/>
    </row>
    <row r="1229" spans="1:13" x14ac:dyDescent="0.2">
      <c r="C1229" s="17"/>
    </row>
    <row r="1230" spans="1:13" x14ac:dyDescent="0.2">
      <c r="C1230" s="17"/>
    </row>
    <row r="1231" spans="1:13" x14ac:dyDescent="0.2">
      <c r="C1231" s="17"/>
    </row>
    <row r="1232" spans="1:13" x14ac:dyDescent="0.2">
      <c r="C1232" s="17"/>
    </row>
    <row r="1233" spans="3:3" x14ac:dyDescent="0.2">
      <c r="C1233" s="17"/>
    </row>
    <row r="1234" spans="3:3" x14ac:dyDescent="0.2">
      <c r="C1234" s="17"/>
    </row>
    <row r="1235" spans="3:3" x14ac:dyDescent="0.2">
      <c r="C1235" s="17"/>
    </row>
    <row r="1236" spans="3:3" x14ac:dyDescent="0.2">
      <c r="C1236" s="17"/>
    </row>
    <row r="1237" spans="3:3" x14ac:dyDescent="0.2">
      <c r="C1237" s="17"/>
    </row>
    <row r="1238" spans="3:3" x14ac:dyDescent="0.2">
      <c r="C1238" s="17"/>
    </row>
    <row r="1239" spans="3:3" x14ac:dyDescent="0.2">
      <c r="C1239" s="17"/>
    </row>
    <row r="1240" spans="3:3" x14ac:dyDescent="0.2">
      <c r="C1240" s="17"/>
    </row>
    <row r="1241" spans="3:3" x14ac:dyDescent="0.2">
      <c r="C1241" s="17"/>
    </row>
    <row r="1242" spans="3:3" x14ac:dyDescent="0.2">
      <c r="C1242" s="17"/>
    </row>
    <row r="1243" spans="3:3" x14ac:dyDescent="0.2">
      <c r="C1243" s="17"/>
    </row>
    <row r="1244" spans="3:3" x14ac:dyDescent="0.2">
      <c r="C1244" s="17"/>
    </row>
    <row r="1245" spans="3:3" x14ac:dyDescent="0.2">
      <c r="C1245" s="17"/>
    </row>
    <row r="1246" spans="3:3" x14ac:dyDescent="0.2">
      <c r="C1246" s="17"/>
    </row>
    <row r="1247" spans="3:3" x14ac:dyDescent="0.2">
      <c r="C1247" s="17"/>
    </row>
    <row r="1248" spans="3:3" x14ac:dyDescent="0.2">
      <c r="C1248" s="17"/>
    </row>
    <row r="1249" spans="3:3" x14ac:dyDescent="0.2">
      <c r="C1249" s="17"/>
    </row>
    <row r="1250" spans="3:3" x14ac:dyDescent="0.2">
      <c r="C1250" s="17"/>
    </row>
    <row r="1251" spans="3:3" x14ac:dyDescent="0.2">
      <c r="C1251" s="17"/>
    </row>
    <row r="1252" spans="3:3" x14ac:dyDescent="0.2">
      <c r="C1252" s="17"/>
    </row>
    <row r="1253" spans="3:3" x14ac:dyDescent="0.2">
      <c r="C1253" s="17"/>
    </row>
    <row r="1254" spans="3:3" x14ac:dyDescent="0.2">
      <c r="C1254" s="17"/>
    </row>
    <row r="1255" spans="3:3" x14ac:dyDescent="0.2">
      <c r="C1255" s="17"/>
    </row>
    <row r="1256" spans="3:3" x14ac:dyDescent="0.2">
      <c r="C1256" s="17"/>
    </row>
    <row r="1257" spans="3:3" x14ac:dyDescent="0.2">
      <c r="C1257" s="17"/>
    </row>
    <row r="1258" spans="3:3" x14ac:dyDescent="0.2">
      <c r="C1258" s="17"/>
    </row>
    <row r="1259" spans="3:3" x14ac:dyDescent="0.2">
      <c r="C1259" s="17"/>
    </row>
    <row r="1260" spans="3:3" x14ac:dyDescent="0.2">
      <c r="C1260" s="17"/>
    </row>
    <row r="1261" spans="3:3" x14ac:dyDescent="0.2">
      <c r="C1261" s="17"/>
    </row>
    <row r="1262" spans="3:3" x14ac:dyDescent="0.2">
      <c r="C1262" s="17"/>
    </row>
    <row r="1263" spans="3:3" x14ac:dyDescent="0.2">
      <c r="C1263" s="17"/>
    </row>
    <row r="1264" spans="3:3" x14ac:dyDescent="0.2">
      <c r="C1264" s="17"/>
    </row>
    <row r="1265" spans="3:3" x14ac:dyDescent="0.2">
      <c r="C1265" s="17"/>
    </row>
    <row r="1266" spans="3:3" x14ac:dyDescent="0.2">
      <c r="C1266" s="17"/>
    </row>
    <row r="1267" spans="3:3" x14ac:dyDescent="0.2">
      <c r="C1267" s="17"/>
    </row>
    <row r="1268" spans="3:3" x14ac:dyDescent="0.2">
      <c r="C1268" s="17"/>
    </row>
    <row r="1269" spans="3:3" x14ac:dyDescent="0.2">
      <c r="C1269" s="17"/>
    </row>
    <row r="1270" spans="3:3" x14ac:dyDescent="0.2">
      <c r="C1270" s="17"/>
    </row>
    <row r="1271" spans="3:3" x14ac:dyDescent="0.2">
      <c r="C1271" s="17"/>
    </row>
    <row r="1272" spans="3:3" x14ac:dyDescent="0.2">
      <c r="C1272" s="17"/>
    </row>
    <row r="1273" spans="3:3" x14ac:dyDescent="0.2">
      <c r="C1273" s="17"/>
    </row>
    <row r="1274" spans="3:3" x14ac:dyDescent="0.2">
      <c r="C1274" s="17"/>
    </row>
    <row r="1275" spans="3:3" x14ac:dyDescent="0.2">
      <c r="C1275" s="17"/>
    </row>
    <row r="1276" spans="3:3" x14ac:dyDescent="0.2">
      <c r="C1276" s="17"/>
    </row>
    <row r="1277" spans="3:3" x14ac:dyDescent="0.2">
      <c r="C1277" s="17"/>
    </row>
    <row r="1278" spans="3:3" x14ac:dyDescent="0.2">
      <c r="C1278" s="17"/>
    </row>
    <row r="1279" spans="3:3" x14ac:dyDescent="0.2">
      <c r="C1279" s="17"/>
    </row>
    <row r="1280" spans="3:3" x14ac:dyDescent="0.2">
      <c r="C1280" s="17"/>
    </row>
    <row r="1281" spans="3:3" x14ac:dyDescent="0.2">
      <c r="C1281" s="17"/>
    </row>
    <row r="1282" spans="3:3" x14ac:dyDescent="0.2">
      <c r="C1282" s="17"/>
    </row>
    <row r="1283" spans="3:3" x14ac:dyDescent="0.2">
      <c r="C1283" s="17"/>
    </row>
    <row r="1284" spans="3:3" x14ac:dyDescent="0.2">
      <c r="C1284" s="17"/>
    </row>
    <row r="1285" spans="3:3" x14ac:dyDescent="0.2">
      <c r="C1285" s="17"/>
    </row>
    <row r="1286" spans="3:3" x14ac:dyDescent="0.2">
      <c r="C1286" s="17"/>
    </row>
    <row r="1287" spans="3:3" x14ac:dyDescent="0.2">
      <c r="C1287" s="17"/>
    </row>
    <row r="1288" spans="3:3" x14ac:dyDescent="0.2">
      <c r="C1288" s="17"/>
    </row>
    <row r="1289" spans="3:3" x14ac:dyDescent="0.2">
      <c r="C1289" s="17"/>
    </row>
    <row r="1290" spans="3:3" x14ac:dyDescent="0.2">
      <c r="C1290" s="17"/>
    </row>
    <row r="1291" spans="3:3" x14ac:dyDescent="0.2">
      <c r="C1291" s="17"/>
    </row>
    <row r="1292" spans="3:3" x14ac:dyDescent="0.2">
      <c r="C1292" s="17"/>
    </row>
    <row r="1293" spans="3:3" x14ac:dyDescent="0.2">
      <c r="C1293" s="17"/>
    </row>
    <row r="1294" spans="3:3" x14ac:dyDescent="0.2">
      <c r="C1294" s="17"/>
    </row>
    <row r="1295" spans="3:3" x14ac:dyDescent="0.2">
      <c r="C1295" s="17"/>
    </row>
    <row r="1296" spans="3:3" x14ac:dyDescent="0.2">
      <c r="C1296" s="17"/>
    </row>
    <row r="1297" spans="3:3" x14ac:dyDescent="0.2">
      <c r="C1297" s="17"/>
    </row>
    <row r="1298" spans="3:3" x14ac:dyDescent="0.2">
      <c r="C1298" s="17"/>
    </row>
    <row r="1299" spans="3:3" x14ac:dyDescent="0.2">
      <c r="C1299" s="17"/>
    </row>
    <row r="1300" spans="3:3" x14ac:dyDescent="0.2">
      <c r="C1300" s="17"/>
    </row>
    <row r="1301" spans="3:3" x14ac:dyDescent="0.2">
      <c r="C1301" s="17"/>
    </row>
    <row r="1302" spans="3:3" x14ac:dyDescent="0.2">
      <c r="C1302" s="17"/>
    </row>
    <row r="1303" spans="3:3" x14ac:dyDescent="0.2">
      <c r="C1303" s="17"/>
    </row>
    <row r="1304" spans="3:3" x14ac:dyDescent="0.2">
      <c r="C1304" s="17"/>
    </row>
    <row r="1305" spans="3:3" x14ac:dyDescent="0.2">
      <c r="C1305" s="17"/>
    </row>
    <row r="1306" spans="3:3" x14ac:dyDescent="0.2">
      <c r="C1306" s="17"/>
    </row>
    <row r="1307" spans="3:3" x14ac:dyDescent="0.2">
      <c r="C1307" s="17"/>
    </row>
    <row r="1308" spans="3:3" x14ac:dyDescent="0.2">
      <c r="C1308" s="17"/>
    </row>
    <row r="1309" spans="3:3" x14ac:dyDescent="0.2">
      <c r="C1309" s="17"/>
    </row>
    <row r="1310" spans="3:3" x14ac:dyDescent="0.2">
      <c r="C1310" s="17"/>
    </row>
    <row r="1311" spans="3:3" x14ac:dyDescent="0.2">
      <c r="C1311" s="17"/>
    </row>
    <row r="1312" spans="3:3" x14ac:dyDescent="0.2">
      <c r="C1312" s="17"/>
    </row>
    <row r="1313" spans="3:3" x14ac:dyDescent="0.2">
      <c r="C1313" s="17"/>
    </row>
    <row r="1314" spans="3:3" x14ac:dyDescent="0.2">
      <c r="C1314" s="17"/>
    </row>
    <row r="1315" spans="3:3" x14ac:dyDescent="0.2">
      <c r="C1315" s="17"/>
    </row>
    <row r="1316" spans="3:3" x14ac:dyDescent="0.2">
      <c r="C1316" s="17"/>
    </row>
    <row r="1317" spans="3:3" x14ac:dyDescent="0.2">
      <c r="C1317" s="17"/>
    </row>
    <row r="1318" spans="3:3" x14ac:dyDescent="0.2">
      <c r="C1318" s="17"/>
    </row>
    <row r="1319" spans="3:3" x14ac:dyDescent="0.2">
      <c r="C1319" s="17"/>
    </row>
    <row r="1320" spans="3:3" x14ac:dyDescent="0.2">
      <c r="C1320" s="17"/>
    </row>
    <row r="1321" spans="3:3" x14ac:dyDescent="0.2">
      <c r="C1321" s="17"/>
    </row>
    <row r="1322" spans="3:3" x14ac:dyDescent="0.2">
      <c r="C1322" s="17"/>
    </row>
    <row r="1323" spans="3:3" x14ac:dyDescent="0.2">
      <c r="C1323" s="17"/>
    </row>
    <row r="1324" spans="3:3" x14ac:dyDescent="0.2">
      <c r="C1324" s="17"/>
    </row>
    <row r="1325" spans="3:3" x14ac:dyDescent="0.2">
      <c r="C1325" s="17"/>
    </row>
    <row r="1326" spans="3:3" x14ac:dyDescent="0.2">
      <c r="C1326" s="17"/>
    </row>
    <row r="1327" spans="3:3" x14ac:dyDescent="0.2">
      <c r="C1327" s="17"/>
    </row>
    <row r="1328" spans="3:3" x14ac:dyDescent="0.2">
      <c r="C1328" s="17"/>
    </row>
    <row r="1329" spans="3:3" x14ac:dyDescent="0.2">
      <c r="C1329" s="17"/>
    </row>
    <row r="1330" spans="3:3" x14ac:dyDescent="0.2">
      <c r="C1330" s="17"/>
    </row>
    <row r="1331" spans="3:3" x14ac:dyDescent="0.2">
      <c r="C1331" s="17"/>
    </row>
    <row r="1332" spans="3:3" x14ac:dyDescent="0.2">
      <c r="C1332" s="17"/>
    </row>
    <row r="1333" spans="3:3" x14ac:dyDescent="0.2">
      <c r="C1333" s="17"/>
    </row>
    <row r="1334" spans="3:3" x14ac:dyDescent="0.2">
      <c r="C1334" s="17"/>
    </row>
    <row r="1335" spans="3:3" x14ac:dyDescent="0.2">
      <c r="C1335" s="17"/>
    </row>
    <row r="1336" spans="3:3" x14ac:dyDescent="0.2">
      <c r="C1336" s="17"/>
    </row>
    <row r="1337" spans="3:3" x14ac:dyDescent="0.2">
      <c r="C1337" s="17"/>
    </row>
    <row r="1338" spans="3:3" x14ac:dyDescent="0.2">
      <c r="C1338" s="17"/>
    </row>
    <row r="1339" spans="3:3" x14ac:dyDescent="0.2">
      <c r="C1339" s="17"/>
    </row>
    <row r="1340" spans="3:3" x14ac:dyDescent="0.2">
      <c r="C1340" s="17"/>
    </row>
    <row r="1341" spans="3:3" x14ac:dyDescent="0.2">
      <c r="C1341" s="17"/>
    </row>
    <row r="1342" spans="3:3" x14ac:dyDescent="0.2">
      <c r="C1342" s="17"/>
    </row>
    <row r="1343" spans="3:3" x14ac:dyDescent="0.2">
      <c r="C1343" s="17"/>
    </row>
    <row r="1344" spans="3:3" x14ac:dyDescent="0.2">
      <c r="C1344" s="17"/>
    </row>
    <row r="1345" spans="3:3" x14ac:dyDescent="0.2">
      <c r="C1345" s="17"/>
    </row>
    <row r="1346" spans="3:3" x14ac:dyDescent="0.2">
      <c r="C1346" s="17"/>
    </row>
    <row r="1347" spans="3:3" x14ac:dyDescent="0.2">
      <c r="C1347" s="17"/>
    </row>
    <row r="1348" spans="3:3" x14ac:dyDescent="0.2">
      <c r="C1348" s="17"/>
    </row>
    <row r="1349" spans="3:3" x14ac:dyDescent="0.2">
      <c r="C1349" s="17"/>
    </row>
    <row r="1350" spans="3:3" x14ac:dyDescent="0.2">
      <c r="C1350" s="17"/>
    </row>
    <row r="1351" spans="3:3" x14ac:dyDescent="0.2">
      <c r="C1351" s="17"/>
    </row>
    <row r="1352" spans="3:3" x14ac:dyDescent="0.2">
      <c r="C1352" s="17"/>
    </row>
    <row r="1353" spans="3:3" x14ac:dyDescent="0.2">
      <c r="C1353" s="17"/>
    </row>
    <row r="1354" spans="3:3" x14ac:dyDescent="0.2">
      <c r="C1354" s="17"/>
    </row>
    <row r="1355" spans="3:3" x14ac:dyDescent="0.2">
      <c r="C1355" s="17"/>
    </row>
    <row r="1356" spans="3:3" x14ac:dyDescent="0.2">
      <c r="C1356" s="17"/>
    </row>
    <row r="1357" spans="3:3" x14ac:dyDescent="0.2">
      <c r="C1357" s="17"/>
    </row>
    <row r="1358" spans="3:3" x14ac:dyDescent="0.2">
      <c r="C1358" s="17"/>
    </row>
    <row r="1359" spans="3:3" x14ac:dyDescent="0.2">
      <c r="C1359" s="17"/>
    </row>
    <row r="1360" spans="3:3" x14ac:dyDescent="0.2">
      <c r="C1360" s="17"/>
    </row>
    <row r="1361" spans="3:3" x14ac:dyDescent="0.2">
      <c r="C1361" s="17"/>
    </row>
    <row r="1362" spans="3:3" x14ac:dyDescent="0.2">
      <c r="C1362" s="17"/>
    </row>
    <row r="1363" spans="3:3" x14ac:dyDescent="0.2">
      <c r="C1363" s="17"/>
    </row>
    <row r="1364" spans="3:3" x14ac:dyDescent="0.2">
      <c r="C1364" s="17"/>
    </row>
    <row r="1365" spans="3:3" x14ac:dyDescent="0.2">
      <c r="C1365" s="17"/>
    </row>
    <row r="1366" spans="3:3" x14ac:dyDescent="0.2">
      <c r="C1366" s="17"/>
    </row>
    <row r="1367" spans="3:3" x14ac:dyDescent="0.2">
      <c r="C1367" s="17"/>
    </row>
    <row r="1368" spans="3:3" x14ac:dyDescent="0.2">
      <c r="C1368" s="17"/>
    </row>
    <row r="1369" spans="3:3" x14ac:dyDescent="0.2">
      <c r="C1369" s="17"/>
    </row>
    <row r="1370" spans="3:3" x14ac:dyDescent="0.2">
      <c r="C1370" s="17"/>
    </row>
    <row r="1371" spans="3:3" x14ac:dyDescent="0.2">
      <c r="C1371" s="17"/>
    </row>
    <row r="1372" spans="3:3" x14ac:dyDescent="0.2">
      <c r="C1372" s="17"/>
    </row>
    <row r="1373" spans="3:3" x14ac:dyDescent="0.2">
      <c r="C1373" s="17"/>
    </row>
    <row r="1374" spans="3:3" x14ac:dyDescent="0.2">
      <c r="C1374" s="17"/>
    </row>
    <row r="1375" spans="3:3" x14ac:dyDescent="0.2">
      <c r="C1375" s="17"/>
    </row>
    <row r="1376" spans="3:3" x14ac:dyDescent="0.2">
      <c r="C1376" s="17"/>
    </row>
    <row r="1377" spans="3:3" x14ac:dyDescent="0.2">
      <c r="C1377" s="17"/>
    </row>
    <row r="1378" spans="3:3" x14ac:dyDescent="0.2">
      <c r="C1378" s="17"/>
    </row>
    <row r="1379" spans="3:3" x14ac:dyDescent="0.2">
      <c r="C1379" s="17"/>
    </row>
    <row r="1380" spans="3:3" x14ac:dyDescent="0.2">
      <c r="C1380" s="17"/>
    </row>
    <row r="1381" spans="3:3" x14ac:dyDescent="0.2">
      <c r="C1381" s="17"/>
    </row>
    <row r="1382" spans="3:3" x14ac:dyDescent="0.2">
      <c r="C1382" s="17"/>
    </row>
    <row r="1383" spans="3:3" x14ac:dyDescent="0.2">
      <c r="C1383" s="17"/>
    </row>
    <row r="1384" spans="3:3" x14ac:dyDescent="0.2">
      <c r="C1384" s="17"/>
    </row>
    <row r="1385" spans="3:3" x14ac:dyDescent="0.2">
      <c r="C1385" s="17"/>
    </row>
    <row r="1386" spans="3:3" x14ac:dyDescent="0.2">
      <c r="C1386" s="17"/>
    </row>
    <row r="1387" spans="3:3" x14ac:dyDescent="0.2">
      <c r="C1387" s="17"/>
    </row>
    <row r="1388" spans="3:3" x14ac:dyDescent="0.2">
      <c r="C1388" s="17"/>
    </row>
    <row r="1389" spans="3:3" x14ac:dyDescent="0.2">
      <c r="C1389" s="17"/>
    </row>
    <row r="1390" spans="3:3" x14ac:dyDescent="0.2">
      <c r="C1390" s="17"/>
    </row>
    <row r="1391" spans="3:3" x14ac:dyDescent="0.2">
      <c r="C1391" s="17"/>
    </row>
    <row r="1392" spans="3:3" x14ac:dyDescent="0.2">
      <c r="C1392" s="17"/>
    </row>
    <row r="1393" spans="3:3" x14ac:dyDescent="0.2">
      <c r="C1393" s="17"/>
    </row>
    <row r="1394" spans="3:3" x14ac:dyDescent="0.2">
      <c r="C1394" s="17"/>
    </row>
    <row r="1395" spans="3:3" x14ac:dyDescent="0.2">
      <c r="C1395" s="17"/>
    </row>
    <row r="1396" spans="3:3" x14ac:dyDescent="0.2">
      <c r="C1396" s="17"/>
    </row>
    <row r="1397" spans="3:3" x14ac:dyDescent="0.2">
      <c r="C1397" s="17"/>
    </row>
    <row r="1398" spans="3:3" x14ac:dyDescent="0.2">
      <c r="C1398" s="17"/>
    </row>
    <row r="1399" spans="3:3" x14ac:dyDescent="0.2">
      <c r="C1399" s="17"/>
    </row>
    <row r="1400" spans="3:3" x14ac:dyDescent="0.2">
      <c r="C1400" s="17"/>
    </row>
    <row r="1401" spans="3:3" x14ac:dyDescent="0.2">
      <c r="C1401" s="17"/>
    </row>
    <row r="1402" spans="3:3" x14ac:dyDescent="0.2">
      <c r="C1402" s="17"/>
    </row>
    <row r="1403" spans="3:3" x14ac:dyDescent="0.2">
      <c r="C1403" s="17"/>
    </row>
    <row r="1404" spans="3:3" x14ac:dyDescent="0.2">
      <c r="C1404" s="17"/>
    </row>
    <row r="1405" spans="3:3" x14ac:dyDescent="0.2">
      <c r="C1405" s="17"/>
    </row>
    <row r="1406" spans="3:3" x14ac:dyDescent="0.2">
      <c r="C1406" s="17"/>
    </row>
    <row r="1407" spans="3:3" x14ac:dyDescent="0.2">
      <c r="C1407" s="17"/>
    </row>
    <row r="1408" spans="3:3" x14ac:dyDescent="0.2">
      <c r="C1408" s="17"/>
    </row>
    <row r="1409" spans="3:3" x14ac:dyDescent="0.2">
      <c r="C1409" s="17"/>
    </row>
    <row r="1410" spans="3:3" x14ac:dyDescent="0.2">
      <c r="C1410" s="17"/>
    </row>
    <row r="1411" spans="3:3" x14ac:dyDescent="0.2">
      <c r="C1411" s="17"/>
    </row>
    <row r="1412" spans="3:3" x14ac:dyDescent="0.2">
      <c r="C1412" s="17"/>
    </row>
    <row r="1413" spans="3:3" x14ac:dyDescent="0.2">
      <c r="C1413" s="17"/>
    </row>
    <row r="1414" spans="3:3" x14ac:dyDescent="0.2">
      <c r="C1414" s="17"/>
    </row>
    <row r="1415" spans="3:3" x14ac:dyDescent="0.2">
      <c r="C1415" s="17"/>
    </row>
    <row r="1416" spans="3:3" x14ac:dyDescent="0.2">
      <c r="C1416" s="17"/>
    </row>
    <row r="1417" spans="3:3" x14ac:dyDescent="0.2">
      <c r="C1417" s="17"/>
    </row>
    <row r="1418" spans="3:3" x14ac:dyDescent="0.2">
      <c r="C1418" s="17"/>
    </row>
    <row r="1419" spans="3:3" x14ac:dyDescent="0.2">
      <c r="C1419" s="17"/>
    </row>
    <row r="1420" spans="3:3" x14ac:dyDescent="0.2">
      <c r="C1420" s="17"/>
    </row>
    <row r="1421" spans="3:3" x14ac:dyDescent="0.2">
      <c r="C1421" s="17"/>
    </row>
    <row r="1422" spans="3:3" x14ac:dyDescent="0.2">
      <c r="C1422" s="17"/>
    </row>
    <row r="1423" spans="3:3" x14ac:dyDescent="0.2">
      <c r="C1423" s="17"/>
    </row>
    <row r="1424" spans="3:3" x14ac:dyDescent="0.2">
      <c r="C1424" s="17"/>
    </row>
    <row r="1425" spans="3:3" x14ac:dyDescent="0.2">
      <c r="C1425" s="17"/>
    </row>
    <row r="1426" spans="3:3" x14ac:dyDescent="0.2">
      <c r="C1426" s="17"/>
    </row>
    <row r="1427" spans="3:3" x14ac:dyDescent="0.2">
      <c r="C1427" s="17"/>
    </row>
    <row r="1428" spans="3:3" x14ac:dyDescent="0.2">
      <c r="C1428" s="17"/>
    </row>
    <row r="1429" spans="3:3" x14ac:dyDescent="0.2">
      <c r="C1429" s="17"/>
    </row>
    <row r="1430" spans="3:3" x14ac:dyDescent="0.2">
      <c r="C1430" s="17"/>
    </row>
    <row r="1431" spans="3:3" x14ac:dyDescent="0.2">
      <c r="C1431" s="17"/>
    </row>
    <row r="1432" spans="3:3" x14ac:dyDescent="0.2">
      <c r="C1432" s="17"/>
    </row>
    <row r="1433" spans="3:3" x14ac:dyDescent="0.2">
      <c r="C1433" s="17"/>
    </row>
    <row r="1434" spans="3:3" x14ac:dyDescent="0.2">
      <c r="C1434" s="17"/>
    </row>
    <row r="1435" spans="3:3" x14ac:dyDescent="0.2">
      <c r="C1435" s="17"/>
    </row>
    <row r="1436" spans="3:3" x14ac:dyDescent="0.2">
      <c r="C1436" s="17"/>
    </row>
    <row r="1437" spans="3:3" x14ac:dyDescent="0.2">
      <c r="C1437" s="17"/>
    </row>
    <row r="1438" spans="3:3" x14ac:dyDescent="0.2">
      <c r="C1438" s="17"/>
    </row>
    <row r="1439" spans="3:3" x14ac:dyDescent="0.2">
      <c r="C1439" s="17"/>
    </row>
    <row r="1440" spans="3:3" x14ac:dyDescent="0.2">
      <c r="C1440" s="17"/>
    </row>
    <row r="1441" spans="3:3" x14ac:dyDescent="0.2">
      <c r="C1441" s="17"/>
    </row>
    <row r="1442" spans="3:3" x14ac:dyDescent="0.2">
      <c r="C1442" s="17"/>
    </row>
    <row r="1443" spans="3:3" x14ac:dyDescent="0.2">
      <c r="C1443" s="17"/>
    </row>
    <row r="1444" spans="3:3" x14ac:dyDescent="0.2">
      <c r="C1444" s="17"/>
    </row>
    <row r="1445" spans="3:3" x14ac:dyDescent="0.2">
      <c r="C1445" s="17"/>
    </row>
    <row r="1446" spans="3:3" x14ac:dyDescent="0.2">
      <c r="C1446" s="17"/>
    </row>
    <row r="1447" spans="3:3" x14ac:dyDescent="0.2">
      <c r="C1447" s="17"/>
    </row>
    <row r="1448" spans="3:3" x14ac:dyDescent="0.2">
      <c r="C1448" s="17"/>
    </row>
    <row r="1449" spans="3:3" x14ac:dyDescent="0.2">
      <c r="C1449" s="17"/>
    </row>
    <row r="1450" spans="3:3" x14ac:dyDescent="0.2">
      <c r="C1450" s="17"/>
    </row>
    <row r="1451" spans="3:3" x14ac:dyDescent="0.2">
      <c r="C1451" s="17"/>
    </row>
    <row r="1452" spans="3:3" x14ac:dyDescent="0.2">
      <c r="C1452" s="17"/>
    </row>
    <row r="1453" spans="3:3" x14ac:dyDescent="0.2">
      <c r="C1453" s="17"/>
    </row>
    <row r="1454" spans="3:3" x14ac:dyDescent="0.2">
      <c r="C1454" s="17"/>
    </row>
    <row r="1455" spans="3:3" x14ac:dyDescent="0.2">
      <c r="C1455" s="17"/>
    </row>
    <row r="1456" spans="3:3" x14ac:dyDescent="0.2">
      <c r="C1456" s="17"/>
    </row>
    <row r="1457" spans="3:3" x14ac:dyDescent="0.2">
      <c r="C1457" s="17"/>
    </row>
    <row r="1458" spans="3:3" x14ac:dyDescent="0.2">
      <c r="C1458" s="17"/>
    </row>
    <row r="1459" spans="3:3" x14ac:dyDescent="0.2">
      <c r="C1459" s="17"/>
    </row>
    <row r="1460" spans="3:3" x14ac:dyDescent="0.2">
      <c r="C1460" s="17"/>
    </row>
    <row r="1461" spans="3:3" x14ac:dyDescent="0.2">
      <c r="C1461" s="17"/>
    </row>
    <row r="1462" spans="3:3" x14ac:dyDescent="0.2">
      <c r="C1462" s="17"/>
    </row>
    <row r="1463" spans="3:3" x14ac:dyDescent="0.2">
      <c r="C1463" s="17"/>
    </row>
    <row r="1464" spans="3:3" x14ac:dyDescent="0.2">
      <c r="C1464" s="17"/>
    </row>
    <row r="1465" spans="3:3" x14ac:dyDescent="0.2">
      <c r="C1465" s="17"/>
    </row>
    <row r="1466" spans="3:3" x14ac:dyDescent="0.2">
      <c r="C1466" s="17"/>
    </row>
    <row r="1467" spans="3:3" x14ac:dyDescent="0.2">
      <c r="C1467" s="17"/>
    </row>
    <row r="1468" spans="3:3" x14ac:dyDescent="0.2">
      <c r="C1468" s="17"/>
    </row>
    <row r="1469" spans="3:3" x14ac:dyDescent="0.2">
      <c r="C1469" s="17"/>
    </row>
    <row r="1470" spans="3:3" x14ac:dyDescent="0.2">
      <c r="C1470" s="17"/>
    </row>
    <row r="1471" spans="3:3" x14ac:dyDescent="0.2">
      <c r="C1471" s="17"/>
    </row>
    <row r="1472" spans="3:3" x14ac:dyDescent="0.2">
      <c r="C1472" s="17"/>
    </row>
    <row r="1473" spans="3:3" x14ac:dyDescent="0.2">
      <c r="C1473" s="17"/>
    </row>
    <row r="1474" spans="3:3" x14ac:dyDescent="0.2">
      <c r="C1474" s="17"/>
    </row>
    <row r="1475" spans="3:3" x14ac:dyDescent="0.2">
      <c r="C1475" s="17"/>
    </row>
    <row r="1476" spans="3:3" x14ac:dyDescent="0.2">
      <c r="C1476" s="17"/>
    </row>
    <row r="1477" spans="3:3" x14ac:dyDescent="0.2">
      <c r="C1477" s="17"/>
    </row>
    <row r="1478" spans="3:3" x14ac:dyDescent="0.2">
      <c r="C1478" s="17"/>
    </row>
    <row r="1479" spans="3:3" x14ac:dyDescent="0.2">
      <c r="C1479" s="17"/>
    </row>
    <row r="1480" spans="3:3" x14ac:dyDescent="0.2">
      <c r="C1480" s="17"/>
    </row>
    <row r="1481" spans="3:3" x14ac:dyDescent="0.2">
      <c r="C1481" s="17"/>
    </row>
    <row r="1482" spans="3:3" x14ac:dyDescent="0.2">
      <c r="C1482" s="17"/>
    </row>
    <row r="1483" spans="3:3" x14ac:dyDescent="0.2">
      <c r="C1483" s="17"/>
    </row>
    <row r="1484" spans="3:3" x14ac:dyDescent="0.2">
      <c r="C1484" s="17"/>
    </row>
    <row r="1485" spans="3:3" x14ac:dyDescent="0.2">
      <c r="C1485" s="17"/>
    </row>
    <row r="1486" spans="3:3" x14ac:dyDescent="0.2">
      <c r="C1486" s="17"/>
    </row>
    <row r="1487" spans="3:3" x14ac:dyDescent="0.2">
      <c r="C1487" s="17"/>
    </row>
    <row r="1488" spans="3:3" x14ac:dyDescent="0.2">
      <c r="C1488" s="17"/>
    </row>
    <row r="1489" spans="3:3" x14ac:dyDescent="0.2">
      <c r="C1489" s="17"/>
    </row>
    <row r="1490" spans="3:3" x14ac:dyDescent="0.2">
      <c r="C1490" s="17"/>
    </row>
    <row r="1491" spans="3:3" x14ac:dyDescent="0.2">
      <c r="C1491" s="17"/>
    </row>
    <row r="1492" spans="3:3" x14ac:dyDescent="0.2">
      <c r="C1492" s="17"/>
    </row>
    <row r="1493" spans="3:3" x14ac:dyDescent="0.2">
      <c r="C1493" s="17"/>
    </row>
    <row r="1494" spans="3:3" x14ac:dyDescent="0.2">
      <c r="C1494" s="17"/>
    </row>
    <row r="1495" spans="3:3" x14ac:dyDescent="0.2">
      <c r="C1495" s="17"/>
    </row>
    <row r="1496" spans="3:3" x14ac:dyDescent="0.2">
      <c r="C1496" s="17"/>
    </row>
    <row r="1497" spans="3:3" x14ac:dyDescent="0.2">
      <c r="C1497" s="17"/>
    </row>
    <row r="1498" spans="3:3" x14ac:dyDescent="0.2">
      <c r="C1498" s="17"/>
    </row>
    <row r="1499" spans="3:3" x14ac:dyDescent="0.2">
      <c r="C1499" s="17"/>
    </row>
    <row r="1500" spans="3:3" x14ac:dyDescent="0.2">
      <c r="C1500" s="17"/>
    </row>
    <row r="1501" spans="3:3" x14ac:dyDescent="0.2">
      <c r="C1501" s="17"/>
    </row>
    <row r="1502" spans="3:3" x14ac:dyDescent="0.2">
      <c r="C1502" s="17"/>
    </row>
    <row r="1503" spans="3:3" x14ac:dyDescent="0.2">
      <c r="C1503" s="17"/>
    </row>
    <row r="1504" spans="3:3" x14ac:dyDescent="0.2">
      <c r="C1504" s="17"/>
    </row>
    <row r="1505" spans="3:3" x14ac:dyDescent="0.2">
      <c r="C1505" s="17"/>
    </row>
    <row r="1506" spans="3:3" x14ac:dyDescent="0.2">
      <c r="C1506" s="17"/>
    </row>
    <row r="1507" spans="3:3" x14ac:dyDescent="0.2">
      <c r="C1507" s="17"/>
    </row>
    <row r="1508" spans="3:3" x14ac:dyDescent="0.2">
      <c r="C1508" s="17"/>
    </row>
    <row r="1509" spans="3:3" x14ac:dyDescent="0.2">
      <c r="C1509" s="17"/>
    </row>
    <row r="1510" spans="3:3" x14ac:dyDescent="0.2">
      <c r="C1510" s="17"/>
    </row>
    <row r="1511" spans="3:3" x14ac:dyDescent="0.2">
      <c r="C1511" s="17"/>
    </row>
    <row r="1512" spans="3:3" x14ac:dyDescent="0.2">
      <c r="C1512" s="17"/>
    </row>
    <row r="1513" spans="3:3" x14ac:dyDescent="0.2">
      <c r="C1513" s="17"/>
    </row>
    <row r="1514" spans="3:3" x14ac:dyDescent="0.2">
      <c r="C1514" s="17"/>
    </row>
    <row r="1515" spans="3:3" x14ac:dyDescent="0.2">
      <c r="C1515" s="17"/>
    </row>
    <row r="1516" spans="3:3" x14ac:dyDescent="0.2">
      <c r="C1516" s="17"/>
    </row>
    <row r="1517" spans="3:3" x14ac:dyDescent="0.2">
      <c r="C1517" s="17"/>
    </row>
    <row r="1518" spans="3:3" x14ac:dyDescent="0.2">
      <c r="C1518" s="17"/>
    </row>
    <row r="1519" spans="3:3" x14ac:dyDescent="0.2">
      <c r="C1519" s="17"/>
    </row>
    <row r="1520" spans="3:3" x14ac:dyDescent="0.2">
      <c r="C1520" s="17"/>
    </row>
    <row r="1521" spans="3:3" x14ac:dyDescent="0.2">
      <c r="C1521" s="17"/>
    </row>
    <row r="1522" spans="3:3" x14ac:dyDescent="0.2">
      <c r="C1522" s="17"/>
    </row>
    <row r="1523" spans="3:3" x14ac:dyDescent="0.2">
      <c r="C1523" s="17"/>
    </row>
    <row r="1524" spans="3:3" x14ac:dyDescent="0.2">
      <c r="C1524" s="17"/>
    </row>
    <row r="1525" spans="3:3" x14ac:dyDescent="0.2">
      <c r="C1525" s="17"/>
    </row>
    <row r="1526" spans="3:3" x14ac:dyDescent="0.2">
      <c r="C1526" s="17"/>
    </row>
    <row r="1527" spans="3:3" x14ac:dyDescent="0.2">
      <c r="C1527" s="17"/>
    </row>
    <row r="1528" spans="3:3" x14ac:dyDescent="0.2">
      <c r="C1528" s="17"/>
    </row>
    <row r="1529" spans="3:3" x14ac:dyDescent="0.2">
      <c r="C1529" s="17"/>
    </row>
    <row r="1530" spans="3:3" x14ac:dyDescent="0.2">
      <c r="C1530" s="17"/>
    </row>
    <row r="1531" spans="3:3" x14ac:dyDescent="0.2">
      <c r="C1531" s="17"/>
    </row>
    <row r="1532" spans="3:3" x14ac:dyDescent="0.2">
      <c r="C1532" s="17"/>
    </row>
    <row r="1533" spans="3:3" x14ac:dyDescent="0.2">
      <c r="C1533" s="17"/>
    </row>
    <row r="1534" spans="3:3" x14ac:dyDescent="0.2">
      <c r="C1534" s="17"/>
    </row>
    <row r="1535" spans="3:3" x14ac:dyDescent="0.2">
      <c r="C1535" s="17"/>
    </row>
    <row r="1536" spans="3:3" x14ac:dyDescent="0.2">
      <c r="C1536" s="17"/>
    </row>
    <row r="1537" spans="3:3" x14ac:dyDescent="0.2">
      <c r="C1537" s="17"/>
    </row>
    <row r="1538" spans="3:3" x14ac:dyDescent="0.2">
      <c r="C1538" s="17"/>
    </row>
    <row r="1539" spans="3:3" x14ac:dyDescent="0.2">
      <c r="C1539" s="17"/>
    </row>
    <row r="1540" spans="3:3" x14ac:dyDescent="0.2">
      <c r="C1540" s="17"/>
    </row>
    <row r="1541" spans="3:3" x14ac:dyDescent="0.2">
      <c r="C1541" s="17"/>
    </row>
    <row r="1542" spans="3:3" x14ac:dyDescent="0.2">
      <c r="C1542" s="17"/>
    </row>
    <row r="1543" spans="3:3" x14ac:dyDescent="0.2">
      <c r="C1543" s="17"/>
    </row>
    <row r="1544" spans="3:3" x14ac:dyDescent="0.2">
      <c r="C1544" s="17"/>
    </row>
    <row r="1545" spans="3:3" x14ac:dyDescent="0.2">
      <c r="C1545" s="17"/>
    </row>
    <row r="1546" spans="3:3" x14ac:dyDescent="0.2">
      <c r="C1546" s="17"/>
    </row>
    <row r="1547" spans="3:3" x14ac:dyDescent="0.2">
      <c r="C1547" s="17"/>
    </row>
    <row r="1548" spans="3:3" x14ac:dyDescent="0.2">
      <c r="C1548" s="17"/>
    </row>
    <row r="1549" spans="3:3" x14ac:dyDescent="0.2">
      <c r="C1549" s="17"/>
    </row>
    <row r="1550" spans="3:3" x14ac:dyDescent="0.2">
      <c r="C1550" s="17"/>
    </row>
    <row r="1551" spans="3:3" x14ac:dyDescent="0.2">
      <c r="C1551" s="17"/>
    </row>
    <row r="1552" spans="3:3" x14ac:dyDescent="0.2">
      <c r="C1552" s="17"/>
    </row>
    <row r="1553" spans="3:3" x14ac:dyDescent="0.2">
      <c r="C1553" s="17"/>
    </row>
    <row r="1554" spans="3:3" x14ac:dyDescent="0.2">
      <c r="C1554" s="17"/>
    </row>
    <row r="1555" spans="3:3" x14ac:dyDescent="0.2">
      <c r="C1555" s="17"/>
    </row>
    <row r="1556" spans="3:3" x14ac:dyDescent="0.2">
      <c r="C1556" s="17"/>
    </row>
    <row r="1557" spans="3:3" x14ac:dyDescent="0.2">
      <c r="C1557" s="17"/>
    </row>
    <row r="1558" spans="3:3" x14ac:dyDescent="0.2">
      <c r="C1558" s="17"/>
    </row>
    <row r="1559" spans="3:3" x14ac:dyDescent="0.2">
      <c r="C1559" s="17"/>
    </row>
    <row r="1560" spans="3:3" x14ac:dyDescent="0.2">
      <c r="C1560" s="17"/>
    </row>
    <row r="1561" spans="3:3" x14ac:dyDescent="0.2">
      <c r="C1561" s="17"/>
    </row>
    <row r="1562" spans="3:3" x14ac:dyDescent="0.2">
      <c r="C1562" s="17"/>
    </row>
    <row r="1563" spans="3:3" x14ac:dyDescent="0.2">
      <c r="C1563" s="17"/>
    </row>
    <row r="1564" spans="3:3" x14ac:dyDescent="0.2">
      <c r="C1564" s="17"/>
    </row>
    <row r="1565" spans="3:3" x14ac:dyDescent="0.2">
      <c r="C1565" s="17"/>
    </row>
    <row r="1566" spans="3:3" x14ac:dyDescent="0.2">
      <c r="C1566" s="17"/>
    </row>
    <row r="1567" spans="3:3" x14ac:dyDescent="0.2">
      <c r="C1567" s="17"/>
    </row>
    <row r="1568" spans="3:3" x14ac:dyDescent="0.2">
      <c r="C1568" s="17"/>
    </row>
    <row r="1569" spans="3:3" x14ac:dyDescent="0.2">
      <c r="C1569" s="17"/>
    </row>
    <row r="1570" spans="3:3" x14ac:dyDescent="0.2">
      <c r="C1570" s="17"/>
    </row>
    <row r="1571" spans="3:3" x14ac:dyDescent="0.2">
      <c r="C1571" s="17"/>
    </row>
    <row r="1572" spans="3:3" x14ac:dyDescent="0.2">
      <c r="C1572" s="17"/>
    </row>
    <row r="1573" spans="3:3" x14ac:dyDescent="0.2">
      <c r="C1573" s="17"/>
    </row>
    <row r="1574" spans="3:3" x14ac:dyDescent="0.2">
      <c r="C1574" s="17"/>
    </row>
    <row r="1575" spans="3:3" x14ac:dyDescent="0.2">
      <c r="C1575" s="17"/>
    </row>
    <row r="1576" spans="3:3" x14ac:dyDescent="0.2">
      <c r="C1576" s="17"/>
    </row>
    <row r="1577" spans="3:3" x14ac:dyDescent="0.2">
      <c r="C1577" s="17"/>
    </row>
    <row r="1578" spans="3:3" x14ac:dyDescent="0.2">
      <c r="C1578" s="17"/>
    </row>
    <row r="1579" spans="3:3" x14ac:dyDescent="0.2">
      <c r="C1579" s="17"/>
    </row>
    <row r="1580" spans="3:3" x14ac:dyDescent="0.2">
      <c r="C1580" s="17"/>
    </row>
    <row r="1581" spans="3:3" x14ac:dyDescent="0.2">
      <c r="C1581" s="17"/>
    </row>
    <row r="1582" spans="3:3" x14ac:dyDescent="0.2">
      <c r="C1582" s="17"/>
    </row>
    <row r="1583" spans="3:3" x14ac:dyDescent="0.2">
      <c r="C1583" s="17"/>
    </row>
    <row r="1584" spans="3:3" x14ac:dyDescent="0.2">
      <c r="C1584" s="17"/>
    </row>
    <row r="1585" spans="3:3" x14ac:dyDescent="0.2">
      <c r="C1585" s="17"/>
    </row>
    <row r="1586" spans="3:3" x14ac:dyDescent="0.2">
      <c r="C1586" s="17"/>
    </row>
    <row r="1587" spans="3:3" x14ac:dyDescent="0.2">
      <c r="C1587" s="17"/>
    </row>
    <row r="1588" spans="3:3" x14ac:dyDescent="0.2">
      <c r="C1588" s="17"/>
    </row>
    <row r="1589" spans="3:3" x14ac:dyDescent="0.2">
      <c r="C1589" s="17"/>
    </row>
    <row r="1590" spans="3:3" x14ac:dyDescent="0.2">
      <c r="C1590" s="17"/>
    </row>
    <row r="1591" spans="3:3" x14ac:dyDescent="0.2">
      <c r="C1591" s="17"/>
    </row>
    <row r="1592" spans="3:3" x14ac:dyDescent="0.2">
      <c r="C1592" s="17"/>
    </row>
    <row r="1593" spans="3:3" x14ac:dyDescent="0.2">
      <c r="C1593" s="17"/>
    </row>
    <row r="1594" spans="3:3" x14ac:dyDescent="0.2">
      <c r="C1594" s="17"/>
    </row>
    <row r="1595" spans="3:3" x14ac:dyDescent="0.2">
      <c r="C1595" s="17"/>
    </row>
    <row r="1596" spans="3:3" x14ac:dyDescent="0.2">
      <c r="C1596" s="17"/>
    </row>
    <row r="1597" spans="3:3" x14ac:dyDescent="0.2">
      <c r="C1597" s="17"/>
    </row>
    <row r="1598" spans="3:3" x14ac:dyDescent="0.2">
      <c r="C1598" s="17"/>
    </row>
    <row r="1599" spans="3:3" x14ac:dyDescent="0.2">
      <c r="C1599" s="17"/>
    </row>
    <row r="1600" spans="3:3" x14ac:dyDescent="0.2">
      <c r="C1600" s="17"/>
    </row>
    <row r="1601" spans="3:3" x14ac:dyDescent="0.2">
      <c r="C1601" s="17"/>
    </row>
    <row r="1602" spans="3:3" x14ac:dyDescent="0.2">
      <c r="C1602" s="17"/>
    </row>
    <row r="1603" spans="3:3" x14ac:dyDescent="0.2">
      <c r="C1603" s="17"/>
    </row>
    <row r="1604" spans="3:3" x14ac:dyDescent="0.2">
      <c r="C1604" s="17"/>
    </row>
    <row r="1605" spans="3:3" x14ac:dyDescent="0.2">
      <c r="C1605" s="17"/>
    </row>
    <row r="1606" spans="3:3" x14ac:dyDescent="0.2">
      <c r="C1606" s="17"/>
    </row>
    <row r="1607" spans="3:3" x14ac:dyDescent="0.2">
      <c r="C1607" s="17"/>
    </row>
    <row r="1608" spans="3:3" x14ac:dyDescent="0.2">
      <c r="C1608" s="17"/>
    </row>
    <row r="1609" spans="3:3" x14ac:dyDescent="0.2">
      <c r="C1609" s="17"/>
    </row>
    <row r="1610" spans="3:3" x14ac:dyDescent="0.2">
      <c r="C1610" s="17"/>
    </row>
    <row r="1611" spans="3:3" x14ac:dyDescent="0.2">
      <c r="C1611" s="17"/>
    </row>
    <row r="1612" spans="3:3" x14ac:dyDescent="0.2">
      <c r="C1612" s="17"/>
    </row>
    <row r="1613" spans="3:3" x14ac:dyDescent="0.2">
      <c r="C1613" s="17"/>
    </row>
    <row r="1614" spans="3:3" x14ac:dyDescent="0.2">
      <c r="C1614" s="17"/>
    </row>
    <row r="1615" spans="3:3" x14ac:dyDescent="0.2">
      <c r="C1615" s="17"/>
    </row>
    <row r="1616" spans="3:3" x14ac:dyDescent="0.2">
      <c r="C1616" s="17"/>
    </row>
    <row r="1617" spans="3:3" x14ac:dyDescent="0.2">
      <c r="C1617" s="17"/>
    </row>
    <row r="1618" spans="3:3" x14ac:dyDescent="0.2">
      <c r="C1618" s="17"/>
    </row>
    <row r="1619" spans="3:3" x14ac:dyDescent="0.2">
      <c r="C1619" s="17"/>
    </row>
    <row r="1620" spans="3:3" x14ac:dyDescent="0.2">
      <c r="C1620" s="17"/>
    </row>
    <row r="1621" spans="3:3" x14ac:dyDescent="0.2">
      <c r="C1621" s="17"/>
    </row>
    <row r="1622" spans="3:3" x14ac:dyDescent="0.2">
      <c r="C1622" s="17"/>
    </row>
    <row r="1623" spans="3:3" x14ac:dyDescent="0.2">
      <c r="C1623" s="17"/>
    </row>
    <row r="1624" spans="3:3" x14ac:dyDescent="0.2">
      <c r="C1624" s="17"/>
    </row>
    <row r="1625" spans="3:3" x14ac:dyDescent="0.2">
      <c r="C1625" s="17"/>
    </row>
    <row r="1626" spans="3:3" x14ac:dyDescent="0.2">
      <c r="C1626" s="17"/>
    </row>
    <row r="1627" spans="3:3" x14ac:dyDescent="0.2">
      <c r="C1627" s="17"/>
    </row>
    <row r="1628" spans="3:3" x14ac:dyDescent="0.2">
      <c r="C1628" s="17"/>
    </row>
    <row r="1629" spans="3:3" x14ac:dyDescent="0.2">
      <c r="C1629" s="17"/>
    </row>
    <row r="1630" spans="3:3" x14ac:dyDescent="0.2">
      <c r="C1630" s="17"/>
    </row>
    <row r="1631" spans="3:3" x14ac:dyDescent="0.2">
      <c r="C1631" s="17"/>
    </row>
    <row r="1632" spans="3:3" x14ac:dyDescent="0.2">
      <c r="C1632" s="17"/>
    </row>
    <row r="1633" spans="3:3" x14ac:dyDescent="0.2">
      <c r="C1633" s="17"/>
    </row>
    <row r="1634" spans="3:3" x14ac:dyDescent="0.2">
      <c r="C1634" s="17"/>
    </row>
    <row r="1635" spans="3:3" x14ac:dyDescent="0.2">
      <c r="C1635" s="17"/>
    </row>
    <row r="1636" spans="3:3" x14ac:dyDescent="0.2">
      <c r="C1636" s="17"/>
    </row>
    <row r="1637" spans="3:3" x14ac:dyDescent="0.2">
      <c r="C1637" s="17"/>
    </row>
    <row r="1638" spans="3:3" x14ac:dyDescent="0.2">
      <c r="C1638" s="17"/>
    </row>
    <row r="1639" spans="3:3" x14ac:dyDescent="0.2">
      <c r="C1639" s="17"/>
    </row>
    <row r="1640" spans="3:3" x14ac:dyDescent="0.2">
      <c r="C1640" s="17"/>
    </row>
    <row r="1641" spans="3:3" x14ac:dyDescent="0.2">
      <c r="C1641" s="17"/>
    </row>
    <row r="1642" spans="3:3" x14ac:dyDescent="0.2">
      <c r="C1642" s="17"/>
    </row>
    <row r="1643" spans="3:3" x14ac:dyDescent="0.2">
      <c r="C1643" s="17"/>
    </row>
    <row r="1644" spans="3:3" x14ac:dyDescent="0.2">
      <c r="C1644" s="17"/>
    </row>
    <row r="1645" spans="3:3" x14ac:dyDescent="0.2">
      <c r="C1645" s="17"/>
    </row>
    <row r="1646" spans="3:3" x14ac:dyDescent="0.2">
      <c r="C1646" s="17"/>
    </row>
    <row r="1647" spans="3:3" x14ac:dyDescent="0.2">
      <c r="C1647" s="17"/>
    </row>
    <row r="1648" spans="3:3" x14ac:dyDescent="0.2">
      <c r="C1648" s="17"/>
    </row>
    <row r="1649" spans="3:3" x14ac:dyDescent="0.2">
      <c r="C1649" s="17"/>
    </row>
    <row r="1650" spans="3:3" x14ac:dyDescent="0.2">
      <c r="C1650" s="17"/>
    </row>
    <row r="1651" spans="3:3" x14ac:dyDescent="0.2">
      <c r="C1651" s="17"/>
    </row>
    <row r="1652" spans="3:3" x14ac:dyDescent="0.2">
      <c r="C1652" s="17"/>
    </row>
    <row r="1653" spans="3:3" x14ac:dyDescent="0.2">
      <c r="C1653" s="17"/>
    </row>
    <row r="1654" spans="3:3" x14ac:dyDescent="0.2">
      <c r="C1654" s="17"/>
    </row>
    <row r="1655" spans="3:3" x14ac:dyDescent="0.2">
      <c r="C1655" s="17"/>
    </row>
    <row r="1656" spans="3:3" x14ac:dyDescent="0.2">
      <c r="C1656" s="17"/>
    </row>
    <row r="1657" spans="3:3" x14ac:dyDescent="0.2">
      <c r="C1657" s="17"/>
    </row>
    <row r="1658" spans="3:3" x14ac:dyDescent="0.2">
      <c r="C1658" s="17"/>
    </row>
    <row r="1659" spans="3:3" x14ac:dyDescent="0.2">
      <c r="C1659" s="17"/>
    </row>
    <row r="1660" spans="3:3" x14ac:dyDescent="0.2">
      <c r="C1660" s="17"/>
    </row>
    <row r="1661" spans="3:3" x14ac:dyDescent="0.2">
      <c r="C1661" s="17"/>
    </row>
    <row r="1662" spans="3:3" x14ac:dyDescent="0.2">
      <c r="C1662" s="17"/>
    </row>
    <row r="1663" spans="3:3" x14ac:dyDescent="0.2">
      <c r="C1663" s="17"/>
    </row>
    <row r="1664" spans="3:3" x14ac:dyDescent="0.2">
      <c r="C1664" s="17"/>
    </row>
    <row r="1665" spans="3:3" x14ac:dyDescent="0.2">
      <c r="C1665" s="17"/>
    </row>
    <row r="1666" spans="3:3" x14ac:dyDescent="0.2">
      <c r="C1666" s="17"/>
    </row>
    <row r="1667" spans="3:3" x14ac:dyDescent="0.2">
      <c r="C1667" s="17"/>
    </row>
    <row r="1668" spans="3:3" x14ac:dyDescent="0.2">
      <c r="C1668" s="17"/>
    </row>
    <row r="1669" spans="3:3" x14ac:dyDescent="0.2">
      <c r="C1669" s="17"/>
    </row>
    <row r="1670" spans="3:3" x14ac:dyDescent="0.2">
      <c r="C1670" s="17"/>
    </row>
    <row r="1671" spans="3:3" x14ac:dyDescent="0.2">
      <c r="C1671" s="17"/>
    </row>
    <row r="1672" spans="3:3" x14ac:dyDescent="0.2">
      <c r="C1672" s="17"/>
    </row>
    <row r="1673" spans="3:3" x14ac:dyDescent="0.2">
      <c r="C1673" s="17"/>
    </row>
    <row r="1674" spans="3:3" x14ac:dyDescent="0.2">
      <c r="C1674" s="17"/>
    </row>
    <row r="1675" spans="3:3" x14ac:dyDescent="0.2">
      <c r="C1675" s="17"/>
    </row>
    <row r="1676" spans="3:3" x14ac:dyDescent="0.2">
      <c r="C1676" s="17"/>
    </row>
    <row r="1677" spans="3:3" x14ac:dyDescent="0.2">
      <c r="C1677" s="17"/>
    </row>
    <row r="1678" spans="3:3" x14ac:dyDescent="0.2">
      <c r="C1678" s="17"/>
    </row>
    <row r="1679" spans="3:3" x14ac:dyDescent="0.2">
      <c r="C1679" s="17"/>
    </row>
    <row r="1680" spans="3:3" x14ac:dyDescent="0.2">
      <c r="C1680" s="17"/>
    </row>
    <row r="1681" spans="3:3" x14ac:dyDescent="0.2">
      <c r="C1681" s="17"/>
    </row>
    <row r="1682" spans="3:3" x14ac:dyDescent="0.2">
      <c r="C1682" s="17"/>
    </row>
    <row r="1683" spans="3:3" x14ac:dyDescent="0.2">
      <c r="C1683" s="17"/>
    </row>
    <row r="1684" spans="3:3" x14ac:dyDescent="0.2">
      <c r="C1684" s="17"/>
    </row>
    <row r="1685" spans="3:3" x14ac:dyDescent="0.2">
      <c r="C1685" s="17"/>
    </row>
    <row r="1686" spans="3:3" x14ac:dyDescent="0.2">
      <c r="C1686" s="17"/>
    </row>
    <row r="1687" spans="3:3" x14ac:dyDescent="0.2">
      <c r="C1687" s="17"/>
    </row>
    <row r="1688" spans="3:3" x14ac:dyDescent="0.2">
      <c r="C1688" s="17"/>
    </row>
    <row r="1689" spans="3:3" x14ac:dyDescent="0.2">
      <c r="C1689" s="17"/>
    </row>
    <row r="1690" spans="3:3" x14ac:dyDescent="0.2">
      <c r="C1690" s="17"/>
    </row>
    <row r="1691" spans="3:3" x14ac:dyDescent="0.2">
      <c r="C1691" s="17"/>
    </row>
    <row r="1692" spans="3:3" x14ac:dyDescent="0.2">
      <c r="C1692" s="17"/>
    </row>
    <row r="1693" spans="3:3" x14ac:dyDescent="0.2">
      <c r="C1693" s="17"/>
    </row>
    <row r="1694" spans="3:3" x14ac:dyDescent="0.2">
      <c r="C1694" s="17"/>
    </row>
    <row r="1695" spans="3:3" x14ac:dyDescent="0.2">
      <c r="C1695" s="17"/>
    </row>
    <row r="1696" spans="3:3" x14ac:dyDescent="0.2">
      <c r="C1696" s="17"/>
    </row>
    <row r="1697" spans="3:3" x14ac:dyDescent="0.2">
      <c r="C1697" s="17"/>
    </row>
    <row r="1698" spans="3:3" x14ac:dyDescent="0.2">
      <c r="C1698" s="17"/>
    </row>
    <row r="1699" spans="3:3" x14ac:dyDescent="0.2">
      <c r="C1699" s="17"/>
    </row>
    <row r="1700" spans="3:3" x14ac:dyDescent="0.2">
      <c r="C1700" s="17"/>
    </row>
    <row r="1701" spans="3:3" x14ac:dyDescent="0.2">
      <c r="C1701" s="17"/>
    </row>
    <row r="1702" spans="3:3" x14ac:dyDescent="0.2">
      <c r="C1702" s="17"/>
    </row>
    <row r="1703" spans="3:3" x14ac:dyDescent="0.2">
      <c r="C1703" s="17"/>
    </row>
    <row r="1704" spans="3:3" x14ac:dyDescent="0.2">
      <c r="C1704" s="17"/>
    </row>
    <row r="1705" spans="3:3" x14ac:dyDescent="0.2">
      <c r="C1705" s="17"/>
    </row>
    <row r="1706" spans="3:3" x14ac:dyDescent="0.2">
      <c r="C1706" s="17"/>
    </row>
    <row r="1707" spans="3:3" x14ac:dyDescent="0.2">
      <c r="C1707" s="17"/>
    </row>
    <row r="1708" spans="3:3" x14ac:dyDescent="0.2">
      <c r="C1708" s="17"/>
    </row>
    <row r="1709" spans="3:3" x14ac:dyDescent="0.2">
      <c r="C1709" s="17"/>
    </row>
    <row r="1710" spans="3:3" x14ac:dyDescent="0.2">
      <c r="C1710" s="17"/>
    </row>
    <row r="1711" spans="3:3" x14ac:dyDescent="0.2">
      <c r="C1711" s="17"/>
    </row>
    <row r="1712" spans="3:3" x14ac:dyDescent="0.2">
      <c r="C1712" s="17"/>
    </row>
    <row r="1713" spans="3:3" x14ac:dyDescent="0.2">
      <c r="C1713" s="17"/>
    </row>
    <row r="1714" spans="3:3" x14ac:dyDescent="0.2">
      <c r="C1714" s="17"/>
    </row>
    <row r="1715" spans="3:3" x14ac:dyDescent="0.2">
      <c r="C1715" s="17"/>
    </row>
    <row r="1716" spans="3:3" x14ac:dyDescent="0.2">
      <c r="C1716" s="17"/>
    </row>
    <row r="1717" spans="3:3" x14ac:dyDescent="0.2">
      <c r="C1717" s="17"/>
    </row>
    <row r="1718" spans="3:3" x14ac:dyDescent="0.2">
      <c r="C1718" s="17"/>
    </row>
    <row r="1719" spans="3:3" x14ac:dyDescent="0.2">
      <c r="C1719" s="17"/>
    </row>
    <row r="1720" spans="3:3" x14ac:dyDescent="0.2">
      <c r="C1720" s="17"/>
    </row>
    <row r="1721" spans="3:3" x14ac:dyDescent="0.2">
      <c r="C1721" s="17"/>
    </row>
    <row r="1722" spans="3:3" x14ac:dyDescent="0.2">
      <c r="C1722" s="17"/>
    </row>
    <row r="1723" spans="3:3" x14ac:dyDescent="0.2">
      <c r="C1723" s="17"/>
    </row>
    <row r="1724" spans="3:3" x14ac:dyDescent="0.2">
      <c r="C1724" s="17"/>
    </row>
    <row r="1725" spans="3:3" x14ac:dyDescent="0.2">
      <c r="C1725" s="17"/>
    </row>
    <row r="1726" spans="3:3" x14ac:dyDescent="0.2">
      <c r="C1726" s="17"/>
    </row>
    <row r="1727" spans="3:3" x14ac:dyDescent="0.2">
      <c r="C1727" s="17"/>
    </row>
    <row r="1728" spans="3:3" x14ac:dyDescent="0.2">
      <c r="C1728" s="17"/>
    </row>
    <row r="1729" spans="3:3" x14ac:dyDescent="0.2">
      <c r="C1729" s="17"/>
    </row>
    <row r="1730" spans="3:3" x14ac:dyDescent="0.2">
      <c r="C1730" s="17"/>
    </row>
    <row r="1731" spans="3:3" x14ac:dyDescent="0.2">
      <c r="C1731" s="17"/>
    </row>
    <row r="1732" spans="3:3" x14ac:dyDescent="0.2">
      <c r="C1732" s="17"/>
    </row>
    <row r="1733" spans="3:3" x14ac:dyDescent="0.2">
      <c r="C1733" s="17"/>
    </row>
    <row r="1734" spans="3:3" x14ac:dyDescent="0.2">
      <c r="C1734" s="17"/>
    </row>
    <row r="1735" spans="3:3" x14ac:dyDescent="0.2">
      <c r="C1735" s="17"/>
    </row>
    <row r="1736" spans="3:3" x14ac:dyDescent="0.2">
      <c r="C1736" s="17"/>
    </row>
    <row r="1737" spans="3:3" x14ac:dyDescent="0.2">
      <c r="C1737" s="17"/>
    </row>
    <row r="1738" spans="3:3" x14ac:dyDescent="0.2">
      <c r="C1738" s="17"/>
    </row>
    <row r="1739" spans="3:3" x14ac:dyDescent="0.2">
      <c r="C1739" s="17"/>
    </row>
    <row r="1740" spans="3:3" x14ac:dyDescent="0.2">
      <c r="C1740" s="17"/>
    </row>
    <row r="1741" spans="3:3" x14ac:dyDescent="0.2">
      <c r="C1741" s="17"/>
    </row>
    <row r="1742" spans="3:3" x14ac:dyDescent="0.2">
      <c r="C1742" s="17"/>
    </row>
    <row r="1743" spans="3:3" x14ac:dyDescent="0.2">
      <c r="C1743" s="17"/>
    </row>
    <row r="1744" spans="3:3" x14ac:dyDescent="0.2">
      <c r="C1744" s="17"/>
    </row>
    <row r="1745" spans="3:3" x14ac:dyDescent="0.2">
      <c r="C1745" s="17"/>
    </row>
    <row r="1746" spans="3:3" x14ac:dyDescent="0.2">
      <c r="C1746" s="17"/>
    </row>
    <row r="1747" spans="3:3" x14ac:dyDescent="0.2">
      <c r="C1747" s="17"/>
    </row>
    <row r="1748" spans="3:3" x14ac:dyDescent="0.2">
      <c r="C1748" s="17"/>
    </row>
    <row r="1749" spans="3:3" x14ac:dyDescent="0.2">
      <c r="C1749" s="17"/>
    </row>
    <row r="1750" spans="3:3" x14ac:dyDescent="0.2">
      <c r="C1750" s="17"/>
    </row>
    <row r="1751" spans="3:3" x14ac:dyDescent="0.2">
      <c r="C1751" s="17"/>
    </row>
    <row r="1752" spans="3:3" x14ac:dyDescent="0.2">
      <c r="C1752" s="17"/>
    </row>
    <row r="1753" spans="3:3" x14ac:dyDescent="0.2">
      <c r="C1753" s="17"/>
    </row>
    <row r="1754" spans="3:3" x14ac:dyDescent="0.2">
      <c r="C1754" s="17"/>
    </row>
    <row r="1755" spans="3:3" x14ac:dyDescent="0.2">
      <c r="C1755" s="17"/>
    </row>
    <row r="1756" spans="3:3" x14ac:dyDescent="0.2">
      <c r="C1756" s="17"/>
    </row>
    <row r="1757" spans="3:3" x14ac:dyDescent="0.2">
      <c r="C1757" s="17"/>
    </row>
    <row r="1758" spans="3:3" x14ac:dyDescent="0.2">
      <c r="C1758" s="17"/>
    </row>
    <row r="1759" spans="3:3" x14ac:dyDescent="0.2">
      <c r="C1759" s="17"/>
    </row>
    <row r="1760" spans="3:3" x14ac:dyDescent="0.2">
      <c r="C1760" s="17"/>
    </row>
    <row r="1761" spans="3:3" x14ac:dyDescent="0.2">
      <c r="C1761" s="17"/>
    </row>
    <row r="1762" spans="3:3" x14ac:dyDescent="0.2">
      <c r="C1762" s="17"/>
    </row>
    <row r="1763" spans="3:3" x14ac:dyDescent="0.2">
      <c r="C1763" s="17"/>
    </row>
    <row r="1764" spans="3:3" x14ac:dyDescent="0.2">
      <c r="C1764" s="17"/>
    </row>
    <row r="1765" spans="3:3" x14ac:dyDescent="0.2">
      <c r="C1765" s="17"/>
    </row>
    <row r="1766" spans="3:3" x14ac:dyDescent="0.2">
      <c r="C1766" s="17"/>
    </row>
    <row r="1767" spans="3:3" x14ac:dyDescent="0.2">
      <c r="C1767" s="17"/>
    </row>
    <row r="1768" spans="3:3" x14ac:dyDescent="0.2">
      <c r="C1768" s="17"/>
    </row>
    <row r="1769" spans="3:3" x14ac:dyDescent="0.2">
      <c r="C1769" s="17"/>
    </row>
    <row r="1770" spans="3:3" x14ac:dyDescent="0.2">
      <c r="C1770" s="17"/>
    </row>
    <row r="1771" spans="3:3" x14ac:dyDescent="0.2">
      <c r="C1771" s="17"/>
    </row>
    <row r="1772" spans="3:3" x14ac:dyDescent="0.2">
      <c r="C1772" s="17"/>
    </row>
    <row r="1773" spans="3:3" x14ac:dyDescent="0.2">
      <c r="C1773" s="17"/>
    </row>
    <row r="1774" spans="3:3" x14ac:dyDescent="0.2">
      <c r="C1774" s="17"/>
    </row>
    <row r="1775" spans="3:3" x14ac:dyDescent="0.2">
      <c r="C1775" s="17"/>
    </row>
    <row r="1776" spans="3:3" x14ac:dyDescent="0.2">
      <c r="C1776" s="17"/>
    </row>
    <row r="1777" spans="3:3" x14ac:dyDescent="0.2">
      <c r="C1777" s="17"/>
    </row>
    <row r="1778" spans="3:3" x14ac:dyDescent="0.2">
      <c r="C1778" s="17"/>
    </row>
    <row r="1779" spans="3:3" x14ac:dyDescent="0.2">
      <c r="C1779" s="17"/>
    </row>
    <row r="1780" spans="3:3" x14ac:dyDescent="0.2">
      <c r="C1780" s="17"/>
    </row>
    <row r="1781" spans="3:3" x14ac:dyDescent="0.2">
      <c r="C1781" s="17"/>
    </row>
    <row r="1782" spans="3:3" x14ac:dyDescent="0.2">
      <c r="C1782" s="17"/>
    </row>
    <row r="1783" spans="3:3" x14ac:dyDescent="0.2">
      <c r="C1783" s="17"/>
    </row>
    <row r="1784" spans="3:3" x14ac:dyDescent="0.2">
      <c r="C1784" s="17"/>
    </row>
    <row r="1785" spans="3:3" x14ac:dyDescent="0.2">
      <c r="C1785" s="17"/>
    </row>
    <row r="1786" spans="3:3" x14ac:dyDescent="0.2">
      <c r="C1786" s="17"/>
    </row>
    <row r="1787" spans="3:3" x14ac:dyDescent="0.2">
      <c r="C1787" s="17"/>
    </row>
    <row r="1788" spans="3:3" x14ac:dyDescent="0.2">
      <c r="C1788" s="17"/>
    </row>
    <row r="1789" spans="3:3" x14ac:dyDescent="0.2">
      <c r="C1789" s="17"/>
    </row>
    <row r="1790" spans="3:3" x14ac:dyDescent="0.2">
      <c r="C1790" s="17"/>
    </row>
    <row r="1791" spans="3:3" x14ac:dyDescent="0.2">
      <c r="C1791" s="17"/>
    </row>
    <row r="1792" spans="3:3" x14ac:dyDescent="0.2">
      <c r="C1792" s="17"/>
    </row>
    <row r="1793" spans="3:3" x14ac:dyDescent="0.2">
      <c r="C1793" s="17"/>
    </row>
    <row r="1794" spans="3:3" x14ac:dyDescent="0.2">
      <c r="C1794" s="17"/>
    </row>
    <row r="1795" spans="3:3" x14ac:dyDescent="0.2">
      <c r="C1795" s="17"/>
    </row>
    <row r="1796" spans="3:3" x14ac:dyDescent="0.2">
      <c r="C1796" s="17"/>
    </row>
    <row r="1797" spans="3:3" x14ac:dyDescent="0.2">
      <c r="C1797" s="17"/>
    </row>
    <row r="1798" spans="3:3" x14ac:dyDescent="0.2">
      <c r="C1798" s="17"/>
    </row>
    <row r="1799" spans="3:3" x14ac:dyDescent="0.2">
      <c r="C1799" s="17"/>
    </row>
    <row r="1800" spans="3:3" x14ac:dyDescent="0.2">
      <c r="C1800" s="17"/>
    </row>
    <row r="1801" spans="3:3" x14ac:dyDescent="0.2">
      <c r="C1801" s="17"/>
    </row>
    <row r="1802" spans="3:3" x14ac:dyDescent="0.2">
      <c r="C1802" s="17"/>
    </row>
    <row r="1803" spans="3:3" x14ac:dyDescent="0.2">
      <c r="C1803" s="17"/>
    </row>
    <row r="1804" spans="3:3" x14ac:dyDescent="0.2">
      <c r="C1804" s="17"/>
    </row>
    <row r="1805" spans="3:3" x14ac:dyDescent="0.2">
      <c r="C1805" s="17"/>
    </row>
    <row r="1806" spans="3:3" x14ac:dyDescent="0.2">
      <c r="C1806" s="17"/>
    </row>
    <row r="1807" spans="3:3" x14ac:dyDescent="0.2">
      <c r="C1807" s="17"/>
    </row>
    <row r="1808" spans="3:3" x14ac:dyDescent="0.2">
      <c r="C1808" s="17"/>
    </row>
    <row r="1809" spans="3:3" x14ac:dyDescent="0.2">
      <c r="C1809" s="17"/>
    </row>
    <row r="1810" spans="3:3" x14ac:dyDescent="0.2">
      <c r="C1810" s="17"/>
    </row>
    <row r="1811" spans="3:3" x14ac:dyDescent="0.2">
      <c r="C1811" s="17"/>
    </row>
    <row r="1812" spans="3:3" x14ac:dyDescent="0.2">
      <c r="C1812" s="17"/>
    </row>
    <row r="1813" spans="3:3" x14ac:dyDescent="0.2">
      <c r="C1813" s="17"/>
    </row>
    <row r="1814" spans="3:3" x14ac:dyDescent="0.2">
      <c r="C1814" s="17"/>
    </row>
    <row r="1815" spans="3:3" x14ac:dyDescent="0.2">
      <c r="C1815" s="17"/>
    </row>
    <row r="1816" spans="3:3" x14ac:dyDescent="0.2">
      <c r="C1816" s="17"/>
    </row>
    <row r="1817" spans="3:3" x14ac:dyDescent="0.2">
      <c r="C1817" s="17"/>
    </row>
    <row r="1818" spans="3:3" x14ac:dyDescent="0.2">
      <c r="C1818" s="17"/>
    </row>
    <row r="1819" spans="3:3" x14ac:dyDescent="0.2">
      <c r="C1819" s="17"/>
    </row>
    <row r="1820" spans="3:3" x14ac:dyDescent="0.2">
      <c r="C1820" s="17"/>
    </row>
    <row r="1821" spans="3:3" x14ac:dyDescent="0.2">
      <c r="C1821" s="17"/>
    </row>
    <row r="1822" spans="3:3" x14ac:dyDescent="0.2">
      <c r="C1822" s="17"/>
    </row>
    <row r="1823" spans="3:3" x14ac:dyDescent="0.2">
      <c r="C1823" s="17"/>
    </row>
    <row r="1824" spans="3:3" x14ac:dyDescent="0.2">
      <c r="C1824" s="17"/>
    </row>
    <row r="1825" spans="3:3" x14ac:dyDescent="0.2">
      <c r="C1825" s="17"/>
    </row>
    <row r="1826" spans="3:3" x14ac:dyDescent="0.2">
      <c r="C1826" s="17"/>
    </row>
    <row r="1827" spans="3:3" x14ac:dyDescent="0.2">
      <c r="C1827" s="17"/>
    </row>
    <row r="1828" spans="3:3" x14ac:dyDescent="0.2">
      <c r="C1828" s="17"/>
    </row>
    <row r="1829" spans="3:3" x14ac:dyDescent="0.2">
      <c r="C1829" s="17"/>
    </row>
    <row r="1830" spans="3:3" x14ac:dyDescent="0.2">
      <c r="C1830" s="17"/>
    </row>
    <row r="1831" spans="3:3" x14ac:dyDescent="0.2">
      <c r="C1831" s="17"/>
    </row>
    <row r="1832" spans="3:3" x14ac:dyDescent="0.2">
      <c r="C1832" s="17"/>
    </row>
    <row r="1833" spans="3:3" x14ac:dyDescent="0.2">
      <c r="C1833" s="17"/>
    </row>
    <row r="1834" spans="3:3" x14ac:dyDescent="0.2">
      <c r="C1834" s="17"/>
    </row>
    <row r="1835" spans="3:3" x14ac:dyDescent="0.2">
      <c r="C1835" s="17"/>
    </row>
    <row r="1836" spans="3:3" x14ac:dyDescent="0.2">
      <c r="C1836" s="17"/>
    </row>
    <row r="1837" spans="3:3" x14ac:dyDescent="0.2">
      <c r="C1837" s="17"/>
    </row>
    <row r="1838" spans="3:3" x14ac:dyDescent="0.2">
      <c r="C1838" s="17"/>
    </row>
    <row r="1839" spans="3:3" x14ac:dyDescent="0.2">
      <c r="C1839" s="17"/>
    </row>
    <row r="1840" spans="3:3" x14ac:dyDescent="0.2">
      <c r="C1840" s="17"/>
    </row>
    <row r="1841" spans="3:3" x14ac:dyDescent="0.2">
      <c r="C1841" s="17"/>
    </row>
    <row r="1842" spans="3:3" x14ac:dyDescent="0.2">
      <c r="C1842" s="17"/>
    </row>
    <row r="1843" spans="3:3" x14ac:dyDescent="0.2">
      <c r="C1843" s="17"/>
    </row>
    <row r="1844" spans="3:3" x14ac:dyDescent="0.2">
      <c r="C1844" s="17"/>
    </row>
    <row r="1845" spans="3:3" x14ac:dyDescent="0.2">
      <c r="C1845" s="17"/>
    </row>
    <row r="1846" spans="3:3" x14ac:dyDescent="0.2">
      <c r="C1846" s="17"/>
    </row>
    <row r="1847" spans="3:3" x14ac:dyDescent="0.2">
      <c r="C1847" s="17"/>
    </row>
    <row r="1848" spans="3:3" x14ac:dyDescent="0.2">
      <c r="C1848" s="17"/>
    </row>
    <row r="1849" spans="3:3" x14ac:dyDescent="0.2">
      <c r="C1849" s="17"/>
    </row>
    <row r="1850" spans="3:3" x14ac:dyDescent="0.2">
      <c r="C1850" s="17"/>
    </row>
    <row r="1851" spans="3:3" x14ac:dyDescent="0.2">
      <c r="C1851" s="17"/>
    </row>
    <row r="1852" spans="3:3" x14ac:dyDescent="0.2">
      <c r="C1852" s="17"/>
    </row>
    <row r="1853" spans="3:3" x14ac:dyDescent="0.2">
      <c r="C1853" s="17"/>
    </row>
    <row r="1854" spans="3:3" x14ac:dyDescent="0.2">
      <c r="C1854" s="17"/>
    </row>
    <row r="1855" spans="3:3" x14ac:dyDescent="0.2">
      <c r="C1855" s="17"/>
    </row>
    <row r="1856" spans="3:3" x14ac:dyDescent="0.2">
      <c r="C1856" s="17"/>
    </row>
    <row r="1857" spans="3:3" x14ac:dyDescent="0.2">
      <c r="C1857" s="17"/>
    </row>
    <row r="1858" spans="3:3" x14ac:dyDescent="0.2">
      <c r="C1858" s="17"/>
    </row>
    <row r="1859" spans="3:3" x14ac:dyDescent="0.2">
      <c r="C1859" s="17"/>
    </row>
    <row r="1860" spans="3:3" x14ac:dyDescent="0.2">
      <c r="C1860" s="17"/>
    </row>
    <row r="1861" spans="3:3" x14ac:dyDescent="0.2">
      <c r="C1861" s="17"/>
    </row>
    <row r="1862" spans="3:3" x14ac:dyDescent="0.2">
      <c r="C1862" s="17"/>
    </row>
    <row r="1863" spans="3:3" x14ac:dyDescent="0.2">
      <c r="C1863" s="17"/>
    </row>
    <row r="1864" spans="3:3" x14ac:dyDescent="0.2">
      <c r="C1864" s="17"/>
    </row>
    <row r="1865" spans="3:3" x14ac:dyDescent="0.2">
      <c r="C1865" s="17"/>
    </row>
    <row r="1866" spans="3:3" x14ac:dyDescent="0.2">
      <c r="C1866" s="17"/>
    </row>
    <row r="1867" spans="3:3" x14ac:dyDescent="0.2">
      <c r="C1867" s="17"/>
    </row>
    <row r="1868" spans="3:3" x14ac:dyDescent="0.2">
      <c r="C1868" s="17"/>
    </row>
    <row r="1869" spans="3:3" x14ac:dyDescent="0.2">
      <c r="C1869" s="17"/>
    </row>
    <row r="1870" spans="3:3" x14ac:dyDescent="0.2">
      <c r="C1870" s="17"/>
    </row>
    <row r="1871" spans="3:3" x14ac:dyDescent="0.2">
      <c r="C1871" s="17"/>
    </row>
    <row r="1872" spans="3:3" x14ac:dyDescent="0.2">
      <c r="C1872" s="17"/>
    </row>
    <row r="1873" spans="3:3" x14ac:dyDescent="0.2">
      <c r="C1873" s="17"/>
    </row>
    <row r="1874" spans="3:3" x14ac:dyDescent="0.2">
      <c r="C1874" s="17"/>
    </row>
    <row r="1875" spans="3:3" x14ac:dyDescent="0.2">
      <c r="C1875" s="17"/>
    </row>
    <row r="1876" spans="3:3" x14ac:dyDescent="0.2">
      <c r="C1876" s="17"/>
    </row>
    <row r="1877" spans="3:3" x14ac:dyDescent="0.2">
      <c r="C1877" s="17"/>
    </row>
    <row r="1878" spans="3:3" x14ac:dyDescent="0.2">
      <c r="C1878" s="17"/>
    </row>
    <row r="1879" spans="3:3" x14ac:dyDescent="0.2">
      <c r="C1879" s="17"/>
    </row>
    <row r="1880" spans="3:3" x14ac:dyDescent="0.2">
      <c r="C1880" s="17"/>
    </row>
    <row r="1881" spans="3:3" x14ac:dyDescent="0.2">
      <c r="C1881" s="17"/>
    </row>
    <row r="1882" spans="3:3" x14ac:dyDescent="0.2">
      <c r="C1882" s="17"/>
    </row>
    <row r="1883" spans="3:3" x14ac:dyDescent="0.2">
      <c r="C1883" s="17"/>
    </row>
    <row r="1884" spans="3:3" x14ac:dyDescent="0.2">
      <c r="C1884" s="17"/>
    </row>
    <row r="1885" spans="3:3" x14ac:dyDescent="0.2">
      <c r="C1885" s="17"/>
    </row>
    <row r="1886" spans="3:3" x14ac:dyDescent="0.2">
      <c r="C1886" s="17"/>
    </row>
    <row r="1887" spans="3:3" x14ac:dyDescent="0.2">
      <c r="C1887" s="17"/>
    </row>
    <row r="1888" spans="3:3" x14ac:dyDescent="0.2">
      <c r="C1888" s="17"/>
    </row>
    <row r="1889" spans="3:3" x14ac:dyDescent="0.2">
      <c r="C1889" s="17"/>
    </row>
    <row r="1890" spans="3:3" x14ac:dyDescent="0.2">
      <c r="C1890" s="17"/>
    </row>
    <row r="1891" spans="3:3" x14ac:dyDescent="0.2">
      <c r="C1891" s="17"/>
    </row>
    <row r="1892" spans="3:3" x14ac:dyDescent="0.2">
      <c r="C1892" s="17"/>
    </row>
    <row r="1893" spans="3:3" x14ac:dyDescent="0.2">
      <c r="C1893" s="17"/>
    </row>
    <row r="1894" spans="3:3" x14ac:dyDescent="0.2">
      <c r="C1894" s="17"/>
    </row>
    <row r="1895" spans="3:3" x14ac:dyDescent="0.2">
      <c r="C1895" s="17"/>
    </row>
    <row r="1896" spans="3:3" x14ac:dyDescent="0.2">
      <c r="C1896" s="17"/>
    </row>
    <row r="1897" spans="3:3" x14ac:dyDescent="0.2">
      <c r="C1897" s="17"/>
    </row>
    <row r="1898" spans="3:3" x14ac:dyDescent="0.2">
      <c r="C1898" s="17"/>
    </row>
    <row r="1899" spans="3:3" x14ac:dyDescent="0.2">
      <c r="C1899" s="17"/>
    </row>
    <row r="1900" spans="3:3" x14ac:dyDescent="0.2">
      <c r="C1900" s="17"/>
    </row>
    <row r="1901" spans="3:3" x14ac:dyDescent="0.2">
      <c r="C1901" s="17"/>
    </row>
    <row r="1902" spans="3:3" x14ac:dyDescent="0.2">
      <c r="C1902" s="17"/>
    </row>
    <row r="1903" spans="3:3" x14ac:dyDescent="0.2">
      <c r="C1903" s="17"/>
    </row>
    <row r="1904" spans="3:3" x14ac:dyDescent="0.2">
      <c r="C1904" s="17"/>
    </row>
    <row r="1905" spans="3:3" x14ac:dyDescent="0.2">
      <c r="C1905" s="17"/>
    </row>
    <row r="1906" spans="3:3" x14ac:dyDescent="0.2">
      <c r="C1906" s="17"/>
    </row>
    <row r="1907" spans="3:3" x14ac:dyDescent="0.2">
      <c r="C1907" s="17"/>
    </row>
    <row r="1908" spans="3:3" x14ac:dyDescent="0.2">
      <c r="C1908" s="17"/>
    </row>
    <row r="1909" spans="3:3" x14ac:dyDescent="0.2">
      <c r="C1909" s="17"/>
    </row>
    <row r="1910" spans="3:3" x14ac:dyDescent="0.2">
      <c r="C1910" s="17"/>
    </row>
    <row r="1911" spans="3:3" x14ac:dyDescent="0.2">
      <c r="C1911" s="17"/>
    </row>
    <row r="1912" spans="3:3" x14ac:dyDescent="0.2">
      <c r="C1912" s="17"/>
    </row>
    <row r="1913" spans="3:3" x14ac:dyDescent="0.2">
      <c r="C1913" s="17"/>
    </row>
    <row r="1914" spans="3:3" x14ac:dyDescent="0.2">
      <c r="C1914" s="17"/>
    </row>
    <row r="1915" spans="3:3" x14ac:dyDescent="0.2">
      <c r="C1915" s="17"/>
    </row>
    <row r="1916" spans="3:3" x14ac:dyDescent="0.2">
      <c r="C1916" s="17"/>
    </row>
    <row r="1917" spans="3:3" x14ac:dyDescent="0.2">
      <c r="C1917" s="17"/>
    </row>
    <row r="1918" spans="3:3" x14ac:dyDescent="0.2">
      <c r="C1918" s="17"/>
    </row>
    <row r="1919" spans="3:3" x14ac:dyDescent="0.2">
      <c r="C1919" s="17"/>
    </row>
    <row r="1920" spans="3:3" x14ac:dyDescent="0.2">
      <c r="C1920" s="17"/>
    </row>
    <row r="1921" spans="3:3" x14ac:dyDescent="0.2">
      <c r="C1921" s="17"/>
    </row>
    <row r="1922" spans="3:3" x14ac:dyDescent="0.2">
      <c r="C1922" s="17"/>
    </row>
    <row r="1923" spans="3:3" x14ac:dyDescent="0.2">
      <c r="C1923" s="17"/>
    </row>
    <row r="1924" spans="3:3" x14ac:dyDescent="0.2">
      <c r="C1924" s="17"/>
    </row>
    <row r="1925" spans="3:3" x14ac:dyDescent="0.2">
      <c r="C1925" s="17"/>
    </row>
    <row r="1926" spans="3:3" x14ac:dyDescent="0.2">
      <c r="C1926" s="17"/>
    </row>
    <row r="1927" spans="3:3" x14ac:dyDescent="0.2">
      <c r="C1927" s="17"/>
    </row>
    <row r="1928" spans="3:3" x14ac:dyDescent="0.2">
      <c r="C1928" s="17"/>
    </row>
    <row r="1929" spans="3:3" x14ac:dyDescent="0.2">
      <c r="C1929" s="17"/>
    </row>
    <row r="1930" spans="3:3" x14ac:dyDescent="0.2">
      <c r="C1930" s="17"/>
    </row>
    <row r="1931" spans="3:3" x14ac:dyDescent="0.2">
      <c r="C1931" s="17"/>
    </row>
    <row r="1932" spans="3:3" x14ac:dyDescent="0.2">
      <c r="C1932" s="17"/>
    </row>
    <row r="1933" spans="3:3" x14ac:dyDescent="0.2">
      <c r="C1933" s="17"/>
    </row>
    <row r="1934" spans="3:3" x14ac:dyDescent="0.2">
      <c r="C1934" s="17"/>
    </row>
    <row r="1935" spans="3:3" x14ac:dyDescent="0.2">
      <c r="C1935" s="17"/>
    </row>
    <row r="1936" spans="3:3" x14ac:dyDescent="0.2">
      <c r="C1936" s="17"/>
    </row>
    <row r="1937" spans="3:3" x14ac:dyDescent="0.2">
      <c r="C1937" s="17"/>
    </row>
    <row r="1938" spans="3:3" x14ac:dyDescent="0.2">
      <c r="C1938" s="17"/>
    </row>
    <row r="1939" spans="3:3" x14ac:dyDescent="0.2">
      <c r="C1939" s="17"/>
    </row>
    <row r="1940" spans="3:3" x14ac:dyDescent="0.2">
      <c r="C1940" s="17"/>
    </row>
    <row r="1941" spans="3:3" x14ac:dyDescent="0.2">
      <c r="C1941" s="17"/>
    </row>
    <row r="1942" spans="3:3" x14ac:dyDescent="0.2">
      <c r="C1942" s="17"/>
    </row>
    <row r="1943" spans="3:3" x14ac:dyDescent="0.2">
      <c r="C1943" s="17"/>
    </row>
    <row r="1944" spans="3:3" x14ac:dyDescent="0.2">
      <c r="C1944" s="17"/>
    </row>
    <row r="1945" spans="3:3" x14ac:dyDescent="0.2">
      <c r="C1945" s="17"/>
    </row>
    <row r="1946" spans="3:3" x14ac:dyDescent="0.2">
      <c r="C1946" s="17"/>
    </row>
    <row r="1947" spans="3:3" x14ac:dyDescent="0.2">
      <c r="C1947" s="17"/>
    </row>
    <row r="1948" spans="3:3" x14ac:dyDescent="0.2">
      <c r="C1948" s="17"/>
    </row>
    <row r="1949" spans="3:3" x14ac:dyDescent="0.2">
      <c r="C1949" s="17"/>
    </row>
    <row r="1950" spans="3:3" x14ac:dyDescent="0.2">
      <c r="C1950" s="17"/>
    </row>
    <row r="1951" spans="3:3" x14ac:dyDescent="0.2">
      <c r="C1951" s="17"/>
    </row>
    <row r="1952" spans="3:3" x14ac:dyDescent="0.2">
      <c r="C1952" s="17"/>
    </row>
    <row r="1953" spans="3:3" x14ac:dyDescent="0.2">
      <c r="C1953" s="17"/>
    </row>
    <row r="1954" spans="3:3" x14ac:dyDescent="0.2">
      <c r="C1954" s="17"/>
    </row>
    <row r="1955" spans="3:3" x14ac:dyDescent="0.2">
      <c r="C1955" s="17"/>
    </row>
    <row r="1956" spans="3:3" x14ac:dyDescent="0.2">
      <c r="C1956" s="17"/>
    </row>
    <row r="1957" spans="3:3" x14ac:dyDescent="0.2">
      <c r="C1957" s="17"/>
    </row>
    <row r="1958" spans="3:3" x14ac:dyDescent="0.2">
      <c r="C1958" s="17"/>
    </row>
    <row r="1959" spans="3:3" x14ac:dyDescent="0.2">
      <c r="C1959" s="17"/>
    </row>
    <row r="1960" spans="3:3" x14ac:dyDescent="0.2">
      <c r="C1960" s="17"/>
    </row>
    <row r="1961" spans="3:3" x14ac:dyDescent="0.2">
      <c r="C1961" s="17"/>
    </row>
    <row r="1962" spans="3:3" x14ac:dyDescent="0.2">
      <c r="C1962" s="17"/>
    </row>
    <row r="1963" spans="3:3" x14ac:dyDescent="0.2">
      <c r="C1963" s="17"/>
    </row>
    <row r="1964" spans="3:3" x14ac:dyDescent="0.2">
      <c r="C1964" s="17"/>
    </row>
    <row r="1965" spans="3:3" x14ac:dyDescent="0.2">
      <c r="C1965" s="17"/>
    </row>
    <row r="1966" spans="3:3" x14ac:dyDescent="0.2">
      <c r="C1966" s="17"/>
    </row>
    <row r="1967" spans="3:3" x14ac:dyDescent="0.2">
      <c r="C1967" s="17"/>
    </row>
    <row r="1968" spans="3:3" x14ac:dyDescent="0.2">
      <c r="C1968" s="17"/>
    </row>
    <row r="1969" spans="3:3" x14ac:dyDescent="0.2">
      <c r="C1969" s="17"/>
    </row>
    <row r="1970" spans="3:3" x14ac:dyDescent="0.2">
      <c r="C1970" s="17"/>
    </row>
    <row r="1971" spans="3:3" x14ac:dyDescent="0.2">
      <c r="C1971" s="17"/>
    </row>
    <row r="1972" spans="3:3" x14ac:dyDescent="0.2">
      <c r="C1972" s="17"/>
    </row>
    <row r="1973" spans="3:3" x14ac:dyDescent="0.2">
      <c r="C1973" s="17"/>
    </row>
    <row r="1974" spans="3:3" x14ac:dyDescent="0.2">
      <c r="C1974" s="17"/>
    </row>
    <row r="1975" spans="3:3" x14ac:dyDescent="0.2">
      <c r="C1975" s="17"/>
    </row>
    <row r="1976" spans="3:3" x14ac:dyDescent="0.2">
      <c r="C1976" s="17"/>
    </row>
    <row r="1977" spans="3:3" x14ac:dyDescent="0.2">
      <c r="C1977" s="17"/>
    </row>
    <row r="1978" spans="3:3" x14ac:dyDescent="0.2">
      <c r="C1978" s="17"/>
    </row>
    <row r="1979" spans="3:3" x14ac:dyDescent="0.2">
      <c r="C1979" s="17"/>
    </row>
    <row r="1980" spans="3:3" x14ac:dyDescent="0.2">
      <c r="C1980" s="17"/>
    </row>
    <row r="1981" spans="3:3" x14ac:dyDescent="0.2">
      <c r="C1981" s="17"/>
    </row>
    <row r="1982" spans="3:3" x14ac:dyDescent="0.2">
      <c r="C1982" s="17"/>
    </row>
    <row r="1983" spans="3:3" x14ac:dyDescent="0.2">
      <c r="C1983" s="17"/>
    </row>
    <row r="1984" spans="3:3" x14ac:dyDescent="0.2">
      <c r="C1984" s="17"/>
    </row>
    <row r="1985" spans="3:3" x14ac:dyDescent="0.2">
      <c r="C1985" s="17"/>
    </row>
    <row r="1986" spans="3:3" x14ac:dyDescent="0.2">
      <c r="C1986" s="17"/>
    </row>
    <row r="1987" spans="3:3" x14ac:dyDescent="0.2">
      <c r="C1987" s="17"/>
    </row>
    <row r="1988" spans="3:3" x14ac:dyDescent="0.2">
      <c r="C1988" s="17"/>
    </row>
    <row r="1989" spans="3:3" x14ac:dyDescent="0.2">
      <c r="C1989" s="17"/>
    </row>
    <row r="1990" spans="3:3" x14ac:dyDescent="0.2">
      <c r="C1990" s="17"/>
    </row>
    <row r="1991" spans="3:3" x14ac:dyDescent="0.2">
      <c r="C1991" s="17"/>
    </row>
    <row r="1992" spans="3:3" x14ac:dyDescent="0.2">
      <c r="C1992" s="17"/>
    </row>
    <row r="1993" spans="3:3" x14ac:dyDescent="0.2">
      <c r="C1993" s="17"/>
    </row>
    <row r="1994" spans="3:3" x14ac:dyDescent="0.2">
      <c r="C1994" s="17"/>
    </row>
    <row r="1995" spans="3:3" x14ac:dyDescent="0.2">
      <c r="C1995" s="17"/>
    </row>
    <row r="1996" spans="3:3" x14ac:dyDescent="0.2">
      <c r="C1996" s="17"/>
    </row>
    <row r="1997" spans="3:3" x14ac:dyDescent="0.2">
      <c r="C1997" s="17"/>
    </row>
    <row r="1998" spans="3:3" x14ac:dyDescent="0.2">
      <c r="C1998" s="17"/>
    </row>
    <row r="1999" spans="3:3" x14ac:dyDescent="0.2">
      <c r="C1999" s="17"/>
    </row>
    <row r="2000" spans="3:3" x14ac:dyDescent="0.2">
      <c r="C2000" s="17"/>
    </row>
    <row r="2001" spans="3:3" x14ac:dyDescent="0.2">
      <c r="C2001" s="17"/>
    </row>
    <row r="2002" spans="3:3" x14ac:dyDescent="0.2">
      <c r="C2002" s="17"/>
    </row>
    <row r="2003" spans="3:3" x14ac:dyDescent="0.2">
      <c r="C2003" s="17"/>
    </row>
    <row r="2004" spans="3:3" x14ac:dyDescent="0.2">
      <c r="C2004" s="17"/>
    </row>
    <row r="2005" spans="3:3" x14ac:dyDescent="0.2">
      <c r="C2005" s="17"/>
    </row>
    <row r="2006" spans="3:3" x14ac:dyDescent="0.2">
      <c r="C2006" s="17"/>
    </row>
    <row r="2007" spans="3:3" x14ac:dyDescent="0.2">
      <c r="C2007" s="17"/>
    </row>
    <row r="2008" spans="3:3" x14ac:dyDescent="0.2">
      <c r="C2008" s="17"/>
    </row>
    <row r="2009" spans="3:3" x14ac:dyDescent="0.2">
      <c r="C2009" s="17"/>
    </row>
    <row r="2010" spans="3:3" x14ac:dyDescent="0.2">
      <c r="C2010" s="17"/>
    </row>
    <row r="2011" spans="3:3" x14ac:dyDescent="0.2">
      <c r="C2011" s="17"/>
    </row>
    <row r="2012" spans="3:3" x14ac:dyDescent="0.2">
      <c r="C2012" s="17"/>
    </row>
    <row r="2013" spans="3:3" x14ac:dyDescent="0.2">
      <c r="C2013" s="17"/>
    </row>
    <row r="2014" spans="3:3" x14ac:dyDescent="0.2">
      <c r="C2014" s="17"/>
    </row>
    <row r="2015" spans="3:3" x14ac:dyDescent="0.2">
      <c r="C2015" s="17"/>
    </row>
    <row r="2016" spans="3:3" x14ac:dyDescent="0.2">
      <c r="C2016" s="17"/>
    </row>
    <row r="2017" spans="3:3" x14ac:dyDescent="0.2">
      <c r="C2017" s="17"/>
    </row>
    <row r="2018" spans="3:3" x14ac:dyDescent="0.2">
      <c r="C2018" s="17"/>
    </row>
    <row r="2019" spans="3:3" x14ac:dyDescent="0.2">
      <c r="C2019" s="17"/>
    </row>
    <row r="2020" spans="3:3" x14ac:dyDescent="0.2">
      <c r="C2020" s="17"/>
    </row>
    <row r="2021" spans="3:3" x14ac:dyDescent="0.2">
      <c r="C2021" s="17"/>
    </row>
    <row r="2022" spans="3:3" x14ac:dyDescent="0.2">
      <c r="C2022" s="17"/>
    </row>
    <row r="2023" spans="3:3" x14ac:dyDescent="0.2">
      <c r="C2023" s="17"/>
    </row>
    <row r="2024" spans="3:3" x14ac:dyDescent="0.2">
      <c r="C2024" s="17"/>
    </row>
    <row r="2025" spans="3:3" x14ac:dyDescent="0.2">
      <c r="C2025" s="17"/>
    </row>
    <row r="2026" spans="3:3" x14ac:dyDescent="0.2">
      <c r="C2026" s="17"/>
    </row>
    <row r="2027" spans="3:3" x14ac:dyDescent="0.2">
      <c r="C2027" s="17"/>
    </row>
    <row r="2028" spans="3:3" x14ac:dyDescent="0.2">
      <c r="C2028" s="17"/>
    </row>
    <row r="2029" spans="3:3" x14ac:dyDescent="0.2">
      <c r="C2029" s="17"/>
    </row>
    <row r="2030" spans="3:3" x14ac:dyDescent="0.2">
      <c r="C2030" s="17"/>
    </row>
    <row r="2031" spans="3:3" x14ac:dyDescent="0.2">
      <c r="C2031" s="17"/>
    </row>
    <row r="2032" spans="3:3" x14ac:dyDescent="0.2">
      <c r="C2032" s="17"/>
    </row>
    <row r="2033" spans="3:3" x14ac:dyDescent="0.2">
      <c r="C2033" s="17"/>
    </row>
    <row r="2034" spans="3:3" x14ac:dyDescent="0.2">
      <c r="C2034" s="17"/>
    </row>
    <row r="2035" spans="3:3" x14ac:dyDescent="0.2">
      <c r="C2035" s="17"/>
    </row>
    <row r="2036" spans="3:3" x14ac:dyDescent="0.2">
      <c r="C2036" s="17"/>
    </row>
    <row r="2037" spans="3:3" x14ac:dyDescent="0.2">
      <c r="C2037" s="17"/>
    </row>
    <row r="2038" spans="3:3" x14ac:dyDescent="0.2">
      <c r="C2038" s="17"/>
    </row>
    <row r="2039" spans="3:3" x14ac:dyDescent="0.2">
      <c r="C2039" s="17"/>
    </row>
    <row r="2040" spans="3:3" x14ac:dyDescent="0.2">
      <c r="C2040" s="17"/>
    </row>
    <row r="2041" spans="3:3" x14ac:dyDescent="0.2">
      <c r="C2041" s="17"/>
    </row>
    <row r="2042" spans="3:3" x14ac:dyDescent="0.2">
      <c r="C2042" s="17"/>
    </row>
    <row r="2043" spans="3:3" x14ac:dyDescent="0.2">
      <c r="C2043" s="17"/>
    </row>
    <row r="2044" spans="3:3" x14ac:dyDescent="0.2">
      <c r="C2044" s="17"/>
    </row>
    <row r="2045" spans="3:3" x14ac:dyDescent="0.2">
      <c r="C2045" s="17"/>
    </row>
    <row r="2046" spans="3:3" x14ac:dyDescent="0.2">
      <c r="C2046" s="17"/>
    </row>
    <row r="2047" spans="3:3" x14ac:dyDescent="0.2">
      <c r="C2047" s="17"/>
    </row>
    <row r="2048" spans="3:3" x14ac:dyDescent="0.2">
      <c r="C2048" s="17"/>
    </row>
    <row r="2049" spans="3:3" x14ac:dyDescent="0.2">
      <c r="C2049" s="17"/>
    </row>
    <row r="2050" spans="3:3" x14ac:dyDescent="0.2">
      <c r="C2050" s="17"/>
    </row>
    <row r="2051" spans="3:3" x14ac:dyDescent="0.2">
      <c r="C2051" s="17"/>
    </row>
    <row r="2052" spans="3:3" x14ac:dyDescent="0.2">
      <c r="C2052" s="17"/>
    </row>
    <row r="2053" spans="3:3" x14ac:dyDescent="0.2">
      <c r="C2053" s="17"/>
    </row>
    <row r="2054" spans="3:3" x14ac:dyDescent="0.2">
      <c r="C2054" s="17"/>
    </row>
    <row r="2055" spans="3:3" x14ac:dyDescent="0.2">
      <c r="C2055" s="17"/>
    </row>
    <row r="2056" spans="3:3" x14ac:dyDescent="0.2">
      <c r="C2056" s="17"/>
    </row>
    <row r="2057" spans="3:3" x14ac:dyDescent="0.2">
      <c r="C2057" s="17"/>
    </row>
    <row r="2058" spans="3:3" x14ac:dyDescent="0.2">
      <c r="C2058" s="17"/>
    </row>
    <row r="2059" spans="3:3" x14ac:dyDescent="0.2">
      <c r="C2059" s="17"/>
    </row>
    <row r="2060" spans="3:3" x14ac:dyDescent="0.2">
      <c r="C2060" s="17"/>
    </row>
    <row r="2061" spans="3:3" x14ac:dyDescent="0.2">
      <c r="C2061" s="17"/>
    </row>
    <row r="2062" spans="3:3" x14ac:dyDescent="0.2">
      <c r="C2062" s="17"/>
    </row>
    <row r="2063" spans="3:3" x14ac:dyDescent="0.2">
      <c r="C2063" s="17"/>
    </row>
    <row r="2064" spans="3:3" x14ac:dyDescent="0.2">
      <c r="C2064" s="17"/>
    </row>
    <row r="2065" spans="3:3" x14ac:dyDescent="0.2">
      <c r="C2065" s="17"/>
    </row>
    <row r="2066" spans="3:3" x14ac:dyDescent="0.2">
      <c r="C2066" s="17"/>
    </row>
    <row r="2067" spans="3:3" x14ac:dyDescent="0.2">
      <c r="C2067" s="17"/>
    </row>
    <row r="2068" spans="3:3" x14ac:dyDescent="0.2">
      <c r="C2068" s="17"/>
    </row>
    <row r="2069" spans="3:3" x14ac:dyDescent="0.2">
      <c r="C2069" s="17"/>
    </row>
    <row r="2070" spans="3:3" x14ac:dyDescent="0.2">
      <c r="C2070" s="17"/>
    </row>
    <row r="2071" spans="3:3" x14ac:dyDescent="0.2">
      <c r="C2071" s="17"/>
    </row>
    <row r="2072" spans="3:3" x14ac:dyDescent="0.2">
      <c r="C2072" s="17"/>
    </row>
    <row r="2073" spans="3:3" x14ac:dyDescent="0.2">
      <c r="C2073" s="17"/>
    </row>
    <row r="2074" spans="3:3" x14ac:dyDescent="0.2">
      <c r="C2074" s="17"/>
    </row>
    <row r="2075" spans="3:3" x14ac:dyDescent="0.2">
      <c r="C2075" s="17"/>
    </row>
    <row r="2076" spans="3:3" x14ac:dyDescent="0.2">
      <c r="C2076" s="17"/>
    </row>
    <row r="2077" spans="3:3" x14ac:dyDescent="0.2">
      <c r="C2077" s="17"/>
    </row>
    <row r="2078" spans="3:3" x14ac:dyDescent="0.2">
      <c r="C2078" s="17"/>
    </row>
    <row r="2079" spans="3:3" x14ac:dyDescent="0.2">
      <c r="C2079" s="17"/>
    </row>
    <row r="2080" spans="3:3" x14ac:dyDescent="0.2">
      <c r="C2080" s="17"/>
    </row>
    <row r="2081" spans="3:3" x14ac:dyDescent="0.2">
      <c r="C2081" s="17"/>
    </row>
    <row r="2082" spans="3:3" x14ac:dyDescent="0.2">
      <c r="C2082" s="17"/>
    </row>
    <row r="2083" spans="3:3" x14ac:dyDescent="0.2">
      <c r="C2083" s="17"/>
    </row>
    <row r="2084" spans="3:3" x14ac:dyDescent="0.2">
      <c r="C2084" s="17"/>
    </row>
    <row r="2085" spans="3:3" x14ac:dyDescent="0.2">
      <c r="C2085" s="17"/>
    </row>
    <row r="2086" spans="3:3" x14ac:dyDescent="0.2">
      <c r="C2086" s="17"/>
    </row>
    <row r="2087" spans="3:3" x14ac:dyDescent="0.2">
      <c r="C2087" s="17"/>
    </row>
    <row r="2088" spans="3:3" x14ac:dyDescent="0.2">
      <c r="C2088" s="17"/>
    </row>
    <row r="2089" spans="3:3" x14ac:dyDescent="0.2">
      <c r="C2089" s="17"/>
    </row>
    <row r="2090" spans="3:3" x14ac:dyDescent="0.2">
      <c r="C2090" s="17"/>
    </row>
    <row r="2091" spans="3:3" x14ac:dyDescent="0.2">
      <c r="C2091" s="17"/>
    </row>
    <row r="2092" spans="3:3" x14ac:dyDescent="0.2">
      <c r="C2092" s="17"/>
    </row>
    <row r="2093" spans="3:3" x14ac:dyDescent="0.2">
      <c r="C2093" s="17"/>
    </row>
    <row r="2094" spans="3:3" x14ac:dyDescent="0.2">
      <c r="C2094" s="17"/>
    </row>
    <row r="2095" spans="3:3" x14ac:dyDescent="0.2">
      <c r="C2095" s="17"/>
    </row>
    <row r="2096" spans="3:3" x14ac:dyDescent="0.2">
      <c r="C2096" s="17"/>
    </row>
    <row r="2097" spans="3:3" x14ac:dyDescent="0.2">
      <c r="C2097" s="17"/>
    </row>
    <row r="2098" spans="3:3" x14ac:dyDescent="0.2">
      <c r="C2098" s="17"/>
    </row>
    <row r="2099" spans="3:3" x14ac:dyDescent="0.2">
      <c r="C2099" s="17"/>
    </row>
    <row r="2100" spans="3:3" x14ac:dyDescent="0.2">
      <c r="C2100" s="17"/>
    </row>
    <row r="2101" spans="3:3" x14ac:dyDescent="0.2">
      <c r="C2101" s="17"/>
    </row>
    <row r="2102" spans="3:3" x14ac:dyDescent="0.2">
      <c r="C2102" s="17"/>
    </row>
    <row r="2103" spans="3:3" x14ac:dyDescent="0.2">
      <c r="C2103" s="17"/>
    </row>
    <row r="2104" spans="3:3" x14ac:dyDescent="0.2">
      <c r="C2104" s="17"/>
    </row>
    <row r="2105" spans="3:3" x14ac:dyDescent="0.2">
      <c r="C2105" s="17"/>
    </row>
    <row r="2106" spans="3:3" x14ac:dyDescent="0.2">
      <c r="C2106" s="17"/>
    </row>
    <row r="2107" spans="3:3" x14ac:dyDescent="0.2">
      <c r="C2107" s="17"/>
    </row>
    <row r="2108" spans="3:3" x14ac:dyDescent="0.2">
      <c r="C2108" s="17"/>
    </row>
    <row r="2109" spans="3:3" x14ac:dyDescent="0.2">
      <c r="C2109" s="17"/>
    </row>
    <row r="2110" spans="3:3" x14ac:dyDescent="0.2">
      <c r="C2110" s="17"/>
    </row>
    <row r="2111" spans="3:3" x14ac:dyDescent="0.2">
      <c r="C2111" s="17"/>
    </row>
    <row r="2112" spans="3:3" x14ac:dyDescent="0.2">
      <c r="C2112" s="17"/>
    </row>
    <row r="2113" spans="3:3" x14ac:dyDescent="0.2">
      <c r="C2113" s="17"/>
    </row>
    <row r="2114" spans="3:3" x14ac:dyDescent="0.2">
      <c r="C2114" s="17"/>
    </row>
    <row r="2115" spans="3:3" x14ac:dyDescent="0.2">
      <c r="C2115" s="17"/>
    </row>
    <row r="2116" spans="3:3" x14ac:dyDescent="0.2">
      <c r="C2116" s="17"/>
    </row>
    <row r="2117" spans="3:3" x14ac:dyDescent="0.2">
      <c r="C2117" s="17"/>
    </row>
    <row r="2118" spans="3:3" x14ac:dyDescent="0.2">
      <c r="C2118" s="17"/>
    </row>
    <row r="2119" spans="3:3" x14ac:dyDescent="0.2">
      <c r="C2119" s="17"/>
    </row>
    <row r="2120" spans="3:3" x14ac:dyDescent="0.2">
      <c r="C2120" s="17"/>
    </row>
    <row r="2121" spans="3:3" x14ac:dyDescent="0.2">
      <c r="C2121" s="17"/>
    </row>
    <row r="2122" spans="3:3" x14ac:dyDescent="0.2">
      <c r="C2122" s="17"/>
    </row>
    <row r="2123" spans="3:3" x14ac:dyDescent="0.2">
      <c r="C2123" s="17"/>
    </row>
    <row r="2124" spans="3:3" x14ac:dyDescent="0.2">
      <c r="C2124" s="17"/>
    </row>
    <row r="2125" spans="3:3" x14ac:dyDescent="0.2">
      <c r="C2125" s="17"/>
    </row>
    <row r="2126" spans="3:3" x14ac:dyDescent="0.2">
      <c r="C2126" s="17"/>
    </row>
    <row r="2127" spans="3:3" x14ac:dyDescent="0.2">
      <c r="C2127" s="17"/>
    </row>
    <row r="2128" spans="3:3" x14ac:dyDescent="0.2">
      <c r="C2128" s="17"/>
    </row>
    <row r="2129" spans="3:3" x14ac:dyDescent="0.2">
      <c r="C2129" s="17"/>
    </row>
    <row r="2130" spans="3:3" x14ac:dyDescent="0.2">
      <c r="C2130" s="17"/>
    </row>
    <row r="2131" spans="3:3" x14ac:dyDescent="0.2">
      <c r="C2131" s="17"/>
    </row>
    <row r="2132" spans="3:3" x14ac:dyDescent="0.2">
      <c r="C2132" s="17"/>
    </row>
    <row r="2133" spans="3:3" x14ac:dyDescent="0.2">
      <c r="C2133" s="17"/>
    </row>
    <row r="2134" spans="3:3" x14ac:dyDescent="0.2">
      <c r="C2134" s="17"/>
    </row>
    <row r="2135" spans="3:3" x14ac:dyDescent="0.2">
      <c r="C2135" s="17"/>
    </row>
    <row r="2136" spans="3:3" x14ac:dyDescent="0.2">
      <c r="C2136" s="17"/>
    </row>
    <row r="2137" spans="3:3" x14ac:dyDescent="0.2">
      <c r="C2137" s="17"/>
    </row>
    <row r="2138" spans="3:3" x14ac:dyDescent="0.2">
      <c r="C2138" s="17"/>
    </row>
    <row r="2139" spans="3:3" x14ac:dyDescent="0.2">
      <c r="C2139" s="17"/>
    </row>
    <row r="2140" spans="3:3" x14ac:dyDescent="0.2">
      <c r="C2140" s="17"/>
    </row>
    <row r="2141" spans="3:3" x14ac:dyDescent="0.2">
      <c r="C2141" s="17"/>
    </row>
    <row r="2142" spans="3:3" x14ac:dyDescent="0.2">
      <c r="C2142" s="17"/>
    </row>
    <row r="2143" spans="3:3" x14ac:dyDescent="0.2">
      <c r="C2143" s="17"/>
    </row>
    <row r="2144" spans="3:3" x14ac:dyDescent="0.2">
      <c r="C2144" s="17"/>
    </row>
    <row r="2145" spans="3:3" x14ac:dyDescent="0.2">
      <c r="C2145" s="17"/>
    </row>
    <row r="2146" spans="3:3" x14ac:dyDescent="0.2">
      <c r="C2146" s="17"/>
    </row>
    <row r="2147" spans="3:3" x14ac:dyDescent="0.2">
      <c r="C2147" s="17"/>
    </row>
    <row r="2148" spans="3:3" x14ac:dyDescent="0.2">
      <c r="C2148" s="17"/>
    </row>
    <row r="2149" spans="3:3" x14ac:dyDescent="0.2">
      <c r="C2149" s="17"/>
    </row>
    <row r="2150" spans="3:3" x14ac:dyDescent="0.2">
      <c r="C2150" s="17"/>
    </row>
    <row r="2151" spans="3:3" x14ac:dyDescent="0.2">
      <c r="C2151" s="17"/>
    </row>
    <row r="2152" spans="3:3" x14ac:dyDescent="0.2">
      <c r="C2152" s="17"/>
    </row>
    <row r="2153" spans="3:3" x14ac:dyDescent="0.2">
      <c r="C2153" s="17"/>
    </row>
    <row r="2154" spans="3:3" x14ac:dyDescent="0.2">
      <c r="C2154" s="17"/>
    </row>
    <row r="2155" spans="3:3" x14ac:dyDescent="0.2">
      <c r="C2155" s="17"/>
    </row>
    <row r="2156" spans="3:3" x14ac:dyDescent="0.2">
      <c r="C2156" s="17"/>
    </row>
    <row r="2157" spans="3:3" x14ac:dyDescent="0.2">
      <c r="C2157" s="17"/>
    </row>
    <row r="2158" spans="3:3" x14ac:dyDescent="0.2">
      <c r="C2158" s="17"/>
    </row>
    <row r="2159" spans="3:3" x14ac:dyDescent="0.2">
      <c r="C2159" s="17"/>
    </row>
    <row r="2160" spans="3:3" x14ac:dyDescent="0.2">
      <c r="C2160" s="17"/>
    </row>
    <row r="2161" spans="3:3" x14ac:dyDescent="0.2">
      <c r="C2161" s="17"/>
    </row>
    <row r="2162" spans="3:3" x14ac:dyDescent="0.2">
      <c r="C2162" s="17"/>
    </row>
    <row r="2163" spans="3:3" x14ac:dyDescent="0.2">
      <c r="C2163" s="17"/>
    </row>
    <row r="2164" spans="3:3" x14ac:dyDescent="0.2">
      <c r="C2164" s="17"/>
    </row>
    <row r="2165" spans="3:3" x14ac:dyDescent="0.2">
      <c r="C2165" s="17"/>
    </row>
    <row r="2166" spans="3:3" x14ac:dyDescent="0.2">
      <c r="C2166" s="17"/>
    </row>
    <row r="2167" spans="3:3" x14ac:dyDescent="0.2">
      <c r="C2167" s="17"/>
    </row>
    <row r="2168" spans="3:3" x14ac:dyDescent="0.2">
      <c r="C2168" s="17"/>
    </row>
    <row r="2169" spans="3:3" x14ac:dyDescent="0.2">
      <c r="C2169" s="17"/>
    </row>
    <row r="2170" spans="3:3" x14ac:dyDescent="0.2">
      <c r="C2170" s="17"/>
    </row>
    <row r="2171" spans="3:3" x14ac:dyDescent="0.2">
      <c r="C2171" s="17"/>
    </row>
    <row r="2172" spans="3:3" x14ac:dyDescent="0.2">
      <c r="C2172" s="17"/>
    </row>
    <row r="2173" spans="3:3" x14ac:dyDescent="0.2">
      <c r="C2173" s="17"/>
    </row>
    <row r="2174" spans="3:3" x14ac:dyDescent="0.2">
      <c r="C2174" s="17"/>
    </row>
    <row r="2175" spans="3:3" x14ac:dyDescent="0.2">
      <c r="C2175" s="17"/>
    </row>
    <row r="2176" spans="3:3" x14ac:dyDescent="0.2">
      <c r="C2176" s="17"/>
    </row>
    <row r="2177" spans="3:3" x14ac:dyDescent="0.2">
      <c r="C2177" s="17"/>
    </row>
    <row r="2178" spans="3:3" x14ac:dyDescent="0.2">
      <c r="C2178" s="17"/>
    </row>
    <row r="2179" spans="3:3" x14ac:dyDescent="0.2">
      <c r="C2179" s="17"/>
    </row>
    <row r="2180" spans="3:3" x14ac:dyDescent="0.2">
      <c r="C2180" s="17"/>
    </row>
    <row r="2181" spans="3:3" x14ac:dyDescent="0.2">
      <c r="C2181" s="17"/>
    </row>
    <row r="2182" spans="3:3" x14ac:dyDescent="0.2">
      <c r="C2182" s="17"/>
    </row>
    <row r="2183" spans="3:3" x14ac:dyDescent="0.2">
      <c r="C2183" s="17"/>
    </row>
    <row r="2184" spans="3:3" x14ac:dyDescent="0.2">
      <c r="C2184" s="17"/>
    </row>
    <row r="2185" spans="3:3" x14ac:dyDescent="0.2">
      <c r="C2185" s="17"/>
    </row>
    <row r="2186" spans="3:3" x14ac:dyDescent="0.2">
      <c r="C2186" s="17"/>
    </row>
    <row r="2187" spans="3:3" x14ac:dyDescent="0.2">
      <c r="C2187" s="17"/>
    </row>
    <row r="2188" spans="3:3" x14ac:dyDescent="0.2">
      <c r="C2188" s="17"/>
    </row>
    <row r="2189" spans="3:3" x14ac:dyDescent="0.2">
      <c r="C2189" s="17"/>
    </row>
    <row r="2190" spans="3:3" x14ac:dyDescent="0.2">
      <c r="C2190" s="17"/>
    </row>
    <row r="2191" spans="3:3" x14ac:dyDescent="0.2">
      <c r="C2191" s="17"/>
    </row>
    <row r="2192" spans="3:3" x14ac:dyDescent="0.2">
      <c r="C2192" s="17"/>
    </row>
    <row r="2193" spans="3:3" x14ac:dyDescent="0.2">
      <c r="C2193" s="17"/>
    </row>
    <row r="2194" spans="3:3" x14ac:dyDescent="0.2">
      <c r="C2194" s="17"/>
    </row>
    <row r="2195" spans="3:3" x14ac:dyDescent="0.2">
      <c r="C2195" s="17"/>
    </row>
    <row r="2196" spans="3:3" x14ac:dyDescent="0.2">
      <c r="C2196" s="17"/>
    </row>
    <row r="2197" spans="3:3" x14ac:dyDescent="0.2">
      <c r="C2197" s="17"/>
    </row>
    <row r="2198" spans="3:3" x14ac:dyDescent="0.2">
      <c r="C2198" s="17"/>
    </row>
    <row r="2199" spans="3:3" x14ac:dyDescent="0.2">
      <c r="C2199" s="17"/>
    </row>
    <row r="2200" spans="3:3" x14ac:dyDescent="0.2">
      <c r="C2200" s="17"/>
    </row>
    <row r="2201" spans="3:3" x14ac:dyDescent="0.2">
      <c r="C2201" s="17"/>
    </row>
    <row r="2202" spans="3:3" x14ac:dyDescent="0.2">
      <c r="C2202" s="17"/>
    </row>
    <row r="2203" spans="3:3" x14ac:dyDescent="0.2">
      <c r="C2203" s="17"/>
    </row>
    <row r="2204" spans="3:3" x14ac:dyDescent="0.2">
      <c r="C2204" s="17"/>
    </row>
    <row r="2205" spans="3:3" x14ac:dyDescent="0.2">
      <c r="C2205" s="17"/>
    </row>
    <row r="2206" spans="3:3" x14ac:dyDescent="0.2">
      <c r="C2206" s="17"/>
    </row>
    <row r="2207" spans="3:3" x14ac:dyDescent="0.2">
      <c r="C2207" s="17"/>
    </row>
    <row r="2208" spans="3:3" x14ac:dyDescent="0.2">
      <c r="C2208" s="17"/>
    </row>
    <row r="2209" spans="3:3" x14ac:dyDescent="0.2">
      <c r="C2209" s="17"/>
    </row>
    <row r="2210" spans="3:3" x14ac:dyDescent="0.2">
      <c r="C2210" s="17"/>
    </row>
    <row r="2211" spans="3:3" x14ac:dyDescent="0.2">
      <c r="C2211" s="17"/>
    </row>
    <row r="2212" spans="3:3" x14ac:dyDescent="0.2">
      <c r="C2212" s="17"/>
    </row>
    <row r="2213" spans="3:3" x14ac:dyDescent="0.2">
      <c r="C2213" s="17"/>
    </row>
    <row r="2214" spans="3:3" x14ac:dyDescent="0.2">
      <c r="C2214" s="17"/>
    </row>
    <row r="2215" spans="3:3" x14ac:dyDescent="0.2">
      <c r="C2215" s="17"/>
    </row>
    <row r="2216" spans="3:3" x14ac:dyDescent="0.2">
      <c r="C2216" s="17"/>
    </row>
    <row r="2217" spans="3:3" x14ac:dyDescent="0.2">
      <c r="C2217" s="17"/>
    </row>
    <row r="2218" spans="3:3" x14ac:dyDescent="0.2">
      <c r="C2218" s="17"/>
    </row>
    <row r="2219" spans="3:3" x14ac:dyDescent="0.2">
      <c r="C2219" s="17"/>
    </row>
    <row r="2220" spans="3:3" x14ac:dyDescent="0.2">
      <c r="C2220" s="17"/>
    </row>
    <row r="2221" spans="3:3" x14ac:dyDescent="0.2">
      <c r="C2221" s="17"/>
    </row>
    <row r="2222" spans="3:3" x14ac:dyDescent="0.2">
      <c r="C2222" s="17"/>
    </row>
    <row r="2223" spans="3:3" x14ac:dyDescent="0.2">
      <c r="C2223" s="17"/>
    </row>
    <row r="2224" spans="3:3" x14ac:dyDescent="0.2">
      <c r="C2224" s="17"/>
    </row>
    <row r="2225" spans="3:3" x14ac:dyDescent="0.2">
      <c r="C2225" s="17"/>
    </row>
    <row r="2226" spans="3:3" x14ac:dyDescent="0.2">
      <c r="C2226" s="17"/>
    </row>
    <row r="2227" spans="3:3" x14ac:dyDescent="0.2">
      <c r="C2227" s="17"/>
    </row>
    <row r="2228" spans="3:3" x14ac:dyDescent="0.2">
      <c r="C2228" s="17"/>
    </row>
    <row r="2229" spans="3:3" x14ac:dyDescent="0.2">
      <c r="C2229" s="17"/>
    </row>
    <row r="2230" spans="3:3" x14ac:dyDescent="0.2">
      <c r="C2230" s="17"/>
    </row>
    <row r="2231" spans="3:3" x14ac:dyDescent="0.2">
      <c r="C2231" s="17"/>
    </row>
    <row r="2232" spans="3:3" x14ac:dyDescent="0.2">
      <c r="C2232" s="17"/>
    </row>
    <row r="2233" spans="3:3" x14ac:dyDescent="0.2">
      <c r="C2233" s="17"/>
    </row>
    <row r="2234" spans="3:3" x14ac:dyDescent="0.2">
      <c r="C2234" s="17"/>
    </row>
    <row r="2235" spans="3:3" x14ac:dyDescent="0.2">
      <c r="C2235" s="17"/>
    </row>
    <row r="2236" spans="3:3" x14ac:dyDescent="0.2">
      <c r="C2236" s="17"/>
    </row>
    <row r="2237" spans="3:3" x14ac:dyDescent="0.2">
      <c r="C2237" s="17"/>
    </row>
    <row r="2238" spans="3:3" x14ac:dyDescent="0.2">
      <c r="C2238" s="17"/>
    </row>
    <row r="2239" spans="3:3" x14ac:dyDescent="0.2">
      <c r="C2239" s="17"/>
    </row>
    <row r="2240" spans="3:3" x14ac:dyDescent="0.2">
      <c r="C2240" s="17"/>
    </row>
    <row r="2241" spans="3:3" x14ac:dyDescent="0.2">
      <c r="C2241" s="17"/>
    </row>
    <row r="2242" spans="3:3" x14ac:dyDescent="0.2">
      <c r="C2242" s="17"/>
    </row>
    <row r="2243" spans="3:3" x14ac:dyDescent="0.2">
      <c r="C2243" s="17"/>
    </row>
    <row r="2244" spans="3:3" x14ac:dyDescent="0.2">
      <c r="C2244" s="17"/>
    </row>
    <row r="2245" spans="3:3" x14ac:dyDescent="0.2">
      <c r="C2245" s="17"/>
    </row>
    <row r="2246" spans="3:3" x14ac:dyDescent="0.2">
      <c r="C2246" s="17"/>
    </row>
    <row r="2247" spans="3:3" x14ac:dyDescent="0.2">
      <c r="C2247" s="17"/>
    </row>
    <row r="2248" spans="3:3" x14ac:dyDescent="0.2">
      <c r="C2248" s="17"/>
    </row>
    <row r="2249" spans="3:3" x14ac:dyDescent="0.2">
      <c r="C2249" s="61"/>
    </row>
    <row r="2250" spans="3:3" x14ac:dyDescent="0.2">
      <c r="C2250" s="61"/>
    </row>
    <row r="2251" spans="3:3" x14ac:dyDescent="0.2">
      <c r="C2251" s="61"/>
    </row>
    <row r="2252" spans="3:3" x14ac:dyDescent="0.2">
      <c r="C2252" s="61"/>
    </row>
    <row r="2253" spans="3:3" x14ac:dyDescent="0.2">
      <c r="C2253" s="61"/>
    </row>
    <row r="2254" spans="3:3" x14ac:dyDescent="0.2">
      <c r="C2254" s="61"/>
    </row>
    <row r="2255" spans="3:3" x14ac:dyDescent="0.2">
      <c r="C2255" s="61"/>
    </row>
    <row r="2256" spans="3:3" x14ac:dyDescent="0.2">
      <c r="C2256" s="61"/>
    </row>
    <row r="2257" spans="3:3" x14ac:dyDescent="0.2">
      <c r="C2257" s="61"/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8"/>
  <sheetViews>
    <sheetView showGridLines="0" topLeftCell="C3" workbookViewId="0">
      <selection activeCell="F8" sqref="F8"/>
    </sheetView>
  </sheetViews>
  <sheetFormatPr baseColWidth="10" defaultColWidth="2.125" defaultRowHeight="14.25" outlineLevelRow="1" outlineLevelCol="1" x14ac:dyDescent="0.2"/>
  <cols>
    <col min="1" max="1" width="19" style="2" hidden="1" customWidth="1" outlineLevel="1"/>
    <col min="2" max="2" width="11" style="2" hidden="1" customWidth="1" outlineLevel="1"/>
    <col min="3" max="3" width="2.625" style="1" customWidth="1" collapsed="1"/>
    <col min="4" max="4" width="12.625" style="1" customWidth="1"/>
    <col min="5" max="6" width="9.125" style="1" customWidth="1"/>
    <col min="7" max="7" width="2.625" style="1" customWidth="1"/>
    <col min="8" max="8" width="11.625" style="1" customWidth="1"/>
    <col min="9" max="9" width="15.625" style="1" customWidth="1"/>
    <col min="10" max="10" width="11" style="1" customWidth="1"/>
    <col min="11" max="11" width="2.625" style="1" customWidth="1"/>
    <col min="12" max="16384" width="2.125" style="1"/>
  </cols>
  <sheetData>
    <row r="1" spans="1:11" s="2" customFormat="1" hidden="1" outlineLevel="1" x14ac:dyDescent="0.2">
      <c r="A1" s="2" t="str">
        <f ca="1">nameOfThisSheet()</f>
        <v>Simulacion</v>
      </c>
      <c r="C1" s="2" t="str">
        <f ca="1">A1&amp;"!D7:F"&amp;C2</f>
        <v>Simulacion!D7:F13</v>
      </c>
    </row>
    <row r="2" spans="1:11" s="2" customFormat="1" hidden="1" outlineLevel="1" x14ac:dyDescent="0.2">
      <c r="C2" s="98">
        <f>COUNTA(D8:D27)+6</f>
        <v>13</v>
      </c>
    </row>
    <row r="3" spans="1:11" ht="10.5" customHeight="1" collapsed="1" x14ac:dyDescent="0.2">
      <c r="C3" s="30"/>
      <c r="D3" s="57"/>
      <c r="E3" s="29"/>
      <c r="F3" s="29"/>
      <c r="G3" s="29"/>
      <c r="H3" s="29"/>
      <c r="I3" s="29"/>
      <c r="J3" s="29"/>
      <c r="K3" s="63"/>
    </row>
    <row r="4" spans="1:11" ht="42" customHeight="1" x14ac:dyDescent="0.2">
      <c r="C4" s="35" t="s">
        <v>123</v>
      </c>
      <c r="D4" s="58"/>
      <c r="E4" s="58"/>
      <c r="F4" s="30"/>
      <c r="G4" s="30"/>
      <c r="H4" s="30"/>
      <c r="I4" s="30"/>
      <c r="J4" s="30"/>
      <c r="K4" s="39"/>
    </row>
    <row r="5" spans="1:11" x14ac:dyDescent="0.2">
      <c r="A5" s="2" t="s">
        <v>96</v>
      </c>
      <c r="C5" s="30"/>
      <c r="D5" s="30"/>
      <c r="E5" s="30"/>
      <c r="F5" s="30"/>
      <c r="G5" s="30"/>
      <c r="H5" s="30"/>
      <c r="I5" s="30"/>
      <c r="J5" s="30"/>
      <c r="K5" s="39"/>
    </row>
    <row r="6" spans="1:11" x14ac:dyDescent="0.2">
      <c r="A6" s="2" t="s">
        <v>84</v>
      </c>
      <c r="B6" s="2">
        <f ca="1">ROW(INDIRECT("originSimFactores"))</f>
        <v>8</v>
      </c>
      <c r="C6" s="30"/>
      <c r="D6" s="30"/>
      <c r="E6" s="30"/>
      <c r="F6" s="30"/>
      <c r="G6" s="30"/>
      <c r="H6" s="30"/>
      <c r="I6" s="30"/>
      <c r="J6" s="30"/>
      <c r="K6" s="39"/>
    </row>
    <row r="7" spans="1:11" x14ac:dyDescent="0.2">
      <c r="A7" s="2" t="s">
        <v>85</v>
      </c>
      <c r="B7" s="2">
        <f ca="1">COLUMN(INDIRECT("originSimFactores"))</f>
        <v>4</v>
      </c>
      <c r="C7" s="30"/>
      <c r="D7" s="33" t="s">
        <v>24</v>
      </c>
      <c r="E7" s="33" t="s">
        <v>22</v>
      </c>
      <c r="F7" s="33" t="s">
        <v>21</v>
      </c>
      <c r="G7" s="30"/>
      <c r="H7" s="43" t="s">
        <v>25</v>
      </c>
      <c r="I7" s="50">
        <v>10</v>
      </c>
      <c r="J7" s="30"/>
      <c r="K7" s="39"/>
    </row>
    <row r="8" spans="1:11" x14ac:dyDescent="0.2">
      <c r="A8" s="2" t="s">
        <v>86</v>
      </c>
      <c r="B8" s="18" t="str">
        <f ca="1">numbertoletter(B7)</f>
        <v>D</v>
      </c>
      <c r="C8" s="30"/>
      <c r="D8" s="64" t="s">
        <v>133</v>
      </c>
      <c r="E8" s="64" t="s">
        <v>5</v>
      </c>
      <c r="F8" s="50" t="s">
        <v>102</v>
      </c>
      <c r="G8" s="30"/>
      <c r="H8" s="43" t="s">
        <v>26</v>
      </c>
      <c r="I8" s="50">
        <v>750</v>
      </c>
      <c r="J8" s="30"/>
      <c r="K8" s="39"/>
    </row>
    <row r="9" spans="1:11" x14ac:dyDescent="0.2">
      <c r="A9" s="2" t="s">
        <v>95</v>
      </c>
      <c r="B9" s="2">
        <v>40</v>
      </c>
      <c r="C9" s="30"/>
      <c r="D9" s="64" t="s">
        <v>13</v>
      </c>
      <c r="E9" s="64" t="s">
        <v>5</v>
      </c>
      <c r="F9" s="94" t="s">
        <v>102</v>
      </c>
      <c r="G9" s="30"/>
      <c r="H9" s="72"/>
      <c r="I9" s="30"/>
      <c r="J9" s="30"/>
      <c r="K9" s="39"/>
    </row>
    <row r="10" spans="1:11" x14ac:dyDescent="0.2">
      <c r="A10" s="2" t="s">
        <v>87</v>
      </c>
      <c r="B10" s="18" t="str">
        <f ca="1">B8&amp;B6&amp;":"&amp;B8&amp;(B9+B6-1)</f>
        <v>D8:D47</v>
      </c>
      <c r="C10" s="30"/>
      <c r="D10" s="64" t="s">
        <v>4</v>
      </c>
      <c r="E10" s="64" t="s">
        <v>5</v>
      </c>
      <c r="F10" s="94" t="s">
        <v>102</v>
      </c>
      <c r="G10" s="30"/>
      <c r="H10" s="43" t="s">
        <v>81</v>
      </c>
      <c r="I10" s="64">
        <v>217</v>
      </c>
      <c r="J10" s="30"/>
      <c r="K10" s="39"/>
    </row>
    <row r="11" spans="1:11" x14ac:dyDescent="0.2">
      <c r="A11" s="2" t="s">
        <v>88</v>
      </c>
      <c r="B11" s="2">
        <f ca="1">COUNTA(INDIRECT(B10))</f>
        <v>7</v>
      </c>
      <c r="C11" s="30"/>
      <c r="D11" s="64" t="s">
        <v>181</v>
      </c>
      <c r="E11" s="64" t="s">
        <v>23</v>
      </c>
      <c r="F11" s="94" t="s">
        <v>102</v>
      </c>
      <c r="G11" s="62"/>
      <c r="H11" s="62"/>
      <c r="I11" s="62"/>
      <c r="J11" s="30"/>
      <c r="K11" s="39"/>
    </row>
    <row r="12" spans="1:11" ht="15" x14ac:dyDescent="0.25">
      <c r="A12" s="2" t="s">
        <v>89</v>
      </c>
      <c r="B12" s="19">
        <v>3</v>
      </c>
      <c r="C12" s="30"/>
      <c r="D12" s="64" t="s">
        <v>179</v>
      </c>
      <c r="E12" s="64" t="s">
        <v>23</v>
      </c>
      <c r="F12" s="94" t="s">
        <v>102</v>
      </c>
      <c r="G12" s="62"/>
      <c r="H12" s="62">
        <v>2</v>
      </c>
      <c r="I12" s="99">
        <f>1*simIteraciones*(1+simHorizonte*264)</f>
        <v>1980750</v>
      </c>
      <c r="J12" s="62"/>
      <c r="K12" s="39"/>
    </row>
    <row r="13" spans="1:11" x14ac:dyDescent="0.2">
      <c r="A13" s="2" t="s">
        <v>90</v>
      </c>
      <c r="B13" s="18" t="str">
        <f ca="1">B8&amp;B6&amp;":"&amp;numbertoletter(B7+B12-1)&amp;(B6+B11-1)</f>
        <v>D8:F14</v>
      </c>
      <c r="C13" s="30"/>
      <c r="D13" s="64" t="s">
        <v>180</v>
      </c>
      <c r="E13" s="64" t="s">
        <v>23</v>
      </c>
      <c r="F13" s="94" t="s">
        <v>102</v>
      </c>
      <c r="G13" s="62"/>
      <c r="H13" s="62"/>
      <c r="I13" s="62"/>
      <c r="J13" s="62"/>
      <c r="K13" s="39"/>
    </row>
    <row r="14" spans="1:11" x14ac:dyDescent="0.2">
      <c r="C14" s="30"/>
      <c r="D14" s="64" t="s">
        <v>182</v>
      </c>
      <c r="E14" s="64" t="s">
        <v>23</v>
      </c>
      <c r="F14" s="94" t="s">
        <v>102</v>
      </c>
      <c r="G14" s="62"/>
      <c r="H14" s="62"/>
      <c r="I14" s="62"/>
      <c r="J14" s="62"/>
      <c r="K14" s="39"/>
    </row>
    <row r="15" spans="1:11" x14ac:dyDescent="0.2">
      <c r="C15" s="30"/>
      <c r="D15" s="64"/>
      <c r="E15" s="64"/>
      <c r="F15" s="94"/>
      <c r="G15" s="62"/>
      <c r="H15" s="62"/>
      <c r="I15" s="62"/>
      <c r="J15" s="62"/>
      <c r="K15" s="39"/>
    </row>
    <row r="16" spans="1:11" x14ac:dyDescent="0.2">
      <c r="C16" s="30"/>
      <c r="D16" s="64"/>
      <c r="E16" s="64"/>
      <c r="F16" s="94"/>
      <c r="G16" s="62"/>
      <c r="H16" s="62"/>
      <c r="I16" s="62"/>
      <c r="J16" s="62"/>
      <c r="K16" s="39"/>
    </row>
    <row r="17" spans="3:11" x14ac:dyDescent="0.2">
      <c r="C17" s="30"/>
      <c r="D17" s="64"/>
      <c r="E17" s="64"/>
      <c r="F17" s="94"/>
      <c r="G17" s="62"/>
      <c r="H17" s="62"/>
      <c r="I17" s="62"/>
      <c r="J17" s="62"/>
      <c r="K17" s="39"/>
    </row>
    <row r="18" spans="3:11" x14ac:dyDescent="0.2">
      <c r="C18" s="30"/>
      <c r="D18" s="64"/>
      <c r="E18" s="64"/>
      <c r="F18" s="94"/>
      <c r="G18" s="62"/>
      <c r="H18" s="62"/>
      <c r="I18" s="62"/>
      <c r="J18" s="62"/>
      <c r="K18" s="39"/>
    </row>
    <row r="19" spans="3:11" x14ac:dyDescent="0.2">
      <c r="C19" s="30"/>
      <c r="D19" s="64"/>
      <c r="E19" s="64"/>
      <c r="F19" s="94"/>
      <c r="G19" s="62"/>
      <c r="H19" s="62"/>
      <c r="I19" s="62"/>
      <c r="J19" s="62"/>
      <c r="K19" s="39"/>
    </row>
    <row r="20" spans="3:11" x14ac:dyDescent="0.2">
      <c r="C20" s="30"/>
      <c r="D20" s="64"/>
      <c r="E20" s="64"/>
      <c r="F20" s="94"/>
      <c r="G20" s="62"/>
      <c r="H20" s="62"/>
      <c r="I20" s="62"/>
      <c r="J20" s="62"/>
      <c r="K20" s="39"/>
    </row>
    <row r="21" spans="3:11" x14ac:dyDescent="0.2">
      <c r="C21" s="30"/>
      <c r="D21" s="64"/>
      <c r="E21" s="64"/>
      <c r="F21" s="94"/>
      <c r="G21" s="62"/>
      <c r="H21" s="62"/>
      <c r="I21" s="62"/>
      <c r="J21" s="62"/>
      <c r="K21" s="39"/>
    </row>
    <row r="22" spans="3:11" x14ac:dyDescent="0.2">
      <c r="C22" s="30"/>
      <c r="D22" s="64"/>
      <c r="E22" s="64"/>
      <c r="F22" s="94"/>
      <c r="G22" s="62"/>
      <c r="H22" s="62"/>
      <c r="I22" s="62"/>
      <c r="J22" s="62"/>
      <c r="K22" s="39"/>
    </row>
    <row r="23" spans="3:11" x14ac:dyDescent="0.2">
      <c r="C23" s="30"/>
      <c r="D23" s="64"/>
      <c r="E23" s="64"/>
      <c r="F23" s="94"/>
      <c r="G23" s="62"/>
      <c r="H23" s="62"/>
      <c r="I23" s="62"/>
      <c r="J23" s="62"/>
      <c r="K23" s="39"/>
    </row>
    <row r="24" spans="3:11" x14ac:dyDescent="0.2">
      <c r="C24" s="30"/>
      <c r="D24" s="64"/>
      <c r="E24" s="64"/>
      <c r="F24" s="94"/>
      <c r="G24" s="62"/>
      <c r="H24" s="62"/>
      <c r="I24" s="62"/>
      <c r="J24" s="62"/>
      <c r="K24" s="39"/>
    </row>
    <row r="25" spans="3:11" x14ac:dyDescent="0.2">
      <c r="C25" s="30"/>
      <c r="D25" s="64"/>
      <c r="E25" s="64"/>
      <c r="F25" s="94"/>
      <c r="G25" s="62"/>
      <c r="H25" s="62"/>
      <c r="I25" s="62"/>
      <c r="J25" s="62"/>
      <c r="K25" s="39"/>
    </row>
    <row r="26" spans="3:11" x14ac:dyDescent="0.2">
      <c r="C26" s="30"/>
      <c r="D26" s="64"/>
      <c r="E26" s="64"/>
      <c r="F26" s="94"/>
      <c r="G26" s="62"/>
      <c r="H26" s="62"/>
      <c r="I26" s="62"/>
      <c r="J26" s="62"/>
      <c r="K26" s="39"/>
    </row>
    <row r="27" spans="3:11" x14ac:dyDescent="0.2">
      <c r="C27" s="30"/>
      <c r="D27" s="64"/>
      <c r="E27" s="64"/>
      <c r="F27" s="94"/>
      <c r="G27" s="62"/>
      <c r="H27" s="62"/>
      <c r="I27" s="62"/>
      <c r="J27" s="62"/>
      <c r="K27" s="39"/>
    </row>
    <row r="28" spans="3:11" x14ac:dyDescent="0.2">
      <c r="C28" s="30"/>
      <c r="D28" s="64"/>
      <c r="E28" s="64"/>
      <c r="F28" s="94"/>
      <c r="G28" s="62"/>
      <c r="H28" s="62"/>
      <c r="I28" s="62"/>
      <c r="J28" s="62"/>
      <c r="K28" s="39"/>
    </row>
    <row r="29" spans="3:11" x14ac:dyDescent="0.2">
      <c r="C29" s="30"/>
      <c r="D29" s="64"/>
      <c r="E29" s="64"/>
      <c r="F29" s="50"/>
      <c r="G29" s="62"/>
      <c r="H29" s="62"/>
      <c r="I29" s="62"/>
      <c r="J29" s="62"/>
      <c r="K29" s="39"/>
    </row>
    <row r="30" spans="3:11" x14ac:dyDescent="0.2">
      <c r="C30" s="30"/>
      <c r="D30" s="64"/>
      <c r="E30" s="64"/>
      <c r="F30" s="50"/>
      <c r="G30" s="62"/>
      <c r="H30" s="62"/>
      <c r="I30" s="62"/>
      <c r="J30" s="62"/>
      <c r="K30" s="39"/>
    </row>
    <row r="31" spans="3:11" x14ac:dyDescent="0.2">
      <c r="C31" s="30"/>
      <c r="D31" s="64"/>
      <c r="E31" s="64"/>
      <c r="F31" s="50"/>
      <c r="G31" s="62"/>
      <c r="H31" s="62"/>
      <c r="I31" s="62"/>
      <c r="J31" s="62"/>
      <c r="K31" s="39"/>
    </row>
    <row r="32" spans="3:11" x14ac:dyDescent="0.2">
      <c r="C32" s="30"/>
      <c r="D32" s="64"/>
      <c r="E32" s="64"/>
      <c r="F32" s="50"/>
      <c r="G32" s="62"/>
      <c r="H32" s="62"/>
      <c r="I32" s="62"/>
      <c r="J32" s="62"/>
      <c r="K32" s="39"/>
    </row>
    <row r="33" spans="3:11" x14ac:dyDescent="0.2">
      <c r="C33" s="30"/>
      <c r="D33" s="64"/>
      <c r="E33" s="64"/>
      <c r="F33" s="50"/>
      <c r="G33" s="62"/>
      <c r="H33" s="62"/>
      <c r="I33" s="62"/>
      <c r="J33" s="62"/>
      <c r="K33" s="39"/>
    </row>
    <row r="34" spans="3:11" x14ac:dyDescent="0.2">
      <c r="C34" s="30"/>
      <c r="D34" s="64"/>
      <c r="E34" s="64"/>
      <c r="F34" s="50"/>
      <c r="G34" s="62"/>
      <c r="H34" s="62"/>
      <c r="I34" s="62"/>
      <c r="J34" s="62"/>
      <c r="K34" s="39"/>
    </row>
    <row r="35" spans="3:11" x14ac:dyDescent="0.2">
      <c r="C35" s="30"/>
      <c r="D35" s="64"/>
      <c r="E35" s="64"/>
      <c r="F35" s="50"/>
      <c r="G35" s="62"/>
      <c r="H35" s="62"/>
      <c r="I35" s="62"/>
      <c r="J35" s="62"/>
      <c r="K35" s="39"/>
    </row>
    <row r="36" spans="3:11" x14ac:dyDescent="0.2">
      <c r="C36" s="30"/>
      <c r="D36" s="64"/>
      <c r="E36" s="64"/>
      <c r="F36" s="50"/>
      <c r="G36" s="62"/>
      <c r="H36" s="62"/>
      <c r="I36" s="62"/>
      <c r="J36" s="62"/>
      <c r="K36" s="39"/>
    </row>
    <row r="37" spans="3:11" x14ac:dyDescent="0.2">
      <c r="C37" s="30"/>
      <c r="D37" s="64"/>
      <c r="E37" s="64"/>
      <c r="F37" s="50"/>
      <c r="G37" s="62"/>
      <c r="H37" s="62"/>
      <c r="I37" s="62"/>
      <c r="J37" s="62"/>
      <c r="K37" s="39"/>
    </row>
    <row r="38" spans="3:11" x14ac:dyDescent="0.2">
      <c r="C38" s="30"/>
      <c r="D38" s="64"/>
      <c r="E38" s="64"/>
      <c r="F38" s="50"/>
      <c r="G38" s="62"/>
      <c r="H38" s="62"/>
      <c r="I38" s="62"/>
      <c r="J38" s="62"/>
      <c r="K38" s="39"/>
    </row>
    <row r="39" spans="3:11" x14ac:dyDescent="0.2">
      <c r="C39" s="30"/>
      <c r="D39" s="64"/>
      <c r="E39" s="64"/>
      <c r="F39" s="50"/>
      <c r="G39" s="62"/>
      <c r="H39" s="62"/>
      <c r="I39" s="62"/>
      <c r="J39" s="62"/>
      <c r="K39" s="39"/>
    </row>
    <row r="40" spans="3:11" x14ac:dyDescent="0.2">
      <c r="C40" s="30"/>
      <c r="D40" s="64"/>
      <c r="E40" s="64"/>
      <c r="F40" s="50"/>
      <c r="G40" s="62"/>
      <c r="H40" s="62"/>
      <c r="I40" s="62"/>
      <c r="J40" s="62"/>
      <c r="K40" s="39"/>
    </row>
    <row r="41" spans="3:11" x14ac:dyDescent="0.2">
      <c r="C41" s="30"/>
      <c r="D41" s="64"/>
      <c r="E41" s="64"/>
      <c r="F41" s="50"/>
      <c r="G41" s="62"/>
      <c r="H41" s="62"/>
      <c r="I41" s="62"/>
      <c r="J41" s="62"/>
      <c r="K41" s="39"/>
    </row>
    <row r="42" spans="3:11" x14ac:dyDescent="0.2">
      <c r="C42" s="30"/>
      <c r="D42" s="64"/>
      <c r="E42" s="64"/>
      <c r="F42" s="50"/>
      <c r="G42" s="62"/>
      <c r="H42" s="62"/>
      <c r="I42" s="62"/>
      <c r="J42" s="62"/>
      <c r="K42" s="39"/>
    </row>
    <row r="43" spans="3:11" x14ac:dyDescent="0.2">
      <c r="C43" s="30"/>
      <c r="D43" s="64"/>
      <c r="E43" s="64"/>
      <c r="F43" s="50"/>
      <c r="G43" s="62"/>
      <c r="H43" s="62"/>
      <c r="I43" s="62"/>
      <c r="J43" s="62"/>
      <c r="K43" s="39"/>
    </row>
    <row r="44" spans="3:11" x14ac:dyDescent="0.2">
      <c r="C44" s="30"/>
      <c r="D44" s="64"/>
      <c r="E44" s="64"/>
      <c r="F44" s="50"/>
      <c r="G44" s="62"/>
      <c r="H44" s="62"/>
      <c r="I44" s="62"/>
      <c r="J44" s="62"/>
      <c r="K44" s="39"/>
    </row>
    <row r="45" spans="3:11" x14ac:dyDescent="0.2">
      <c r="C45" s="30"/>
      <c r="D45" s="64"/>
      <c r="E45" s="64"/>
      <c r="F45" s="50"/>
      <c r="G45" s="62"/>
      <c r="H45" s="62"/>
      <c r="I45" s="62"/>
      <c r="J45" s="62"/>
      <c r="K45" s="39"/>
    </row>
    <row r="46" spans="3:11" x14ac:dyDescent="0.2">
      <c r="C46" s="30"/>
      <c r="D46" s="64"/>
      <c r="E46" s="64"/>
      <c r="F46" s="50"/>
      <c r="G46" s="62"/>
      <c r="H46" s="62"/>
      <c r="I46" s="62"/>
      <c r="J46" s="62"/>
      <c r="K46" s="39"/>
    </row>
    <row r="47" spans="3:11" x14ac:dyDescent="0.2">
      <c r="C47" s="30"/>
      <c r="D47" s="64"/>
      <c r="E47" s="64"/>
      <c r="F47" s="50"/>
      <c r="G47" s="62"/>
      <c r="H47" s="62"/>
      <c r="I47" s="62"/>
      <c r="J47" s="62"/>
      <c r="K47" s="39"/>
    </row>
    <row r="48" spans="3:11" x14ac:dyDescent="0.2">
      <c r="C48" s="66"/>
      <c r="D48" s="66"/>
      <c r="E48" s="66"/>
      <c r="F48" s="66"/>
      <c r="G48" s="66"/>
      <c r="H48" s="66"/>
      <c r="I48" s="66"/>
      <c r="J48" s="66"/>
      <c r="K48" s="67"/>
    </row>
  </sheetData>
  <sheetProtection sheet="1" objects="1" scenarios="1"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¡Atención!" error="Se admite solo Sí o No.">
          <x14:formula1>
            <xm:f>Auxiliar!$E$5:$E$6</xm:f>
          </x14:formula1>
          <xm:sqref>F8:F47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11"/>
  <sheetViews>
    <sheetView showGridLines="0" topLeftCell="C3" workbookViewId="0">
      <selection activeCell="G5" sqref="G5"/>
    </sheetView>
  </sheetViews>
  <sheetFormatPr baseColWidth="10" defaultColWidth="2.125" defaultRowHeight="15" outlineLevelRow="1" outlineLevelCol="1" x14ac:dyDescent="0.2"/>
  <cols>
    <col min="1" max="1" width="5" style="2" hidden="1" customWidth="1" outlineLevel="1"/>
    <col min="2" max="2" width="13" style="2" hidden="1" customWidth="1" outlineLevel="1"/>
    <col min="3" max="3" width="2.625" style="8" customWidth="1" collapsed="1"/>
    <col min="4" max="4" width="12.375" style="20" customWidth="1"/>
    <col min="5" max="5" width="12.625" style="20" customWidth="1"/>
    <col min="6" max="6" width="2.625" style="8" customWidth="1"/>
    <col min="7" max="7" width="13.625" style="21" customWidth="1"/>
    <col min="8" max="8" width="13.625" style="9" customWidth="1"/>
    <col min="9" max="9" width="9.125" style="1" customWidth="1"/>
    <col min="10" max="10" width="2.625" style="1" customWidth="1"/>
    <col min="11" max="11" width="2.125" style="1"/>
    <col min="12" max="12" width="9.5" style="1" customWidth="1"/>
    <col min="13" max="14" width="2.125" style="1"/>
    <col min="15" max="15" width="9.125" style="1" hidden="1" customWidth="1"/>
    <col min="16" max="16" width="7.875" style="1" hidden="1" customWidth="1"/>
    <col min="17" max="16384" width="2.125" style="1"/>
  </cols>
  <sheetData>
    <row r="1" spans="1:16" s="2" customFormat="1" ht="14.25" hidden="1" outlineLevel="1" x14ac:dyDescent="0.2"/>
    <row r="2" spans="1:16" s="2" customFormat="1" ht="14.25" hidden="1" outlineLevel="1" x14ac:dyDescent="0.2"/>
    <row r="3" spans="1:16" ht="10.5" customHeight="1" collapsed="1" x14ac:dyDescent="0.2">
      <c r="C3" s="30"/>
      <c r="D3" s="29"/>
      <c r="E3" s="29"/>
      <c r="F3" s="29"/>
      <c r="G3" s="29"/>
      <c r="H3" s="29"/>
      <c r="I3" s="29"/>
      <c r="J3" s="63"/>
    </row>
    <row r="4" spans="1:16" ht="42" customHeight="1" x14ac:dyDescent="0.2">
      <c r="C4" s="35" t="s">
        <v>124</v>
      </c>
      <c r="D4" s="58"/>
      <c r="E4" s="58"/>
      <c r="F4" s="30"/>
      <c r="G4" s="30"/>
      <c r="H4" s="30"/>
      <c r="I4" s="30"/>
      <c r="J4" s="39"/>
    </row>
    <row r="5" spans="1:16" ht="15" customHeight="1" x14ac:dyDescent="0.2">
      <c r="C5" s="30"/>
      <c r="D5" s="30"/>
      <c r="E5" s="30"/>
      <c r="F5" s="30"/>
      <c r="G5" s="30"/>
      <c r="H5" s="30"/>
      <c r="I5" s="30"/>
      <c r="J5" s="39"/>
    </row>
    <row r="6" spans="1:16" ht="15" customHeight="1" x14ac:dyDescent="0.2">
      <c r="C6" s="30"/>
      <c r="D6" s="30"/>
      <c r="E6" s="30"/>
      <c r="F6" s="30"/>
      <c r="G6" s="30"/>
      <c r="H6" s="30"/>
      <c r="I6" s="30"/>
      <c r="J6" s="39"/>
    </row>
    <row r="7" spans="1:16" s="38" customFormat="1" ht="24" customHeight="1" x14ac:dyDescent="0.2">
      <c r="A7" s="36" t="s">
        <v>107</v>
      </c>
      <c r="B7" s="36"/>
      <c r="C7" s="37"/>
      <c r="D7" s="43" t="s">
        <v>65</v>
      </c>
      <c r="E7" s="43" t="s">
        <v>103</v>
      </c>
      <c r="F7" s="37"/>
      <c r="G7" s="43" t="s">
        <v>104</v>
      </c>
      <c r="H7" s="43" t="s">
        <v>105</v>
      </c>
      <c r="I7" s="37"/>
      <c r="J7" s="73"/>
    </row>
    <row r="8" spans="1:16" ht="14.25" x14ac:dyDescent="0.2">
      <c r="A8" s="2" t="s">
        <v>84</v>
      </c>
      <c r="B8" s="2">
        <f ca="1">ROW(INDIRECT("originNettingSetParaValorizar"))</f>
        <v>8</v>
      </c>
      <c r="C8" s="30"/>
      <c r="D8" s="95" t="s">
        <v>141</v>
      </c>
      <c r="E8" s="94" t="s">
        <v>102</v>
      </c>
      <c r="F8" s="30"/>
      <c r="G8" s="51">
        <v>1.9444444000000002E-2</v>
      </c>
      <c r="H8" s="64">
        <f t="shared" ref="H8:H71" si="0">IF(G8="","",ROUND(G8*DT,0))</f>
        <v>5</v>
      </c>
      <c r="I8" s="30"/>
      <c r="J8" s="39"/>
      <c r="O8" s="107">
        <v>1.9444444000000002E-2</v>
      </c>
      <c r="P8" s="1">
        <v>0.5</v>
      </c>
    </row>
    <row r="9" spans="1:16" ht="14.25" x14ac:dyDescent="0.2">
      <c r="A9" s="2" t="s">
        <v>85</v>
      </c>
      <c r="B9" s="2">
        <f ca="1">COLUMN(INDIRECT("originNettingSetParaValorizar"))</f>
        <v>4</v>
      </c>
      <c r="C9" s="30"/>
      <c r="D9" s="95" t="s">
        <v>183</v>
      </c>
      <c r="E9" s="94" t="s">
        <v>63</v>
      </c>
      <c r="F9" s="30"/>
      <c r="G9" s="51">
        <v>8.3333332999999996E-2</v>
      </c>
      <c r="H9" s="64">
        <f t="shared" si="0"/>
        <v>22</v>
      </c>
      <c r="I9" s="30"/>
      <c r="J9" s="39"/>
      <c r="O9" s="107">
        <v>8.3333332999999996E-2</v>
      </c>
      <c r="P9" s="1">
        <v>0.75</v>
      </c>
    </row>
    <row r="10" spans="1:16" ht="14.25" x14ac:dyDescent="0.2">
      <c r="A10" s="2" t="s">
        <v>86</v>
      </c>
      <c r="B10" s="18" t="str">
        <f ca="1">numbertoletter(B9)</f>
        <v>D</v>
      </c>
      <c r="C10" s="30"/>
      <c r="D10" s="95" t="s">
        <v>184</v>
      </c>
      <c r="E10" s="94" t="s">
        <v>63</v>
      </c>
      <c r="F10" s="30"/>
      <c r="G10" s="51">
        <v>0.25</v>
      </c>
      <c r="H10" s="64">
        <f t="shared" si="0"/>
        <v>66</v>
      </c>
      <c r="I10" s="30"/>
      <c r="J10" s="39"/>
      <c r="O10" s="107">
        <v>0.25</v>
      </c>
      <c r="P10" s="1">
        <v>1</v>
      </c>
    </row>
    <row r="11" spans="1:16" ht="14.25" x14ac:dyDescent="0.2">
      <c r="A11" s="2" t="s">
        <v>95</v>
      </c>
      <c r="B11" s="2">
        <v>193</v>
      </c>
      <c r="C11" s="30"/>
      <c r="D11" s="95" t="s">
        <v>185</v>
      </c>
      <c r="E11" s="94" t="s">
        <v>63</v>
      </c>
      <c r="F11" s="30"/>
      <c r="G11" s="51">
        <v>0.5</v>
      </c>
      <c r="H11" s="64">
        <f t="shared" si="0"/>
        <v>132</v>
      </c>
      <c r="I11" s="30"/>
      <c r="J11" s="39"/>
      <c r="O11" s="107">
        <v>0.5</v>
      </c>
      <c r="P11" s="1">
        <v>1.25</v>
      </c>
    </row>
    <row r="12" spans="1:16" ht="14.25" x14ac:dyDescent="0.2">
      <c r="A12" s="2" t="s">
        <v>87</v>
      </c>
      <c r="B12" s="18" t="str">
        <f ca="1">B10&amp;B8&amp;":"&amp;B10&amp;(B11+B8-1)</f>
        <v>D8:D200</v>
      </c>
      <c r="C12" s="30"/>
      <c r="D12" s="95" t="s">
        <v>209</v>
      </c>
      <c r="E12" s="94" t="s">
        <v>63</v>
      </c>
      <c r="F12" s="30"/>
      <c r="G12" s="51">
        <v>1</v>
      </c>
      <c r="H12" s="64">
        <f t="shared" si="0"/>
        <v>264</v>
      </c>
      <c r="I12" s="30"/>
      <c r="J12" s="39"/>
      <c r="O12" s="107">
        <v>1</v>
      </c>
      <c r="P12" s="1">
        <v>1.5</v>
      </c>
    </row>
    <row r="13" spans="1:16" ht="14.25" x14ac:dyDescent="0.2">
      <c r="A13" s="2" t="s">
        <v>88</v>
      </c>
      <c r="B13" s="2">
        <f ca="1">COUNTA(INDIRECT(B12))</f>
        <v>13</v>
      </c>
      <c r="C13" s="30"/>
      <c r="D13" s="95" t="s">
        <v>212</v>
      </c>
      <c r="E13" s="94" t="s">
        <v>102</v>
      </c>
      <c r="F13" s="30"/>
      <c r="G13" s="51">
        <v>2</v>
      </c>
      <c r="H13" s="64">
        <f t="shared" si="0"/>
        <v>528</v>
      </c>
      <c r="I13" s="30"/>
      <c r="J13" s="39"/>
      <c r="O13" s="107">
        <v>2</v>
      </c>
      <c r="P13" s="1">
        <v>1.75</v>
      </c>
    </row>
    <row r="14" spans="1:16" x14ac:dyDescent="0.25">
      <c r="A14" s="2" t="s">
        <v>89</v>
      </c>
      <c r="B14" s="19">
        <v>2</v>
      </c>
      <c r="C14" s="30"/>
      <c r="D14" s="95" t="s">
        <v>220</v>
      </c>
      <c r="E14" s="94" t="s">
        <v>63</v>
      </c>
      <c r="F14" s="30"/>
      <c r="G14" s="51">
        <v>3</v>
      </c>
      <c r="H14" s="64">
        <f t="shared" si="0"/>
        <v>792</v>
      </c>
      <c r="I14" s="30"/>
      <c r="J14" s="39"/>
      <c r="O14" s="107">
        <v>3</v>
      </c>
      <c r="P14" s="1">
        <v>2</v>
      </c>
    </row>
    <row r="15" spans="1:16" ht="14.25" x14ac:dyDescent="0.2">
      <c r="A15" s="2" t="s">
        <v>90</v>
      </c>
      <c r="B15" s="18" t="str">
        <f ca="1">B10&amp;B8&amp;":"&amp;numbertoletter(B9+B14-1)&amp;(B8+B13-1)</f>
        <v>D8:E20</v>
      </c>
      <c r="C15" s="30"/>
      <c r="D15" s="53" t="s">
        <v>221</v>
      </c>
      <c r="E15" s="94" t="s">
        <v>63</v>
      </c>
      <c r="F15" s="30"/>
      <c r="G15" s="51">
        <v>4</v>
      </c>
      <c r="H15" s="64">
        <f t="shared" si="0"/>
        <v>1056</v>
      </c>
      <c r="I15" s="30"/>
      <c r="J15" s="39"/>
      <c r="O15" s="107">
        <v>4</v>
      </c>
      <c r="P15" s="1">
        <v>2.25</v>
      </c>
    </row>
    <row r="16" spans="1:16" ht="14.25" x14ac:dyDescent="0.2">
      <c r="C16" s="30"/>
      <c r="D16" s="53" t="s">
        <v>222</v>
      </c>
      <c r="E16" s="94" t="s">
        <v>63</v>
      </c>
      <c r="F16" s="30"/>
      <c r="G16" s="51">
        <v>5</v>
      </c>
      <c r="H16" s="64">
        <f t="shared" si="0"/>
        <v>1320</v>
      </c>
      <c r="I16" s="30"/>
      <c r="J16" s="39"/>
      <c r="O16" s="107">
        <v>5</v>
      </c>
      <c r="P16" s="1">
        <v>2.5</v>
      </c>
    </row>
    <row r="17" spans="1:16" ht="14.25" x14ac:dyDescent="0.2">
      <c r="A17" s="2" t="s">
        <v>109</v>
      </c>
      <c r="C17" s="30"/>
      <c r="D17" s="53" t="s">
        <v>219</v>
      </c>
      <c r="E17" s="94" t="s">
        <v>102</v>
      </c>
      <c r="F17" s="30"/>
      <c r="G17" s="51">
        <v>6</v>
      </c>
      <c r="H17" s="64">
        <f t="shared" si="0"/>
        <v>1584</v>
      </c>
      <c r="I17" s="30"/>
      <c r="J17" s="39"/>
      <c r="O17" s="107">
        <v>6</v>
      </c>
      <c r="P17" s="1">
        <v>2.75</v>
      </c>
    </row>
    <row r="18" spans="1:16" ht="14.25" x14ac:dyDescent="0.2">
      <c r="A18" s="2" t="s">
        <v>84</v>
      </c>
      <c r="B18" s="2">
        <f ca="1">ROW(INDIRECT("originStoppingTimes"))</f>
        <v>8</v>
      </c>
      <c r="C18" s="30"/>
      <c r="D18" s="53" t="s">
        <v>223</v>
      </c>
      <c r="E18" s="94" t="s">
        <v>63</v>
      </c>
      <c r="F18" s="30"/>
      <c r="G18" s="51">
        <v>6.9</v>
      </c>
      <c r="H18" s="64">
        <f t="shared" si="0"/>
        <v>1822</v>
      </c>
      <c r="I18" s="30"/>
      <c r="J18" s="39"/>
      <c r="O18" s="107">
        <v>7</v>
      </c>
      <c r="P18" s="1">
        <v>3</v>
      </c>
    </row>
    <row r="19" spans="1:16" ht="14.25" x14ac:dyDescent="0.2">
      <c r="A19" s="2" t="s">
        <v>85</v>
      </c>
      <c r="B19" s="2">
        <f ca="1">COLUMN(INDIRECT("originStoppingTimes"))</f>
        <v>7</v>
      </c>
      <c r="C19" s="30"/>
      <c r="D19" s="53" t="s">
        <v>224</v>
      </c>
      <c r="E19" s="94" t="s">
        <v>63</v>
      </c>
      <c r="F19" s="30"/>
      <c r="G19" s="51">
        <v>8</v>
      </c>
      <c r="H19" s="64">
        <f t="shared" si="0"/>
        <v>2112</v>
      </c>
      <c r="I19" s="30"/>
      <c r="J19" s="39"/>
      <c r="O19" s="107">
        <v>8</v>
      </c>
      <c r="P19" s="1">
        <v>3.25</v>
      </c>
    </row>
    <row r="20" spans="1:16" ht="14.25" x14ac:dyDescent="0.2">
      <c r="A20" s="2" t="s">
        <v>86</v>
      </c>
      <c r="B20" s="18" t="str">
        <f ca="1">numbertoletter(B19)</f>
        <v>G</v>
      </c>
      <c r="C20" s="30"/>
      <c r="D20" s="53" t="s">
        <v>225</v>
      </c>
      <c r="E20" s="94" t="s">
        <v>63</v>
      </c>
      <c r="F20" s="30"/>
      <c r="G20" s="51">
        <v>9</v>
      </c>
      <c r="H20" s="64">
        <f t="shared" si="0"/>
        <v>2376</v>
      </c>
      <c r="I20" s="30"/>
      <c r="J20" s="39"/>
      <c r="L20" s="51">
        <v>9.4</v>
      </c>
      <c r="O20" s="107">
        <v>9</v>
      </c>
      <c r="P20" s="1">
        <v>3.5</v>
      </c>
    </row>
    <row r="21" spans="1:16" ht="14.25" x14ac:dyDescent="0.2">
      <c r="A21" s="2" t="s">
        <v>95</v>
      </c>
      <c r="B21" s="2">
        <v>40</v>
      </c>
      <c r="C21" s="30"/>
      <c r="D21" s="53"/>
      <c r="E21" s="94"/>
      <c r="F21" s="30"/>
      <c r="G21" s="51">
        <v>9.6</v>
      </c>
      <c r="H21" s="64">
        <f t="shared" si="0"/>
        <v>2534</v>
      </c>
      <c r="I21" s="30"/>
      <c r="J21" s="39"/>
      <c r="L21" s="51">
        <v>9.6</v>
      </c>
      <c r="O21" s="107">
        <v>10</v>
      </c>
      <c r="P21" s="1">
        <v>3.75</v>
      </c>
    </row>
    <row r="22" spans="1:16" ht="14.25" x14ac:dyDescent="0.2">
      <c r="A22" s="2" t="s">
        <v>87</v>
      </c>
      <c r="B22" s="18" t="str">
        <f ca="1">B20&amp;B18&amp;":"&amp;B20&amp;(B21+B18-1)</f>
        <v>G8:G47</v>
      </c>
      <c r="C22" s="30"/>
      <c r="D22" s="53"/>
      <c r="E22" s="50"/>
      <c r="F22" s="30"/>
      <c r="G22" s="51"/>
      <c r="H22" s="64" t="str">
        <f t="shared" si="0"/>
        <v/>
      </c>
      <c r="I22" s="30"/>
      <c r="J22" s="39"/>
      <c r="P22" s="1">
        <v>4</v>
      </c>
    </row>
    <row r="23" spans="1:16" ht="14.25" x14ac:dyDescent="0.2">
      <c r="A23" s="2" t="s">
        <v>88</v>
      </c>
      <c r="B23" s="2">
        <f ca="1">COUNTA(INDIRECT(B22))</f>
        <v>14</v>
      </c>
      <c r="C23" s="30"/>
      <c r="D23" s="53"/>
      <c r="E23" s="50"/>
      <c r="F23" s="30"/>
      <c r="G23" s="51"/>
      <c r="H23" s="64" t="str">
        <f t="shared" si="0"/>
        <v/>
      </c>
      <c r="I23" s="30"/>
      <c r="J23" s="39"/>
      <c r="P23" s="1">
        <v>4.25</v>
      </c>
    </row>
    <row r="24" spans="1:16" x14ac:dyDescent="0.25">
      <c r="A24" s="2" t="s">
        <v>89</v>
      </c>
      <c r="B24" s="19">
        <v>1</v>
      </c>
      <c r="C24" s="30"/>
      <c r="D24" s="53"/>
      <c r="E24" s="50"/>
      <c r="F24" s="30"/>
      <c r="G24" s="51"/>
      <c r="H24" s="64" t="str">
        <f t="shared" si="0"/>
        <v/>
      </c>
      <c r="I24" s="30"/>
      <c r="J24" s="39"/>
      <c r="P24" s="1">
        <v>4.5</v>
      </c>
    </row>
    <row r="25" spans="1:16" ht="14.25" x14ac:dyDescent="0.2">
      <c r="A25" s="2" t="s">
        <v>110</v>
      </c>
      <c r="B25" s="18" t="str">
        <f ca="1">numbertoletter(B19+1)</f>
        <v>H</v>
      </c>
      <c r="C25" s="30"/>
      <c r="D25" s="53"/>
      <c r="E25" s="50"/>
      <c r="F25" s="30"/>
      <c r="G25" s="51"/>
      <c r="H25" s="64" t="str">
        <f t="shared" si="0"/>
        <v/>
      </c>
      <c r="I25" s="30"/>
      <c r="J25" s="39"/>
      <c r="P25" s="1">
        <v>4.75</v>
      </c>
    </row>
    <row r="26" spans="1:16" ht="14.25" x14ac:dyDescent="0.2">
      <c r="A26" s="2" t="s">
        <v>90</v>
      </c>
      <c r="B26" s="18" t="str">
        <f ca="1">B25&amp;B18&amp;":"&amp;B25&amp;(B18+B23-1)</f>
        <v>H8:H21</v>
      </c>
      <c r="C26" s="30"/>
      <c r="D26" s="53"/>
      <c r="E26" s="50"/>
      <c r="F26" s="30"/>
      <c r="G26" s="51"/>
      <c r="H26" s="64" t="str">
        <f t="shared" si="0"/>
        <v/>
      </c>
      <c r="I26" s="30"/>
      <c r="J26" s="39"/>
      <c r="P26" s="1">
        <v>5</v>
      </c>
    </row>
    <row r="27" spans="1:16" ht="14.25" x14ac:dyDescent="0.2">
      <c r="C27" s="30"/>
      <c r="D27" s="53"/>
      <c r="E27" s="50"/>
      <c r="F27" s="30"/>
      <c r="G27" s="51"/>
      <c r="H27" s="64" t="str">
        <f t="shared" si="0"/>
        <v/>
      </c>
      <c r="I27" s="30"/>
      <c r="J27" s="39"/>
      <c r="P27" s="1">
        <v>5.5</v>
      </c>
    </row>
    <row r="28" spans="1:16" ht="14.25" x14ac:dyDescent="0.2">
      <c r="C28" s="30"/>
      <c r="D28" s="53"/>
      <c r="E28" s="50"/>
      <c r="F28" s="30"/>
      <c r="G28" s="51"/>
      <c r="H28" s="64" t="str">
        <f t="shared" si="0"/>
        <v/>
      </c>
      <c r="I28" s="30"/>
      <c r="J28" s="39"/>
      <c r="P28" s="1">
        <v>6</v>
      </c>
    </row>
    <row r="29" spans="1:16" ht="14.25" x14ac:dyDescent="0.2">
      <c r="C29" s="30"/>
      <c r="D29" s="53"/>
      <c r="E29" s="50"/>
      <c r="F29" s="30"/>
      <c r="G29" s="51"/>
      <c r="H29" s="64" t="str">
        <f t="shared" si="0"/>
        <v/>
      </c>
      <c r="I29" s="30"/>
      <c r="J29" s="39"/>
      <c r="P29" s="1">
        <v>6.5</v>
      </c>
    </row>
    <row r="30" spans="1:16" ht="14.25" x14ac:dyDescent="0.2">
      <c r="C30" s="30"/>
      <c r="D30" s="53"/>
      <c r="E30" s="50"/>
      <c r="F30" s="30"/>
      <c r="G30" s="51"/>
      <c r="H30" s="64" t="str">
        <f t="shared" si="0"/>
        <v/>
      </c>
      <c r="I30" s="30"/>
      <c r="J30" s="39"/>
      <c r="P30" s="1">
        <v>7</v>
      </c>
    </row>
    <row r="31" spans="1:16" ht="14.25" x14ac:dyDescent="0.2">
      <c r="C31" s="30"/>
      <c r="D31" s="53"/>
      <c r="E31" s="50"/>
      <c r="F31" s="30"/>
      <c r="G31" s="51"/>
      <c r="H31" s="64" t="str">
        <f t="shared" si="0"/>
        <v/>
      </c>
      <c r="I31" s="30"/>
      <c r="J31" s="39"/>
      <c r="P31" s="1">
        <v>7.5</v>
      </c>
    </row>
    <row r="32" spans="1:16" ht="14.25" x14ac:dyDescent="0.2">
      <c r="C32" s="30"/>
      <c r="D32" s="53"/>
      <c r="E32" s="50"/>
      <c r="F32" s="30"/>
      <c r="G32" s="51"/>
      <c r="H32" s="64" t="str">
        <f t="shared" si="0"/>
        <v/>
      </c>
      <c r="I32" s="30"/>
      <c r="J32" s="39"/>
      <c r="P32" s="1">
        <v>8</v>
      </c>
    </row>
    <row r="33" spans="3:16" ht="14.25" x14ac:dyDescent="0.2">
      <c r="C33" s="30"/>
      <c r="D33" s="53"/>
      <c r="E33" s="50"/>
      <c r="F33" s="30"/>
      <c r="G33" s="51"/>
      <c r="H33" s="64" t="str">
        <f t="shared" si="0"/>
        <v/>
      </c>
      <c r="I33" s="30"/>
      <c r="J33" s="39"/>
      <c r="P33" s="1">
        <v>8.5</v>
      </c>
    </row>
    <row r="34" spans="3:16" ht="14.25" x14ac:dyDescent="0.2">
      <c r="C34" s="30"/>
      <c r="D34" s="53"/>
      <c r="E34" s="50"/>
      <c r="F34" s="30"/>
      <c r="G34" s="51"/>
      <c r="H34" s="64" t="str">
        <f t="shared" si="0"/>
        <v/>
      </c>
      <c r="I34" s="30"/>
      <c r="J34" s="39"/>
      <c r="P34" s="1">
        <v>9</v>
      </c>
    </row>
    <row r="35" spans="3:16" ht="14.25" x14ac:dyDescent="0.2">
      <c r="C35" s="30"/>
      <c r="D35" s="53"/>
      <c r="E35" s="50"/>
      <c r="F35" s="30"/>
      <c r="G35" s="51"/>
      <c r="H35" s="64" t="str">
        <f t="shared" si="0"/>
        <v/>
      </c>
      <c r="I35" s="30"/>
      <c r="J35" s="39"/>
      <c r="P35" s="1">
        <v>9.5</v>
      </c>
    </row>
    <row r="36" spans="3:16" ht="14.25" x14ac:dyDescent="0.2">
      <c r="C36" s="30"/>
      <c r="D36" s="53"/>
      <c r="E36" s="50"/>
      <c r="F36" s="30"/>
      <c r="G36" s="51"/>
      <c r="H36" s="64" t="str">
        <f t="shared" si="0"/>
        <v/>
      </c>
      <c r="I36" s="30"/>
      <c r="J36" s="39"/>
      <c r="P36" s="1">
        <v>10</v>
      </c>
    </row>
    <row r="37" spans="3:16" ht="14.25" x14ac:dyDescent="0.2">
      <c r="C37" s="30"/>
      <c r="D37" s="53"/>
      <c r="E37" s="50"/>
      <c r="F37" s="30"/>
      <c r="G37" s="93"/>
      <c r="H37" s="64" t="str">
        <f t="shared" si="0"/>
        <v/>
      </c>
      <c r="I37" s="30"/>
      <c r="J37" s="39"/>
    </row>
    <row r="38" spans="3:16" ht="14.25" x14ac:dyDescent="0.2">
      <c r="C38" s="30"/>
      <c r="D38" s="50"/>
      <c r="E38" s="50"/>
      <c r="F38" s="30"/>
      <c r="G38" s="51"/>
      <c r="H38" s="64" t="str">
        <f t="shared" si="0"/>
        <v/>
      </c>
      <c r="I38" s="30"/>
      <c r="J38" s="39"/>
    </row>
    <row r="39" spans="3:16" ht="14.25" x14ac:dyDescent="0.2">
      <c r="C39" s="30"/>
      <c r="D39" s="50"/>
      <c r="E39" s="50"/>
      <c r="F39" s="30"/>
      <c r="G39" s="51"/>
      <c r="H39" s="64" t="str">
        <f t="shared" si="0"/>
        <v/>
      </c>
      <c r="I39" s="30"/>
      <c r="J39" s="39"/>
    </row>
    <row r="40" spans="3:16" ht="14.25" x14ac:dyDescent="0.2">
      <c r="C40" s="30"/>
      <c r="D40" s="50"/>
      <c r="E40" s="50"/>
      <c r="F40" s="30"/>
      <c r="G40" s="51"/>
      <c r="H40" s="64" t="str">
        <f t="shared" si="0"/>
        <v/>
      </c>
      <c r="I40" s="30"/>
      <c r="J40" s="39"/>
    </row>
    <row r="41" spans="3:16" ht="14.25" x14ac:dyDescent="0.2">
      <c r="C41" s="30"/>
      <c r="D41" s="50"/>
      <c r="E41" s="50"/>
      <c r="F41" s="30"/>
      <c r="G41" s="51"/>
      <c r="H41" s="64" t="str">
        <f t="shared" si="0"/>
        <v/>
      </c>
      <c r="I41" s="30"/>
      <c r="J41" s="39"/>
    </row>
    <row r="42" spans="3:16" ht="14.25" x14ac:dyDescent="0.2">
      <c r="C42" s="30"/>
      <c r="D42" s="50"/>
      <c r="E42" s="50"/>
      <c r="F42" s="30"/>
      <c r="G42" s="51"/>
      <c r="H42" s="64" t="str">
        <f t="shared" si="0"/>
        <v/>
      </c>
      <c r="I42" s="30"/>
      <c r="J42" s="39"/>
    </row>
    <row r="43" spans="3:16" ht="14.25" x14ac:dyDescent="0.2">
      <c r="C43" s="30"/>
      <c r="D43" s="50"/>
      <c r="E43" s="50"/>
      <c r="F43" s="30"/>
      <c r="G43" s="51"/>
      <c r="H43" s="64" t="str">
        <f t="shared" si="0"/>
        <v/>
      </c>
      <c r="I43" s="30"/>
      <c r="J43" s="39"/>
    </row>
    <row r="44" spans="3:16" ht="14.25" x14ac:dyDescent="0.2">
      <c r="C44" s="30"/>
      <c r="D44" s="50"/>
      <c r="E44" s="50"/>
      <c r="F44" s="30"/>
      <c r="G44" s="51"/>
      <c r="H44" s="64" t="str">
        <f t="shared" si="0"/>
        <v/>
      </c>
      <c r="I44" s="30"/>
      <c r="J44" s="39"/>
    </row>
    <row r="45" spans="3:16" ht="14.25" x14ac:dyDescent="0.2">
      <c r="C45" s="30"/>
      <c r="D45" s="50"/>
      <c r="E45" s="50"/>
      <c r="F45" s="30"/>
      <c r="G45" s="51"/>
      <c r="H45" s="64" t="str">
        <f t="shared" si="0"/>
        <v/>
      </c>
      <c r="I45" s="30"/>
      <c r="J45" s="39"/>
    </row>
    <row r="46" spans="3:16" ht="14.25" x14ac:dyDescent="0.2">
      <c r="C46" s="30"/>
      <c r="D46" s="50"/>
      <c r="E46" s="50"/>
      <c r="F46" s="30"/>
      <c r="G46" s="51"/>
      <c r="H46" s="64" t="str">
        <f t="shared" si="0"/>
        <v/>
      </c>
      <c r="I46" s="30"/>
      <c r="J46" s="39"/>
    </row>
    <row r="47" spans="3:16" ht="14.25" x14ac:dyDescent="0.2">
      <c r="C47" s="30"/>
      <c r="D47" s="50"/>
      <c r="E47" s="50"/>
      <c r="F47" s="30"/>
      <c r="G47" s="51"/>
      <c r="H47" s="64" t="str">
        <f t="shared" si="0"/>
        <v/>
      </c>
      <c r="I47" s="30"/>
      <c r="J47" s="39"/>
    </row>
    <row r="48" spans="3:16" ht="14.25" x14ac:dyDescent="0.2">
      <c r="C48" s="30"/>
      <c r="D48" s="50"/>
      <c r="E48" s="50"/>
      <c r="F48" s="30"/>
      <c r="G48" s="51"/>
      <c r="H48" s="64" t="str">
        <f t="shared" si="0"/>
        <v/>
      </c>
      <c r="I48" s="30"/>
      <c r="J48" s="39"/>
    </row>
    <row r="49" spans="3:10" ht="14.25" x14ac:dyDescent="0.2">
      <c r="C49" s="30"/>
      <c r="D49" s="50"/>
      <c r="E49" s="50"/>
      <c r="F49" s="30"/>
      <c r="G49" s="51"/>
      <c r="H49" s="64" t="str">
        <f t="shared" si="0"/>
        <v/>
      </c>
      <c r="I49" s="30"/>
      <c r="J49" s="39"/>
    </row>
    <row r="50" spans="3:10" ht="14.25" x14ac:dyDescent="0.2">
      <c r="C50" s="30"/>
      <c r="D50" s="50"/>
      <c r="E50" s="50"/>
      <c r="F50" s="30"/>
      <c r="G50" s="51"/>
      <c r="H50" s="64" t="str">
        <f t="shared" si="0"/>
        <v/>
      </c>
      <c r="I50" s="30"/>
      <c r="J50" s="39"/>
    </row>
    <row r="51" spans="3:10" ht="14.25" x14ac:dyDescent="0.2">
      <c r="C51" s="30"/>
      <c r="D51" s="50"/>
      <c r="E51" s="50"/>
      <c r="F51" s="30"/>
      <c r="G51" s="51"/>
      <c r="H51" s="64" t="str">
        <f t="shared" si="0"/>
        <v/>
      </c>
      <c r="I51" s="30"/>
      <c r="J51" s="39"/>
    </row>
    <row r="52" spans="3:10" ht="14.25" x14ac:dyDescent="0.2">
      <c r="C52" s="30"/>
      <c r="D52" s="50"/>
      <c r="E52" s="50"/>
      <c r="F52" s="30"/>
      <c r="G52" s="51"/>
      <c r="H52" s="64" t="str">
        <f t="shared" si="0"/>
        <v/>
      </c>
      <c r="I52" s="30"/>
      <c r="J52" s="39"/>
    </row>
    <row r="53" spans="3:10" ht="14.25" x14ac:dyDescent="0.2">
      <c r="C53" s="30"/>
      <c r="D53" s="50"/>
      <c r="E53" s="50"/>
      <c r="F53" s="30"/>
      <c r="G53" s="51"/>
      <c r="H53" s="64" t="str">
        <f t="shared" si="0"/>
        <v/>
      </c>
      <c r="I53" s="30"/>
      <c r="J53" s="39"/>
    </row>
    <row r="54" spans="3:10" ht="14.25" x14ac:dyDescent="0.2">
      <c r="C54" s="30"/>
      <c r="D54" s="50"/>
      <c r="E54" s="50"/>
      <c r="F54" s="30"/>
      <c r="G54" s="51"/>
      <c r="H54" s="64" t="str">
        <f t="shared" si="0"/>
        <v/>
      </c>
      <c r="I54" s="30"/>
      <c r="J54" s="39"/>
    </row>
    <row r="55" spans="3:10" ht="14.25" x14ac:dyDescent="0.2">
      <c r="C55" s="30"/>
      <c r="D55" s="50"/>
      <c r="E55" s="50"/>
      <c r="F55" s="30"/>
      <c r="G55" s="51"/>
      <c r="H55" s="64" t="str">
        <f t="shared" si="0"/>
        <v/>
      </c>
      <c r="I55" s="30"/>
      <c r="J55" s="39"/>
    </row>
    <row r="56" spans="3:10" ht="14.25" x14ac:dyDescent="0.2">
      <c r="C56" s="30"/>
      <c r="D56" s="50"/>
      <c r="E56" s="50"/>
      <c r="F56" s="30"/>
      <c r="G56" s="51"/>
      <c r="H56" s="64" t="str">
        <f t="shared" si="0"/>
        <v/>
      </c>
      <c r="I56" s="30"/>
      <c r="J56" s="39"/>
    </row>
    <row r="57" spans="3:10" ht="14.25" x14ac:dyDescent="0.2">
      <c r="C57" s="30"/>
      <c r="D57" s="50"/>
      <c r="E57" s="50"/>
      <c r="F57" s="30"/>
      <c r="G57" s="51"/>
      <c r="H57" s="64" t="str">
        <f t="shared" si="0"/>
        <v/>
      </c>
      <c r="I57" s="30"/>
      <c r="J57" s="39"/>
    </row>
    <row r="58" spans="3:10" ht="14.25" x14ac:dyDescent="0.2">
      <c r="C58" s="30"/>
      <c r="D58" s="50"/>
      <c r="E58" s="50"/>
      <c r="F58" s="30"/>
      <c r="G58" s="51"/>
      <c r="H58" s="64" t="str">
        <f t="shared" si="0"/>
        <v/>
      </c>
      <c r="I58" s="30"/>
      <c r="J58" s="39"/>
    </row>
    <row r="59" spans="3:10" ht="14.25" x14ac:dyDescent="0.2">
      <c r="C59" s="30"/>
      <c r="D59" s="50"/>
      <c r="E59" s="50"/>
      <c r="F59" s="30"/>
      <c r="G59" s="51"/>
      <c r="H59" s="64" t="str">
        <f t="shared" si="0"/>
        <v/>
      </c>
      <c r="I59" s="30"/>
      <c r="J59" s="39"/>
    </row>
    <row r="60" spans="3:10" ht="14.25" x14ac:dyDescent="0.2">
      <c r="C60" s="30"/>
      <c r="D60" s="50"/>
      <c r="E60" s="50"/>
      <c r="F60" s="30"/>
      <c r="G60" s="51"/>
      <c r="H60" s="64" t="str">
        <f t="shared" si="0"/>
        <v/>
      </c>
      <c r="I60" s="30"/>
      <c r="J60" s="39"/>
    </row>
    <row r="61" spans="3:10" ht="14.25" x14ac:dyDescent="0.2">
      <c r="C61" s="30"/>
      <c r="D61" s="50"/>
      <c r="E61" s="50"/>
      <c r="F61" s="30"/>
      <c r="G61" s="51"/>
      <c r="H61" s="64" t="str">
        <f t="shared" si="0"/>
        <v/>
      </c>
      <c r="I61" s="30"/>
      <c r="J61" s="39"/>
    </row>
    <row r="62" spans="3:10" ht="14.25" x14ac:dyDescent="0.2">
      <c r="C62" s="30"/>
      <c r="D62" s="50"/>
      <c r="E62" s="50"/>
      <c r="F62" s="30"/>
      <c r="G62" s="51"/>
      <c r="H62" s="64" t="str">
        <f t="shared" si="0"/>
        <v/>
      </c>
      <c r="I62" s="30"/>
      <c r="J62" s="39"/>
    </row>
    <row r="63" spans="3:10" ht="14.25" x14ac:dyDescent="0.2">
      <c r="C63" s="30"/>
      <c r="D63" s="50"/>
      <c r="E63" s="50"/>
      <c r="F63" s="30"/>
      <c r="G63" s="51"/>
      <c r="H63" s="64" t="str">
        <f t="shared" si="0"/>
        <v/>
      </c>
      <c r="I63" s="30"/>
      <c r="J63" s="39"/>
    </row>
    <row r="64" spans="3:10" ht="14.25" x14ac:dyDescent="0.2">
      <c r="C64" s="30"/>
      <c r="D64" s="50"/>
      <c r="E64" s="50"/>
      <c r="F64" s="30"/>
      <c r="G64" s="51"/>
      <c r="H64" s="64" t="str">
        <f t="shared" si="0"/>
        <v/>
      </c>
      <c r="I64" s="30"/>
      <c r="J64" s="39"/>
    </row>
    <row r="65" spans="3:10" ht="14.25" x14ac:dyDescent="0.2">
      <c r="C65" s="30"/>
      <c r="D65" s="50"/>
      <c r="E65" s="50"/>
      <c r="F65" s="30"/>
      <c r="G65" s="51"/>
      <c r="H65" s="64" t="str">
        <f t="shared" si="0"/>
        <v/>
      </c>
      <c r="I65" s="30"/>
      <c r="J65" s="39"/>
    </row>
    <row r="66" spans="3:10" ht="14.25" x14ac:dyDescent="0.2">
      <c r="C66" s="30"/>
      <c r="D66" s="50"/>
      <c r="E66" s="50"/>
      <c r="F66" s="30"/>
      <c r="G66" s="51"/>
      <c r="H66" s="64" t="str">
        <f t="shared" si="0"/>
        <v/>
      </c>
      <c r="I66" s="30"/>
      <c r="J66" s="39"/>
    </row>
    <row r="67" spans="3:10" ht="14.25" x14ac:dyDescent="0.2">
      <c r="C67" s="30"/>
      <c r="D67" s="50"/>
      <c r="E67" s="50"/>
      <c r="F67" s="30"/>
      <c r="G67" s="51"/>
      <c r="H67" s="64" t="str">
        <f t="shared" si="0"/>
        <v/>
      </c>
      <c r="I67" s="30"/>
      <c r="J67" s="39"/>
    </row>
    <row r="68" spans="3:10" ht="14.25" x14ac:dyDescent="0.2">
      <c r="C68" s="30"/>
      <c r="D68" s="50"/>
      <c r="E68" s="50"/>
      <c r="F68" s="30"/>
      <c r="G68" s="51"/>
      <c r="H68" s="64" t="str">
        <f t="shared" si="0"/>
        <v/>
      </c>
      <c r="I68" s="30"/>
      <c r="J68" s="39"/>
    </row>
    <row r="69" spans="3:10" ht="14.25" x14ac:dyDescent="0.2">
      <c r="C69" s="30"/>
      <c r="D69" s="50"/>
      <c r="E69" s="50"/>
      <c r="F69" s="30"/>
      <c r="G69" s="51"/>
      <c r="H69" s="64" t="str">
        <f t="shared" si="0"/>
        <v/>
      </c>
      <c r="I69" s="30"/>
      <c r="J69" s="39"/>
    </row>
    <row r="70" spans="3:10" ht="14.25" x14ac:dyDescent="0.2">
      <c r="C70" s="30"/>
      <c r="D70" s="50"/>
      <c r="E70" s="50"/>
      <c r="F70" s="30"/>
      <c r="G70" s="51"/>
      <c r="H70" s="64" t="str">
        <f t="shared" si="0"/>
        <v/>
      </c>
      <c r="I70" s="30"/>
      <c r="J70" s="39"/>
    </row>
    <row r="71" spans="3:10" ht="14.25" x14ac:dyDescent="0.2">
      <c r="C71" s="30"/>
      <c r="D71" s="50"/>
      <c r="E71" s="50"/>
      <c r="F71" s="30"/>
      <c r="G71" s="51"/>
      <c r="H71" s="64" t="str">
        <f t="shared" si="0"/>
        <v/>
      </c>
      <c r="I71" s="30"/>
      <c r="J71" s="39"/>
    </row>
    <row r="72" spans="3:10" ht="14.25" x14ac:dyDescent="0.2">
      <c r="C72" s="30"/>
      <c r="D72" s="50"/>
      <c r="E72" s="50"/>
      <c r="F72" s="30"/>
      <c r="G72" s="51"/>
      <c r="H72" s="64" t="str">
        <f t="shared" ref="H72:H105" si="1">IF(G72="","",ROUND(G72*DT,0))</f>
        <v/>
      </c>
      <c r="I72" s="30"/>
      <c r="J72" s="39"/>
    </row>
    <row r="73" spans="3:10" ht="14.25" x14ac:dyDescent="0.2">
      <c r="C73" s="30"/>
      <c r="D73" s="50"/>
      <c r="E73" s="50"/>
      <c r="F73" s="30"/>
      <c r="G73" s="51"/>
      <c r="H73" s="64" t="str">
        <f t="shared" si="1"/>
        <v/>
      </c>
      <c r="I73" s="30"/>
      <c r="J73" s="39"/>
    </row>
    <row r="74" spans="3:10" ht="14.25" x14ac:dyDescent="0.2">
      <c r="C74" s="30"/>
      <c r="D74" s="50"/>
      <c r="E74" s="50"/>
      <c r="F74" s="30"/>
      <c r="G74" s="51"/>
      <c r="H74" s="64" t="str">
        <f t="shared" si="1"/>
        <v/>
      </c>
      <c r="I74" s="30"/>
      <c r="J74" s="39"/>
    </row>
    <row r="75" spans="3:10" ht="14.25" x14ac:dyDescent="0.2">
      <c r="C75" s="30"/>
      <c r="D75" s="50"/>
      <c r="E75" s="50"/>
      <c r="F75" s="30"/>
      <c r="G75" s="51"/>
      <c r="H75" s="64" t="str">
        <f t="shared" si="1"/>
        <v/>
      </c>
      <c r="I75" s="30"/>
      <c r="J75" s="39"/>
    </row>
    <row r="76" spans="3:10" ht="14.25" x14ac:dyDescent="0.2">
      <c r="C76" s="30"/>
      <c r="D76" s="50"/>
      <c r="E76" s="50"/>
      <c r="F76" s="30"/>
      <c r="G76" s="51"/>
      <c r="H76" s="64" t="str">
        <f t="shared" si="1"/>
        <v/>
      </c>
      <c r="I76" s="30"/>
      <c r="J76" s="39"/>
    </row>
    <row r="77" spans="3:10" ht="14.25" x14ac:dyDescent="0.2">
      <c r="C77" s="30"/>
      <c r="D77" s="50"/>
      <c r="E77" s="50"/>
      <c r="F77" s="30"/>
      <c r="G77" s="51"/>
      <c r="H77" s="64" t="str">
        <f t="shared" si="1"/>
        <v/>
      </c>
      <c r="I77" s="30"/>
      <c r="J77" s="39"/>
    </row>
    <row r="78" spans="3:10" ht="14.25" x14ac:dyDescent="0.2">
      <c r="C78" s="30"/>
      <c r="D78" s="50"/>
      <c r="E78" s="50"/>
      <c r="F78" s="30"/>
      <c r="G78" s="51"/>
      <c r="H78" s="64" t="str">
        <f t="shared" si="1"/>
        <v/>
      </c>
      <c r="I78" s="30"/>
      <c r="J78" s="39"/>
    </row>
    <row r="79" spans="3:10" ht="14.25" x14ac:dyDescent="0.2">
      <c r="C79" s="30"/>
      <c r="D79" s="50"/>
      <c r="E79" s="50"/>
      <c r="F79" s="30"/>
      <c r="G79" s="51"/>
      <c r="H79" s="64" t="str">
        <f t="shared" si="1"/>
        <v/>
      </c>
      <c r="I79" s="30"/>
      <c r="J79" s="39"/>
    </row>
    <row r="80" spans="3:10" ht="14.25" x14ac:dyDescent="0.2">
      <c r="C80" s="30"/>
      <c r="D80" s="50"/>
      <c r="E80" s="50"/>
      <c r="F80" s="30"/>
      <c r="G80" s="51"/>
      <c r="H80" s="64" t="str">
        <f t="shared" si="1"/>
        <v/>
      </c>
      <c r="I80" s="30"/>
      <c r="J80" s="39"/>
    </row>
    <row r="81" spans="3:10" ht="14.25" x14ac:dyDescent="0.2">
      <c r="C81" s="30"/>
      <c r="D81" s="50"/>
      <c r="E81" s="50"/>
      <c r="F81" s="30"/>
      <c r="G81" s="51"/>
      <c r="H81" s="64" t="str">
        <f t="shared" si="1"/>
        <v/>
      </c>
      <c r="I81" s="30"/>
      <c r="J81" s="39"/>
    </row>
    <row r="82" spans="3:10" ht="14.25" x14ac:dyDescent="0.2">
      <c r="C82" s="30"/>
      <c r="D82" s="50"/>
      <c r="E82" s="50"/>
      <c r="F82" s="30"/>
      <c r="G82" s="51"/>
      <c r="H82" s="64" t="str">
        <f t="shared" si="1"/>
        <v/>
      </c>
      <c r="I82" s="30"/>
      <c r="J82" s="39"/>
    </row>
    <row r="83" spans="3:10" ht="14.25" x14ac:dyDescent="0.2">
      <c r="C83" s="30"/>
      <c r="D83" s="50"/>
      <c r="E83" s="50"/>
      <c r="F83" s="30"/>
      <c r="G83" s="51"/>
      <c r="H83" s="64" t="str">
        <f t="shared" si="1"/>
        <v/>
      </c>
      <c r="I83" s="30"/>
      <c r="J83" s="39"/>
    </row>
    <row r="84" spans="3:10" ht="14.25" x14ac:dyDescent="0.2">
      <c r="C84" s="30"/>
      <c r="D84" s="50"/>
      <c r="E84" s="50"/>
      <c r="F84" s="30"/>
      <c r="G84" s="51"/>
      <c r="H84" s="64" t="str">
        <f t="shared" si="1"/>
        <v/>
      </c>
      <c r="I84" s="30"/>
      <c r="J84" s="39"/>
    </row>
    <row r="85" spans="3:10" ht="14.25" x14ac:dyDescent="0.2">
      <c r="C85" s="30"/>
      <c r="D85" s="50"/>
      <c r="E85" s="50"/>
      <c r="F85" s="30"/>
      <c r="G85" s="51"/>
      <c r="H85" s="64" t="str">
        <f t="shared" si="1"/>
        <v/>
      </c>
      <c r="I85" s="30"/>
      <c r="J85" s="39"/>
    </row>
    <row r="86" spans="3:10" ht="14.25" x14ac:dyDescent="0.2">
      <c r="C86" s="30"/>
      <c r="D86" s="50"/>
      <c r="E86" s="50"/>
      <c r="F86" s="30"/>
      <c r="G86" s="51"/>
      <c r="H86" s="64" t="str">
        <f t="shared" si="1"/>
        <v/>
      </c>
      <c r="I86" s="30"/>
      <c r="J86" s="39"/>
    </row>
    <row r="87" spans="3:10" ht="14.25" x14ac:dyDescent="0.2">
      <c r="C87" s="30"/>
      <c r="D87" s="50"/>
      <c r="E87" s="50"/>
      <c r="F87" s="30"/>
      <c r="G87" s="51"/>
      <c r="H87" s="64" t="str">
        <f t="shared" si="1"/>
        <v/>
      </c>
      <c r="I87" s="30"/>
      <c r="J87" s="39"/>
    </row>
    <row r="88" spans="3:10" ht="14.25" x14ac:dyDescent="0.2">
      <c r="C88" s="30"/>
      <c r="D88" s="50"/>
      <c r="E88" s="50"/>
      <c r="F88" s="30"/>
      <c r="G88" s="51"/>
      <c r="H88" s="64" t="str">
        <f t="shared" si="1"/>
        <v/>
      </c>
      <c r="I88" s="30"/>
      <c r="J88" s="39"/>
    </row>
    <row r="89" spans="3:10" ht="14.25" x14ac:dyDescent="0.2">
      <c r="C89" s="30"/>
      <c r="D89" s="50"/>
      <c r="E89" s="50"/>
      <c r="F89" s="30"/>
      <c r="G89" s="51"/>
      <c r="H89" s="64" t="str">
        <f t="shared" si="1"/>
        <v/>
      </c>
      <c r="I89" s="30"/>
      <c r="J89" s="39"/>
    </row>
    <row r="90" spans="3:10" ht="14.25" x14ac:dyDescent="0.2">
      <c r="C90" s="30"/>
      <c r="D90" s="50"/>
      <c r="E90" s="50"/>
      <c r="F90" s="30"/>
      <c r="G90" s="51"/>
      <c r="H90" s="64" t="str">
        <f t="shared" si="1"/>
        <v/>
      </c>
      <c r="I90" s="30"/>
      <c r="J90" s="39"/>
    </row>
    <row r="91" spans="3:10" ht="14.25" x14ac:dyDescent="0.2">
      <c r="C91" s="30"/>
      <c r="D91" s="50"/>
      <c r="E91" s="50"/>
      <c r="F91" s="30"/>
      <c r="G91" s="51"/>
      <c r="H91" s="64" t="str">
        <f t="shared" si="1"/>
        <v/>
      </c>
      <c r="I91" s="30"/>
      <c r="J91" s="39"/>
    </row>
    <row r="92" spans="3:10" ht="14.25" x14ac:dyDescent="0.2">
      <c r="C92" s="30"/>
      <c r="D92" s="50"/>
      <c r="E92" s="50"/>
      <c r="F92" s="30"/>
      <c r="G92" s="51"/>
      <c r="H92" s="64" t="str">
        <f t="shared" si="1"/>
        <v/>
      </c>
      <c r="I92" s="30"/>
      <c r="J92" s="39"/>
    </row>
    <row r="93" spans="3:10" ht="14.25" x14ac:dyDescent="0.2">
      <c r="C93" s="30"/>
      <c r="D93" s="50"/>
      <c r="E93" s="50"/>
      <c r="F93" s="30"/>
      <c r="G93" s="51"/>
      <c r="H93" s="64" t="str">
        <f t="shared" si="1"/>
        <v/>
      </c>
      <c r="I93" s="30"/>
      <c r="J93" s="39"/>
    </row>
    <row r="94" spans="3:10" ht="14.25" x14ac:dyDescent="0.2">
      <c r="C94" s="30"/>
      <c r="D94" s="50"/>
      <c r="E94" s="50"/>
      <c r="F94" s="30"/>
      <c r="G94" s="51"/>
      <c r="H94" s="64" t="str">
        <f t="shared" si="1"/>
        <v/>
      </c>
      <c r="I94" s="30"/>
      <c r="J94" s="39"/>
    </row>
    <row r="95" spans="3:10" ht="14.25" x14ac:dyDescent="0.2">
      <c r="C95" s="30"/>
      <c r="D95" s="50"/>
      <c r="E95" s="50"/>
      <c r="F95" s="30"/>
      <c r="G95" s="51"/>
      <c r="H95" s="64" t="str">
        <f t="shared" si="1"/>
        <v/>
      </c>
      <c r="I95" s="30"/>
      <c r="J95" s="39"/>
    </row>
    <row r="96" spans="3:10" ht="14.25" x14ac:dyDescent="0.2">
      <c r="C96" s="30"/>
      <c r="D96" s="50"/>
      <c r="E96" s="50"/>
      <c r="F96" s="30"/>
      <c r="G96" s="51"/>
      <c r="H96" s="64" t="str">
        <f t="shared" si="1"/>
        <v/>
      </c>
      <c r="I96" s="30"/>
      <c r="J96" s="39"/>
    </row>
    <row r="97" spans="3:10" ht="14.25" x14ac:dyDescent="0.2">
      <c r="C97" s="30"/>
      <c r="D97" s="50"/>
      <c r="E97" s="50"/>
      <c r="F97" s="30"/>
      <c r="G97" s="51"/>
      <c r="H97" s="64" t="str">
        <f t="shared" si="1"/>
        <v/>
      </c>
      <c r="I97" s="30"/>
      <c r="J97" s="39"/>
    </row>
    <row r="98" spans="3:10" ht="14.25" x14ac:dyDescent="0.2">
      <c r="C98" s="30"/>
      <c r="D98" s="50"/>
      <c r="E98" s="50"/>
      <c r="F98" s="30"/>
      <c r="G98" s="51"/>
      <c r="H98" s="64" t="str">
        <f t="shared" si="1"/>
        <v/>
      </c>
      <c r="I98" s="30"/>
      <c r="J98" s="39"/>
    </row>
    <row r="99" spans="3:10" ht="14.25" x14ac:dyDescent="0.2">
      <c r="C99" s="30"/>
      <c r="D99" s="50"/>
      <c r="E99" s="50"/>
      <c r="F99" s="30"/>
      <c r="G99" s="51"/>
      <c r="H99" s="64" t="str">
        <f t="shared" si="1"/>
        <v/>
      </c>
      <c r="I99" s="30"/>
      <c r="J99" s="39"/>
    </row>
    <row r="100" spans="3:10" ht="14.25" x14ac:dyDescent="0.2">
      <c r="C100" s="30"/>
      <c r="D100" s="50"/>
      <c r="E100" s="50"/>
      <c r="F100" s="30"/>
      <c r="G100" s="51"/>
      <c r="H100" s="64" t="str">
        <f t="shared" si="1"/>
        <v/>
      </c>
      <c r="I100" s="30"/>
      <c r="J100" s="39"/>
    </row>
    <row r="101" spans="3:10" ht="14.25" x14ac:dyDescent="0.2">
      <c r="C101" s="30"/>
      <c r="D101" s="50"/>
      <c r="E101" s="50"/>
      <c r="F101" s="30"/>
      <c r="G101" s="51"/>
      <c r="H101" s="64" t="str">
        <f t="shared" si="1"/>
        <v/>
      </c>
      <c r="I101" s="30"/>
      <c r="J101" s="39"/>
    </row>
    <row r="102" spans="3:10" ht="14.25" x14ac:dyDescent="0.2">
      <c r="C102" s="30"/>
      <c r="D102" s="50"/>
      <c r="E102" s="50"/>
      <c r="F102" s="30"/>
      <c r="G102" s="51"/>
      <c r="H102" s="64" t="str">
        <f t="shared" si="1"/>
        <v/>
      </c>
      <c r="I102" s="30"/>
      <c r="J102" s="39"/>
    </row>
    <row r="103" spans="3:10" ht="14.25" x14ac:dyDescent="0.2">
      <c r="C103" s="30"/>
      <c r="D103" s="50"/>
      <c r="E103" s="50"/>
      <c r="F103" s="30"/>
      <c r="G103" s="51"/>
      <c r="H103" s="64" t="str">
        <f t="shared" si="1"/>
        <v/>
      </c>
      <c r="I103" s="30"/>
      <c r="J103" s="39"/>
    </row>
    <row r="104" spans="3:10" ht="14.25" x14ac:dyDescent="0.2">
      <c r="C104" s="30"/>
      <c r="D104" s="50"/>
      <c r="E104" s="50"/>
      <c r="F104" s="30"/>
      <c r="G104" s="51"/>
      <c r="H104" s="64" t="str">
        <f t="shared" si="1"/>
        <v/>
      </c>
      <c r="I104" s="30"/>
      <c r="J104" s="39"/>
    </row>
    <row r="105" spans="3:10" ht="14.25" x14ac:dyDescent="0.2">
      <c r="C105" s="30"/>
      <c r="D105" s="50"/>
      <c r="E105" s="50"/>
      <c r="F105" s="30"/>
      <c r="G105" s="51"/>
      <c r="H105" s="64" t="str">
        <f t="shared" si="1"/>
        <v/>
      </c>
      <c r="I105" s="30"/>
      <c r="J105" s="39"/>
    </row>
    <row r="106" spans="3:10" ht="14.25" x14ac:dyDescent="0.2">
      <c r="C106" s="30"/>
      <c r="D106" s="50"/>
      <c r="E106" s="50"/>
      <c r="F106" s="30"/>
      <c r="G106" s="51"/>
      <c r="H106" s="64" t="str">
        <f t="shared" ref="H106:H135" si="2">IF(G106="","",ROUND(G106*DT,0))</f>
        <v/>
      </c>
      <c r="I106" s="30"/>
      <c r="J106" s="39"/>
    </row>
    <row r="107" spans="3:10" ht="14.25" x14ac:dyDescent="0.2">
      <c r="C107" s="30"/>
      <c r="D107" s="50"/>
      <c r="E107" s="50"/>
      <c r="F107" s="30"/>
      <c r="G107" s="51"/>
      <c r="H107" s="64" t="str">
        <f t="shared" si="2"/>
        <v/>
      </c>
      <c r="I107" s="30"/>
      <c r="J107" s="39"/>
    </row>
    <row r="108" spans="3:10" ht="14.25" x14ac:dyDescent="0.2">
      <c r="C108" s="30"/>
      <c r="D108" s="50"/>
      <c r="E108" s="50"/>
      <c r="F108" s="30"/>
      <c r="G108" s="51"/>
      <c r="H108" s="64" t="str">
        <f t="shared" si="2"/>
        <v/>
      </c>
      <c r="I108" s="30"/>
      <c r="J108" s="39"/>
    </row>
    <row r="109" spans="3:10" ht="14.25" x14ac:dyDescent="0.2">
      <c r="C109" s="30"/>
      <c r="D109" s="50"/>
      <c r="E109" s="50"/>
      <c r="F109" s="30"/>
      <c r="G109" s="51"/>
      <c r="H109" s="64" t="str">
        <f t="shared" si="2"/>
        <v/>
      </c>
      <c r="I109" s="30"/>
      <c r="J109" s="39"/>
    </row>
    <row r="110" spans="3:10" ht="14.25" x14ac:dyDescent="0.2">
      <c r="C110" s="30"/>
      <c r="D110" s="50"/>
      <c r="E110" s="50"/>
      <c r="F110" s="30"/>
      <c r="G110" s="51"/>
      <c r="H110" s="64" t="str">
        <f t="shared" si="2"/>
        <v/>
      </c>
      <c r="I110" s="30"/>
      <c r="J110" s="39"/>
    </row>
    <row r="111" spans="3:10" ht="14.25" x14ac:dyDescent="0.2">
      <c r="C111" s="30"/>
      <c r="D111" s="50"/>
      <c r="E111" s="50"/>
      <c r="F111" s="30"/>
      <c r="G111" s="51"/>
      <c r="H111" s="64" t="str">
        <f t="shared" si="2"/>
        <v/>
      </c>
      <c r="I111" s="30"/>
      <c r="J111" s="39"/>
    </row>
    <row r="112" spans="3:10" ht="14.25" x14ac:dyDescent="0.2">
      <c r="C112" s="30"/>
      <c r="D112" s="50"/>
      <c r="E112" s="50"/>
      <c r="F112" s="30"/>
      <c r="G112" s="51"/>
      <c r="H112" s="64" t="str">
        <f t="shared" si="2"/>
        <v/>
      </c>
      <c r="I112" s="30"/>
      <c r="J112" s="39"/>
    </row>
    <row r="113" spans="3:10" ht="14.25" x14ac:dyDescent="0.2">
      <c r="C113" s="30"/>
      <c r="D113" s="50"/>
      <c r="E113" s="50"/>
      <c r="F113" s="30"/>
      <c r="G113" s="51"/>
      <c r="H113" s="64" t="str">
        <f t="shared" si="2"/>
        <v/>
      </c>
      <c r="I113" s="30"/>
      <c r="J113" s="39"/>
    </row>
    <row r="114" spans="3:10" ht="14.25" x14ac:dyDescent="0.2">
      <c r="C114" s="30"/>
      <c r="D114" s="50"/>
      <c r="E114" s="50"/>
      <c r="F114" s="30"/>
      <c r="G114" s="51"/>
      <c r="H114" s="64" t="str">
        <f t="shared" si="2"/>
        <v/>
      </c>
      <c r="I114" s="30"/>
      <c r="J114" s="39"/>
    </row>
    <row r="115" spans="3:10" ht="14.25" x14ac:dyDescent="0.2">
      <c r="C115" s="30"/>
      <c r="D115" s="50"/>
      <c r="E115" s="50"/>
      <c r="F115" s="30"/>
      <c r="G115" s="51"/>
      <c r="H115" s="64" t="str">
        <f t="shared" si="2"/>
        <v/>
      </c>
      <c r="I115" s="30"/>
      <c r="J115" s="39"/>
    </row>
    <row r="116" spans="3:10" ht="14.25" x14ac:dyDescent="0.2">
      <c r="C116" s="30"/>
      <c r="D116" s="50"/>
      <c r="E116" s="50"/>
      <c r="F116" s="30"/>
      <c r="G116" s="51"/>
      <c r="H116" s="64" t="str">
        <f t="shared" si="2"/>
        <v/>
      </c>
      <c r="I116" s="30"/>
      <c r="J116" s="39"/>
    </row>
    <row r="117" spans="3:10" ht="14.25" x14ac:dyDescent="0.2">
      <c r="C117" s="30"/>
      <c r="D117" s="50"/>
      <c r="E117" s="50"/>
      <c r="F117" s="30"/>
      <c r="G117" s="51"/>
      <c r="H117" s="64" t="str">
        <f t="shared" si="2"/>
        <v/>
      </c>
      <c r="I117" s="30"/>
      <c r="J117" s="39"/>
    </row>
    <row r="118" spans="3:10" ht="14.25" x14ac:dyDescent="0.2">
      <c r="C118" s="30"/>
      <c r="D118" s="50"/>
      <c r="E118" s="50"/>
      <c r="F118" s="30"/>
      <c r="G118" s="51"/>
      <c r="H118" s="64" t="str">
        <f t="shared" si="2"/>
        <v/>
      </c>
      <c r="I118" s="30"/>
      <c r="J118" s="39"/>
    </row>
    <row r="119" spans="3:10" ht="14.25" x14ac:dyDescent="0.2">
      <c r="C119" s="30"/>
      <c r="D119" s="50"/>
      <c r="E119" s="50"/>
      <c r="F119" s="30"/>
      <c r="G119" s="51"/>
      <c r="H119" s="64" t="str">
        <f t="shared" si="2"/>
        <v/>
      </c>
      <c r="I119" s="30"/>
      <c r="J119" s="39"/>
    </row>
    <row r="120" spans="3:10" ht="14.25" x14ac:dyDescent="0.2">
      <c r="C120" s="30"/>
      <c r="D120" s="50"/>
      <c r="E120" s="50"/>
      <c r="F120" s="30"/>
      <c r="G120" s="51"/>
      <c r="H120" s="64" t="str">
        <f t="shared" si="2"/>
        <v/>
      </c>
      <c r="I120" s="30"/>
      <c r="J120" s="39"/>
    </row>
    <row r="121" spans="3:10" ht="14.25" x14ac:dyDescent="0.2">
      <c r="C121" s="30"/>
      <c r="D121" s="50"/>
      <c r="E121" s="50"/>
      <c r="F121" s="30"/>
      <c r="G121" s="51"/>
      <c r="H121" s="64" t="str">
        <f t="shared" si="2"/>
        <v/>
      </c>
      <c r="I121" s="30"/>
      <c r="J121" s="39"/>
    </row>
    <row r="122" spans="3:10" ht="14.25" x14ac:dyDescent="0.2">
      <c r="C122" s="30"/>
      <c r="D122" s="50"/>
      <c r="E122" s="50"/>
      <c r="F122" s="30"/>
      <c r="G122" s="51"/>
      <c r="H122" s="64" t="str">
        <f t="shared" si="2"/>
        <v/>
      </c>
      <c r="I122" s="30"/>
      <c r="J122" s="39"/>
    </row>
    <row r="123" spans="3:10" ht="14.25" x14ac:dyDescent="0.2">
      <c r="C123" s="30"/>
      <c r="D123" s="50"/>
      <c r="E123" s="50"/>
      <c r="F123" s="30"/>
      <c r="G123" s="51"/>
      <c r="H123" s="64" t="str">
        <f t="shared" si="2"/>
        <v/>
      </c>
      <c r="I123" s="30"/>
      <c r="J123" s="39"/>
    </row>
    <row r="124" spans="3:10" ht="14.25" x14ac:dyDescent="0.2">
      <c r="C124" s="30"/>
      <c r="D124" s="50"/>
      <c r="E124" s="50"/>
      <c r="F124" s="30"/>
      <c r="G124" s="51"/>
      <c r="H124" s="64" t="str">
        <f t="shared" si="2"/>
        <v/>
      </c>
      <c r="I124" s="30"/>
      <c r="J124" s="39"/>
    </row>
    <row r="125" spans="3:10" ht="14.25" x14ac:dyDescent="0.2">
      <c r="C125" s="30"/>
      <c r="D125" s="50"/>
      <c r="E125" s="50"/>
      <c r="F125" s="30"/>
      <c r="G125" s="51"/>
      <c r="H125" s="64" t="str">
        <f t="shared" si="2"/>
        <v/>
      </c>
      <c r="I125" s="30"/>
      <c r="J125" s="39"/>
    </row>
    <row r="126" spans="3:10" ht="14.25" x14ac:dyDescent="0.2">
      <c r="C126" s="30"/>
      <c r="D126" s="50"/>
      <c r="E126" s="50"/>
      <c r="F126" s="30"/>
      <c r="G126" s="51"/>
      <c r="H126" s="64" t="str">
        <f t="shared" si="2"/>
        <v/>
      </c>
      <c r="I126" s="30"/>
      <c r="J126" s="39"/>
    </row>
    <row r="127" spans="3:10" ht="14.25" x14ac:dyDescent="0.2">
      <c r="C127" s="30"/>
      <c r="D127" s="50"/>
      <c r="E127" s="50"/>
      <c r="F127" s="30"/>
      <c r="G127" s="51"/>
      <c r="H127" s="64" t="str">
        <f t="shared" si="2"/>
        <v/>
      </c>
      <c r="I127" s="30"/>
      <c r="J127" s="39"/>
    </row>
    <row r="128" spans="3:10" ht="14.25" x14ac:dyDescent="0.2">
      <c r="C128" s="30"/>
      <c r="D128" s="50"/>
      <c r="E128" s="50"/>
      <c r="F128" s="30"/>
      <c r="G128" s="51"/>
      <c r="H128" s="64" t="str">
        <f t="shared" si="2"/>
        <v/>
      </c>
      <c r="I128" s="30"/>
      <c r="J128" s="39"/>
    </row>
    <row r="129" spans="3:10" ht="14.25" x14ac:dyDescent="0.2">
      <c r="C129" s="30"/>
      <c r="D129" s="50"/>
      <c r="E129" s="50"/>
      <c r="F129" s="30"/>
      <c r="G129" s="51"/>
      <c r="H129" s="64" t="str">
        <f t="shared" si="2"/>
        <v/>
      </c>
      <c r="I129" s="30"/>
      <c r="J129" s="39"/>
    </row>
    <row r="130" spans="3:10" ht="14.25" x14ac:dyDescent="0.2">
      <c r="C130" s="30"/>
      <c r="D130" s="50"/>
      <c r="E130" s="50"/>
      <c r="F130" s="30"/>
      <c r="G130" s="51"/>
      <c r="H130" s="64" t="str">
        <f t="shared" si="2"/>
        <v/>
      </c>
      <c r="I130" s="30"/>
      <c r="J130" s="39"/>
    </row>
    <row r="131" spans="3:10" ht="14.25" x14ac:dyDescent="0.2">
      <c r="C131" s="30"/>
      <c r="D131" s="50"/>
      <c r="E131" s="50"/>
      <c r="F131" s="30"/>
      <c r="G131" s="51"/>
      <c r="H131" s="64" t="str">
        <f t="shared" si="2"/>
        <v/>
      </c>
      <c r="I131" s="30"/>
      <c r="J131" s="39"/>
    </row>
    <row r="132" spans="3:10" ht="14.25" x14ac:dyDescent="0.2">
      <c r="C132" s="30"/>
      <c r="D132" s="50"/>
      <c r="E132" s="50"/>
      <c r="F132" s="30"/>
      <c r="G132" s="51"/>
      <c r="H132" s="64" t="str">
        <f t="shared" si="2"/>
        <v/>
      </c>
      <c r="I132" s="30"/>
      <c r="J132" s="39"/>
    </row>
    <row r="133" spans="3:10" ht="14.25" x14ac:dyDescent="0.2">
      <c r="C133" s="30"/>
      <c r="D133" s="50"/>
      <c r="E133" s="50"/>
      <c r="F133" s="30"/>
      <c r="G133" s="51"/>
      <c r="H133" s="64" t="str">
        <f t="shared" si="2"/>
        <v/>
      </c>
      <c r="I133" s="30"/>
      <c r="J133" s="39"/>
    </row>
    <row r="134" spans="3:10" ht="14.25" x14ac:dyDescent="0.2">
      <c r="C134" s="30"/>
      <c r="D134" s="50"/>
      <c r="E134" s="50"/>
      <c r="F134" s="30"/>
      <c r="G134" s="51"/>
      <c r="H134" s="64" t="str">
        <f t="shared" si="2"/>
        <v/>
      </c>
      <c r="I134" s="30"/>
      <c r="J134" s="39"/>
    </row>
    <row r="135" spans="3:10" ht="14.25" x14ac:dyDescent="0.2">
      <c r="C135" s="30"/>
      <c r="D135" s="50"/>
      <c r="E135" s="50"/>
      <c r="F135" s="30"/>
      <c r="G135" s="51"/>
      <c r="H135" s="64" t="str">
        <f t="shared" si="2"/>
        <v/>
      </c>
      <c r="I135" s="30"/>
      <c r="J135" s="39"/>
    </row>
    <row r="136" spans="3:10" ht="14.25" x14ac:dyDescent="0.2">
      <c r="C136" s="30"/>
      <c r="D136" s="50"/>
      <c r="E136" s="50"/>
      <c r="F136" s="30"/>
      <c r="G136" s="51"/>
      <c r="H136" s="64" t="str">
        <f t="shared" ref="H136:H199" si="3">IF(G136="","",ROUND(G136*DT,0))</f>
        <v/>
      </c>
      <c r="I136" s="30"/>
      <c r="J136" s="39"/>
    </row>
    <row r="137" spans="3:10" ht="14.25" x14ac:dyDescent="0.2">
      <c r="C137" s="30"/>
      <c r="D137" s="50"/>
      <c r="E137" s="50"/>
      <c r="F137" s="30"/>
      <c r="G137" s="51"/>
      <c r="H137" s="64" t="str">
        <f t="shared" si="3"/>
        <v/>
      </c>
      <c r="I137" s="30"/>
      <c r="J137" s="39"/>
    </row>
    <row r="138" spans="3:10" ht="14.25" x14ac:dyDescent="0.2">
      <c r="C138" s="30"/>
      <c r="D138" s="50"/>
      <c r="E138" s="50"/>
      <c r="F138" s="30"/>
      <c r="G138" s="51"/>
      <c r="H138" s="64" t="str">
        <f t="shared" si="3"/>
        <v/>
      </c>
      <c r="I138" s="30"/>
      <c r="J138" s="39"/>
    </row>
    <row r="139" spans="3:10" ht="14.25" x14ac:dyDescent="0.2">
      <c r="C139" s="30"/>
      <c r="D139" s="50"/>
      <c r="E139" s="50"/>
      <c r="F139" s="30"/>
      <c r="G139" s="51"/>
      <c r="H139" s="64" t="str">
        <f t="shared" si="3"/>
        <v/>
      </c>
      <c r="I139" s="30"/>
      <c r="J139" s="39"/>
    </row>
    <row r="140" spans="3:10" ht="14.25" x14ac:dyDescent="0.2">
      <c r="C140" s="30"/>
      <c r="D140" s="50"/>
      <c r="E140" s="50"/>
      <c r="F140" s="30"/>
      <c r="G140" s="51"/>
      <c r="H140" s="64" t="str">
        <f t="shared" si="3"/>
        <v/>
      </c>
      <c r="I140" s="30"/>
      <c r="J140" s="39"/>
    </row>
    <row r="141" spans="3:10" ht="14.25" x14ac:dyDescent="0.2">
      <c r="C141" s="30"/>
      <c r="D141" s="50"/>
      <c r="E141" s="50"/>
      <c r="F141" s="30"/>
      <c r="G141" s="51"/>
      <c r="H141" s="64" t="str">
        <f t="shared" si="3"/>
        <v/>
      </c>
      <c r="I141" s="30"/>
      <c r="J141" s="39"/>
    </row>
    <row r="142" spans="3:10" ht="14.25" x14ac:dyDescent="0.2">
      <c r="C142" s="30"/>
      <c r="D142" s="50"/>
      <c r="E142" s="50"/>
      <c r="F142" s="30"/>
      <c r="G142" s="51"/>
      <c r="H142" s="64" t="str">
        <f t="shared" si="3"/>
        <v/>
      </c>
      <c r="I142" s="30"/>
      <c r="J142" s="39"/>
    </row>
    <row r="143" spans="3:10" ht="14.25" x14ac:dyDescent="0.2">
      <c r="C143" s="30"/>
      <c r="D143" s="50"/>
      <c r="E143" s="50"/>
      <c r="F143" s="30"/>
      <c r="G143" s="51"/>
      <c r="H143" s="64" t="str">
        <f t="shared" si="3"/>
        <v/>
      </c>
      <c r="I143" s="30"/>
      <c r="J143" s="39"/>
    </row>
    <row r="144" spans="3:10" ht="14.25" x14ac:dyDescent="0.2">
      <c r="C144" s="30"/>
      <c r="D144" s="50"/>
      <c r="E144" s="50"/>
      <c r="F144" s="30"/>
      <c r="G144" s="51"/>
      <c r="H144" s="64" t="str">
        <f t="shared" si="3"/>
        <v/>
      </c>
      <c r="I144" s="30"/>
      <c r="J144" s="39"/>
    </row>
    <row r="145" spans="3:10" ht="14.25" x14ac:dyDescent="0.2">
      <c r="C145" s="30"/>
      <c r="D145" s="50"/>
      <c r="E145" s="50"/>
      <c r="F145" s="30"/>
      <c r="G145" s="51"/>
      <c r="H145" s="64" t="str">
        <f t="shared" si="3"/>
        <v/>
      </c>
      <c r="I145" s="30"/>
      <c r="J145" s="39"/>
    </row>
    <row r="146" spans="3:10" ht="14.25" x14ac:dyDescent="0.2">
      <c r="C146" s="30"/>
      <c r="D146" s="50"/>
      <c r="E146" s="50"/>
      <c r="F146" s="30"/>
      <c r="G146" s="51"/>
      <c r="H146" s="64" t="str">
        <f t="shared" si="3"/>
        <v/>
      </c>
      <c r="I146" s="30"/>
      <c r="J146" s="39"/>
    </row>
    <row r="147" spans="3:10" ht="14.25" x14ac:dyDescent="0.2">
      <c r="C147" s="30"/>
      <c r="D147" s="50"/>
      <c r="E147" s="50"/>
      <c r="F147" s="30"/>
      <c r="G147" s="51"/>
      <c r="H147" s="64" t="str">
        <f t="shared" si="3"/>
        <v/>
      </c>
      <c r="I147" s="30"/>
      <c r="J147" s="39"/>
    </row>
    <row r="148" spans="3:10" ht="14.25" x14ac:dyDescent="0.2">
      <c r="C148" s="30"/>
      <c r="D148" s="50"/>
      <c r="E148" s="50"/>
      <c r="F148" s="30"/>
      <c r="G148" s="51"/>
      <c r="H148" s="64" t="str">
        <f t="shared" si="3"/>
        <v/>
      </c>
      <c r="I148" s="30"/>
      <c r="J148" s="39"/>
    </row>
    <row r="149" spans="3:10" ht="14.25" x14ac:dyDescent="0.2">
      <c r="C149" s="30"/>
      <c r="D149" s="50"/>
      <c r="E149" s="50"/>
      <c r="F149" s="30"/>
      <c r="G149" s="51"/>
      <c r="H149" s="64" t="str">
        <f t="shared" si="3"/>
        <v/>
      </c>
      <c r="I149" s="30"/>
      <c r="J149" s="39"/>
    </row>
    <row r="150" spans="3:10" ht="14.25" x14ac:dyDescent="0.2">
      <c r="C150" s="30"/>
      <c r="D150" s="50"/>
      <c r="E150" s="50"/>
      <c r="F150" s="30"/>
      <c r="G150" s="51"/>
      <c r="H150" s="64" t="str">
        <f t="shared" si="3"/>
        <v/>
      </c>
      <c r="I150" s="30"/>
      <c r="J150" s="39"/>
    </row>
    <row r="151" spans="3:10" ht="14.25" x14ac:dyDescent="0.2">
      <c r="C151" s="30"/>
      <c r="D151" s="50"/>
      <c r="E151" s="50"/>
      <c r="F151" s="30"/>
      <c r="G151" s="51"/>
      <c r="H151" s="64" t="str">
        <f t="shared" si="3"/>
        <v/>
      </c>
      <c r="I151" s="30"/>
      <c r="J151" s="39"/>
    </row>
    <row r="152" spans="3:10" ht="14.25" x14ac:dyDescent="0.2">
      <c r="C152" s="30"/>
      <c r="D152" s="50"/>
      <c r="E152" s="50"/>
      <c r="F152" s="30"/>
      <c r="G152" s="51"/>
      <c r="H152" s="64" t="str">
        <f t="shared" si="3"/>
        <v/>
      </c>
      <c r="I152" s="30"/>
      <c r="J152" s="39"/>
    </row>
    <row r="153" spans="3:10" ht="14.25" x14ac:dyDescent="0.2">
      <c r="C153" s="30"/>
      <c r="D153" s="50"/>
      <c r="E153" s="50"/>
      <c r="F153" s="30"/>
      <c r="G153" s="51"/>
      <c r="H153" s="64" t="str">
        <f t="shared" si="3"/>
        <v/>
      </c>
      <c r="I153" s="30"/>
      <c r="J153" s="39"/>
    </row>
    <row r="154" spans="3:10" ht="14.25" x14ac:dyDescent="0.2">
      <c r="C154" s="30"/>
      <c r="D154" s="50"/>
      <c r="E154" s="50"/>
      <c r="F154" s="30"/>
      <c r="G154" s="51"/>
      <c r="H154" s="64" t="str">
        <f t="shared" si="3"/>
        <v/>
      </c>
      <c r="I154" s="30"/>
      <c r="J154" s="39"/>
    </row>
    <row r="155" spans="3:10" ht="14.25" x14ac:dyDescent="0.2">
      <c r="C155" s="30"/>
      <c r="D155" s="50"/>
      <c r="E155" s="50"/>
      <c r="F155" s="30"/>
      <c r="G155" s="51"/>
      <c r="H155" s="64" t="str">
        <f t="shared" si="3"/>
        <v/>
      </c>
      <c r="I155" s="30"/>
      <c r="J155" s="39"/>
    </row>
    <row r="156" spans="3:10" ht="14.25" x14ac:dyDescent="0.2">
      <c r="C156" s="30"/>
      <c r="D156" s="50"/>
      <c r="E156" s="50"/>
      <c r="F156" s="30"/>
      <c r="G156" s="51"/>
      <c r="H156" s="64" t="str">
        <f t="shared" si="3"/>
        <v/>
      </c>
      <c r="I156" s="30"/>
      <c r="J156" s="39"/>
    </row>
    <row r="157" spans="3:10" ht="14.25" x14ac:dyDescent="0.2">
      <c r="C157" s="30"/>
      <c r="D157" s="50"/>
      <c r="E157" s="50"/>
      <c r="F157" s="30"/>
      <c r="G157" s="51"/>
      <c r="H157" s="64" t="str">
        <f t="shared" si="3"/>
        <v/>
      </c>
      <c r="I157" s="30"/>
      <c r="J157" s="39"/>
    </row>
    <row r="158" spans="3:10" ht="14.25" x14ac:dyDescent="0.2">
      <c r="C158" s="30"/>
      <c r="D158" s="50"/>
      <c r="E158" s="50"/>
      <c r="F158" s="30"/>
      <c r="G158" s="51"/>
      <c r="H158" s="64" t="str">
        <f t="shared" si="3"/>
        <v/>
      </c>
      <c r="I158" s="30"/>
      <c r="J158" s="39"/>
    </row>
    <row r="159" spans="3:10" ht="14.25" x14ac:dyDescent="0.2">
      <c r="C159" s="30"/>
      <c r="D159" s="50"/>
      <c r="E159" s="50"/>
      <c r="F159" s="30"/>
      <c r="G159" s="51"/>
      <c r="H159" s="64" t="str">
        <f t="shared" si="3"/>
        <v/>
      </c>
      <c r="I159" s="30"/>
      <c r="J159" s="39"/>
    </row>
    <row r="160" spans="3:10" ht="14.25" x14ac:dyDescent="0.2">
      <c r="C160" s="30"/>
      <c r="D160" s="50"/>
      <c r="E160" s="50"/>
      <c r="F160" s="30"/>
      <c r="G160" s="51"/>
      <c r="H160" s="64" t="str">
        <f t="shared" si="3"/>
        <v/>
      </c>
      <c r="I160" s="30"/>
      <c r="J160" s="39"/>
    </row>
    <row r="161" spans="3:10" ht="14.25" x14ac:dyDescent="0.2">
      <c r="C161" s="30"/>
      <c r="D161" s="50"/>
      <c r="E161" s="50"/>
      <c r="F161" s="30"/>
      <c r="G161" s="51"/>
      <c r="H161" s="64" t="str">
        <f t="shared" si="3"/>
        <v/>
      </c>
      <c r="I161" s="30"/>
      <c r="J161" s="39"/>
    </row>
    <row r="162" spans="3:10" ht="14.25" x14ac:dyDescent="0.2">
      <c r="C162" s="30"/>
      <c r="D162" s="50"/>
      <c r="E162" s="50"/>
      <c r="F162" s="30"/>
      <c r="G162" s="51"/>
      <c r="H162" s="64" t="str">
        <f t="shared" si="3"/>
        <v/>
      </c>
      <c r="I162" s="30"/>
      <c r="J162" s="39"/>
    </row>
    <row r="163" spans="3:10" ht="14.25" x14ac:dyDescent="0.2">
      <c r="C163" s="30"/>
      <c r="D163" s="50"/>
      <c r="E163" s="50"/>
      <c r="F163" s="30"/>
      <c r="G163" s="51"/>
      <c r="H163" s="64" t="str">
        <f t="shared" si="3"/>
        <v/>
      </c>
      <c r="I163" s="30"/>
      <c r="J163" s="39"/>
    </row>
    <row r="164" spans="3:10" ht="14.25" x14ac:dyDescent="0.2">
      <c r="C164" s="30"/>
      <c r="D164" s="50"/>
      <c r="E164" s="50"/>
      <c r="F164" s="30"/>
      <c r="G164" s="51"/>
      <c r="H164" s="64" t="str">
        <f t="shared" si="3"/>
        <v/>
      </c>
      <c r="I164" s="30"/>
      <c r="J164" s="39"/>
    </row>
    <row r="165" spans="3:10" ht="14.25" x14ac:dyDescent="0.2">
      <c r="C165" s="30"/>
      <c r="D165" s="50"/>
      <c r="E165" s="50"/>
      <c r="F165" s="30"/>
      <c r="G165" s="51"/>
      <c r="H165" s="64" t="str">
        <f t="shared" si="3"/>
        <v/>
      </c>
      <c r="I165" s="30"/>
      <c r="J165" s="39"/>
    </row>
    <row r="166" spans="3:10" ht="14.25" x14ac:dyDescent="0.2">
      <c r="C166" s="30"/>
      <c r="D166" s="50"/>
      <c r="E166" s="50"/>
      <c r="F166" s="30"/>
      <c r="G166" s="51"/>
      <c r="H166" s="64" t="str">
        <f t="shared" si="3"/>
        <v/>
      </c>
      <c r="I166" s="30"/>
      <c r="J166" s="39"/>
    </row>
    <row r="167" spans="3:10" ht="14.25" x14ac:dyDescent="0.2">
      <c r="C167" s="30"/>
      <c r="D167" s="50"/>
      <c r="E167" s="50"/>
      <c r="F167" s="30"/>
      <c r="G167" s="51"/>
      <c r="H167" s="64" t="str">
        <f t="shared" si="3"/>
        <v/>
      </c>
      <c r="I167" s="30"/>
      <c r="J167" s="39"/>
    </row>
    <row r="168" spans="3:10" ht="14.25" x14ac:dyDescent="0.2">
      <c r="C168" s="30"/>
      <c r="D168" s="50"/>
      <c r="E168" s="50"/>
      <c r="F168" s="30"/>
      <c r="G168" s="51"/>
      <c r="H168" s="64" t="str">
        <f t="shared" si="3"/>
        <v/>
      </c>
      <c r="I168" s="30"/>
      <c r="J168" s="39"/>
    </row>
    <row r="169" spans="3:10" ht="14.25" x14ac:dyDescent="0.2">
      <c r="C169" s="30"/>
      <c r="D169" s="50"/>
      <c r="E169" s="50"/>
      <c r="F169" s="30"/>
      <c r="G169" s="51"/>
      <c r="H169" s="64" t="str">
        <f t="shared" si="3"/>
        <v/>
      </c>
      <c r="I169" s="30"/>
      <c r="J169" s="39"/>
    </row>
    <row r="170" spans="3:10" ht="14.25" x14ac:dyDescent="0.2">
      <c r="C170" s="30"/>
      <c r="D170" s="50"/>
      <c r="E170" s="50"/>
      <c r="F170" s="30"/>
      <c r="G170" s="51"/>
      <c r="H170" s="64" t="str">
        <f t="shared" si="3"/>
        <v/>
      </c>
      <c r="I170" s="30"/>
      <c r="J170" s="39"/>
    </row>
    <row r="171" spans="3:10" ht="14.25" x14ac:dyDescent="0.2">
      <c r="C171" s="30"/>
      <c r="D171" s="50"/>
      <c r="E171" s="50"/>
      <c r="F171" s="30"/>
      <c r="G171" s="51"/>
      <c r="H171" s="64" t="str">
        <f t="shared" si="3"/>
        <v/>
      </c>
      <c r="I171" s="30"/>
      <c r="J171" s="39"/>
    </row>
    <row r="172" spans="3:10" ht="14.25" x14ac:dyDescent="0.2">
      <c r="C172" s="30"/>
      <c r="D172" s="50"/>
      <c r="E172" s="50"/>
      <c r="F172" s="30"/>
      <c r="G172" s="51"/>
      <c r="H172" s="64" t="str">
        <f t="shared" si="3"/>
        <v/>
      </c>
      <c r="I172" s="30"/>
      <c r="J172" s="39"/>
    </row>
    <row r="173" spans="3:10" ht="14.25" x14ac:dyDescent="0.2">
      <c r="C173" s="30"/>
      <c r="D173" s="50"/>
      <c r="E173" s="50"/>
      <c r="F173" s="30"/>
      <c r="G173" s="51"/>
      <c r="H173" s="64" t="str">
        <f t="shared" si="3"/>
        <v/>
      </c>
      <c r="I173" s="30"/>
      <c r="J173" s="39"/>
    </row>
    <row r="174" spans="3:10" ht="14.25" x14ac:dyDescent="0.2">
      <c r="C174" s="30"/>
      <c r="D174" s="50"/>
      <c r="E174" s="50"/>
      <c r="F174" s="30"/>
      <c r="G174" s="51"/>
      <c r="H174" s="64" t="str">
        <f t="shared" si="3"/>
        <v/>
      </c>
      <c r="I174" s="30"/>
      <c r="J174" s="39"/>
    </row>
    <row r="175" spans="3:10" ht="14.25" x14ac:dyDescent="0.2">
      <c r="C175" s="30"/>
      <c r="D175" s="50"/>
      <c r="E175" s="50"/>
      <c r="F175" s="30"/>
      <c r="G175" s="51"/>
      <c r="H175" s="64" t="str">
        <f t="shared" si="3"/>
        <v/>
      </c>
      <c r="I175" s="30"/>
      <c r="J175" s="39"/>
    </row>
    <row r="176" spans="3:10" ht="14.25" x14ac:dyDescent="0.2">
      <c r="C176" s="30"/>
      <c r="D176" s="50"/>
      <c r="E176" s="50"/>
      <c r="F176" s="30"/>
      <c r="G176" s="51"/>
      <c r="H176" s="64" t="str">
        <f t="shared" si="3"/>
        <v/>
      </c>
      <c r="I176" s="30"/>
      <c r="J176" s="39"/>
    </row>
    <row r="177" spans="3:10" ht="14.25" x14ac:dyDescent="0.2">
      <c r="C177" s="30"/>
      <c r="D177" s="50"/>
      <c r="E177" s="50"/>
      <c r="F177" s="30"/>
      <c r="G177" s="51"/>
      <c r="H177" s="64" t="str">
        <f t="shared" si="3"/>
        <v/>
      </c>
      <c r="I177" s="30"/>
      <c r="J177" s="39"/>
    </row>
    <row r="178" spans="3:10" ht="14.25" x14ac:dyDescent="0.2">
      <c r="C178" s="30"/>
      <c r="D178" s="50"/>
      <c r="E178" s="50"/>
      <c r="F178" s="30"/>
      <c r="G178" s="51"/>
      <c r="H178" s="64" t="str">
        <f t="shared" si="3"/>
        <v/>
      </c>
      <c r="I178" s="30"/>
      <c r="J178" s="39"/>
    </row>
    <row r="179" spans="3:10" ht="14.25" x14ac:dyDescent="0.2">
      <c r="C179" s="30"/>
      <c r="D179" s="50"/>
      <c r="E179" s="50"/>
      <c r="F179" s="30"/>
      <c r="G179" s="51"/>
      <c r="H179" s="64" t="str">
        <f t="shared" si="3"/>
        <v/>
      </c>
      <c r="I179" s="30"/>
      <c r="J179" s="39"/>
    </row>
    <row r="180" spans="3:10" ht="14.25" x14ac:dyDescent="0.2">
      <c r="C180" s="30"/>
      <c r="D180" s="50"/>
      <c r="E180" s="50"/>
      <c r="F180" s="30"/>
      <c r="G180" s="51"/>
      <c r="H180" s="64" t="str">
        <f t="shared" si="3"/>
        <v/>
      </c>
      <c r="I180" s="30"/>
      <c r="J180" s="39"/>
    </row>
    <row r="181" spans="3:10" ht="14.25" x14ac:dyDescent="0.2">
      <c r="C181" s="30"/>
      <c r="D181" s="50"/>
      <c r="E181" s="50"/>
      <c r="F181" s="30"/>
      <c r="G181" s="51"/>
      <c r="H181" s="64" t="str">
        <f t="shared" si="3"/>
        <v/>
      </c>
      <c r="I181" s="30"/>
      <c r="J181" s="39"/>
    </row>
    <row r="182" spans="3:10" ht="14.25" x14ac:dyDescent="0.2">
      <c r="C182" s="30"/>
      <c r="D182" s="50"/>
      <c r="E182" s="50"/>
      <c r="F182" s="30"/>
      <c r="G182" s="51"/>
      <c r="H182" s="64" t="str">
        <f t="shared" si="3"/>
        <v/>
      </c>
      <c r="I182" s="30"/>
      <c r="J182" s="39"/>
    </row>
    <row r="183" spans="3:10" ht="14.25" x14ac:dyDescent="0.2">
      <c r="C183" s="30"/>
      <c r="D183" s="50"/>
      <c r="E183" s="50"/>
      <c r="F183" s="30"/>
      <c r="G183" s="51"/>
      <c r="H183" s="64" t="str">
        <f t="shared" si="3"/>
        <v/>
      </c>
      <c r="I183" s="30"/>
      <c r="J183" s="39"/>
    </row>
    <row r="184" spans="3:10" ht="14.25" x14ac:dyDescent="0.2">
      <c r="C184" s="30"/>
      <c r="D184" s="50"/>
      <c r="E184" s="50"/>
      <c r="F184" s="30"/>
      <c r="G184" s="51"/>
      <c r="H184" s="64" t="str">
        <f t="shared" si="3"/>
        <v/>
      </c>
      <c r="I184" s="30"/>
      <c r="J184" s="39"/>
    </row>
    <row r="185" spans="3:10" ht="14.25" x14ac:dyDescent="0.2">
      <c r="C185" s="30"/>
      <c r="D185" s="50"/>
      <c r="E185" s="50"/>
      <c r="F185" s="30"/>
      <c r="G185" s="51"/>
      <c r="H185" s="64" t="str">
        <f t="shared" si="3"/>
        <v/>
      </c>
      <c r="I185" s="30"/>
      <c r="J185" s="39"/>
    </row>
    <row r="186" spans="3:10" ht="14.25" x14ac:dyDescent="0.2">
      <c r="C186" s="30"/>
      <c r="D186" s="50"/>
      <c r="E186" s="50"/>
      <c r="F186" s="30"/>
      <c r="G186" s="51"/>
      <c r="H186" s="64" t="str">
        <f t="shared" si="3"/>
        <v/>
      </c>
      <c r="I186" s="30"/>
      <c r="J186" s="39"/>
    </row>
    <row r="187" spans="3:10" ht="14.25" x14ac:dyDescent="0.2">
      <c r="C187" s="30"/>
      <c r="D187" s="50"/>
      <c r="E187" s="50"/>
      <c r="F187" s="30"/>
      <c r="G187" s="51"/>
      <c r="H187" s="64" t="str">
        <f t="shared" si="3"/>
        <v/>
      </c>
      <c r="I187" s="30"/>
      <c r="J187" s="39"/>
    </row>
    <row r="188" spans="3:10" ht="14.25" x14ac:dyDescent="0.2">
      <c r="C188" s="30"/>
      <c r="D188" s="50"/>
      <c r="E188" s="50"/>
      <c r="F188" s="30"/>
      <c r="G188" s="51"/>
      <c r="H188" s="64" t="str">
        <f t="shared" si="3"/>
        <v/>
      </c>
      <c r="I188" s="30"/>
      <c r="J188" s="39"/>
    </row>
    <row r="189" spans="3:10" ht="14.25" x14ac:dyDescent="0.2">
      <c r="C189" s="30"/>
      <c r="D189" s="50"/>
      <c r="E189" s="50"/>
      <c r="F189" s="30"/>
      <c r="G189" s="51"/>
      <c r="H189" s="64" t="str">
        <f t="shared" si="3"/>
        <v/>
      </c>
      <c r="I189" s="30"/>
      <c r="J189" s="39"/>
    </row>
    <row r="190" spans="3:10" ht="14.25" x14ac:dyDescent="0.2">
      <c r="C190" s="30"/>
      <c r="D190" s="50"/>
      <c r="E190" s="50"/>
      <c r="F190" s="30"/>
      <c r="G190" s="51"/>
      <c r="H190" s="64" t="str">
        <f t="shared" si="3"/>
        <v/>
      </c>
      <c r="I190" s="30"/>
      <c r="J190" s="39"/>
    </row>
    <row r="191" spans="3:10" ht="14.25" x14ac:dyDescent="0.2">
      <c r="C191" s="30"/>
      <c r="D191" s="50"/>
      <c r="E191" s="50"/>
      <c r="F191" s="30"/>
      <c r="G191" s="51"/>
      <c r="H191" s="64" t="str">
        <f t="shared" si="3"/>
        <v/>
      </c>
      <c r="I191" s="30"/>
      <c r="J191" s="39"/>
    </row>
    <row r="192" spans="3:10" ht="14.25" x14ac:dyDescent="0.2">
      <c r="C192" s="30"/>
      <c r="D192" s="50"/>
      <c r="E192" s="50"/>
      <c r="F192" s="30"/>
      <c r="G192" s="51"/>
      <c r="H192" s="64" t="str">
        <f t="shared" si="3"/>
        <v/>
      </c>
      <c r="I192" s="30"/>
      <c r="J192" s="39"/>
    </row>
    <row r="193" spans="3:10" ht="14.25" x14ac:dyDescent="0.2">
      <c r="C193" s="30"/>
      <c r="D193" s="50"/>
      <c r="E193" s="50"/>
      <c r="F193" s="30"/>
      <c r="G193" s="51"/>
      <c r="H193" s="64" t="str">
        <f t="shared" si="3"/>
        <v/>
      </c>
      <c r="I193" s="30"/>
      <c r="J193" s="39"/>
    </row>
    <row r="194" spans="3:10" ht="14.25" x14ac:dyDescent="0.2">
      <c r="C194" s="30"/>
      <c r="D194" s="50"/>
      <c r="E194" s="50"/>
      <c r="F194" s="30"/>
      <c r="G194" s="51"/>
      <c r="H194" s="64" t="str">
        <f t="shared" si="3"/>
        <v/>
      </c>
      <c r="I194" s="30"/>
      <c r="J194" s="39"/>
    </row>
    <row r="195" spans="3:10" ht="14.25" x14ac:dyDescent="0.2">
      <c r="C195" s="30"/>
      <c r="D195" s="50"/>
      <c r="E195" s="50"/>
      <c r="F195" s="30"/>
      <c r="G195" s="51"/>
      <c r="H195" s="64" t="str">
        <f t="shared" si="3"/>
        <v/>
      </c>
      <c r="I195" s="30"/>
      <c r="J195" s="39"/>
    </row>
    <row r="196" spans="3:10" ht="14.25" x14ac:dyDescent="0.2">
      <c r="C196" s="30"/>
      <c r="D196" s="50"/>
      <c r="E196" s="50"/>
      <c r="F196" s="30"/>
      <c r="G196" s="51"/>
      <c r="H196" s="64" t="str">
        <f t="shared" si="3"/>
        <v/>
      </c>
      <c r="I196" s="30"/>
      <c r="J196" s="39"/>
    </row>
    <row r="197" spans="3:10" ht="14.25" x14ac:dyDescent="0.2">
      <c r="C197" s="30"/>
      <c r="D197" s="50"/>
      <c r="E197" s="50"/>
      <c r="F197" s="30"/>
      <c r="G197" s="51"/>
      <c r="H197" s="64" t="str">
        <f t="shared" si="3"/>
        <v/>
      </c>
      <c r="I197" s="30"/>
      <c r="J197" s="39"/>
    </row>
    <row r="198" spans="3:10" ht="14.25" x14ac:dyDescent="0.2">
      <c r="C198" s="30"/>
      <c r="D198" s="50"/>
      <c r="E198" s="50"/>
      <c r="F198" s="30"/>
      <c r="G198" s="51"/>
      <c r="H198" s="64" t="str">
        <f t="shared" si="3"/>
        <v/>
      </c>
      <c r="I198" s="30"/>
      <c r="J198" s="39"/>
    </row>
    <row r="199" spans="3:10" ht="14.25" x14ac:dyDescent="0.2">
      <c r="C199" s="30"/>
      <c r="D199" s="50"/>
      <c r="E199" s="50"/>
      <c r="F199" s="30"/>
      <c r="G199" s="51"/>
      <c r="H199" s="64" t="str">
        <f t="shared" si="3"/>
        <v/>
      </c>
      <c r="I199" s="30"/>
      <c r="J199" s="39"/>
    </row>
    <row r="200" spans="3:10" ht="14.25" x14ac:dyDescent="0.2">
      <c r="C200" s="30"/>
      <c r="D200" s="50"/>
      <c r="E200" s="50"/>
      <c r="F200" s="30"/>
      <c r="G200" s="51"/>
      <c r="H200" s="64" t="str">
        <f t="shared" ref="H200:H210" si="4">IF(G200="","",ROUND(G200*DT,0))</f>
        <v/>
      </c>
      <c r="I200" s="30"/>
      <c r="J200" s="39"/>
    </row>
    <row r="201" spans="3:10" ht="14.25" x14ac:dyDescent="0.2">
      <c r="C201" s="30"/>
      <c r="D201" s="50"/>
      <c r="E201" s="50"/>
      <c r="F201" s="30"/>
      <c r="G201" s="51"/>
      <c r="H201" s="64" t="str">
        <f t="shared" si="4"/>
        <v/>
      </c>
      <c r="I201" s="30"/>
      <c r="J201" s="39"/>
    </row>
    <row r="202" spans="3:10" ht="14.25" x14ac:dyDescent="0.2">
      <c r="C202" s="30"/>
      <c r="D202" s="50"/>
      <c r="E202" s="50"/>
      <c r="F202" s="30"/>
      <c r="G202" s="51"/>
      <c r="H202" s="64" t="str">
        <f t="shared" si="4"/>
        <v/>
      </c>
      <c r="I202" s="30"/>
      <c r="J202" s="39"/>
    </row>
    <row r="203" spans="3:10" ht="14.25" x14ac:dyDescent="0.2">
      <c r="C203" s="30"/>
      <c r="D203" s="50"/>
      <c r="E203" s="50"/>
      <c r="F203" s="30"/>
      <c r="G203" s="51"/>
      <c r="H203" s="64" t="str">
        <f t="shared" si="4"/>
        <v/>
      </c>
      <c r="I203" s="30"/>
      <c r="J203" s="39"/>
    </row>
    <row r="204" spans="3:10" ht="14.25" x14ac:dyDescent="0.2">
      <c r="C204" s="30"/>
      <c r="D204" s="50"/>
      <c r="E204" s="50"/>
      <c r="F204" s="30"/>
      <c r="G204" s="51"/>
      <c r="H204" s="64" t="str">
        <f t="shared" si="4"/>
        <v/>
      </c>
      <c r="I204" s="30"/>
      <c r="J204" s="39"/>
    </row>
    <row r="205" spans="3:10" ht="14.25" x14ac:dyDescent="0.2">
      <c r="C205" s="30"/>
      <c r="D205" s="50"/>
      <c r="E205" s="50"/>
      <c r="F205" s="30"/>
      <c r="G205" s="51"/>
      <c r="H205" s="64" t="str">
        <f t="shared" si="4"/>
        <v/>
      </c>
      <c r="I205" s="30"/>
      <c r="J205" s="39"/>
    </row>
    <row r="206" spans="3:10" ht="14.25" x14ac:dyDescent="0.2">
      <c r="C206" s="30"/>
      <c r="D206" s="50"/>
      <c r="E206" s="50"/>
      <c r="F206" s="30"/>
      <c r="G206" s="51"/>
      <c r="H206" s="64" t="str">
        <f t="shared" si="4"/>
        <v/>
      </c>
      <c r="I206" s="30"/>
      <c r="J206" s="39"/>
    </row>
    <row r="207" spans="3:10" ht="14.25" x14ac:dyDescent="0.2">
      <c r="C207" s="30"/>
      <c r="D207" s="50"/>
      <c r="E207" s="50"/>
      <c r="F207" s="30"/>
      <c r="G207" s="51"/>
      <c r="H207" s="64" t="str">
        <f t="shared" si="4"/>
        <v/>
      </c>
      <c r="I207" s="30"/>
      <c r="J207" s="39"/>
    </row>
    <row r="208" spans="3:10" ht="14.25" x14ac:dyDescent="0.2">
      <c r="C208" s="30"/>
      <c r="D208" s="50"/>
      <c r="E208" s="50"/>
      <c r="F208" s="30"/>
      <c r="G208" s="51"/>
      <c r="H208" s="64" t="str">
        <f t="shared" si="4"/>
        <v/>
      </c>
      <c r="I208" s="30"/>
      <c r="J208" s="39"/>
    </row>
    <row r="209" spans="3:10" ht="14.25" x14ac:dyDescent="0.2">
      <c r="C209" s="30"/>
      <c r="D209" s="50"/>
      <c r="E209" s="50"/>
      <c r="F209" s="30"/>
      <c r="G209" s="51"/>
      <c r="H209" s="64" t="str">
        <f t="shared" si="4"/>
        <v/>
      </c>
      <c r="I209" s="30"/>
      <c r="J209" s="39"/>
    </row>
    <row r="210" spans="3:10" ht="14.25" x14ac:dyDescent="0.2">
      <c r="C210" s="30"/>
      <c r="D210" s="50"/>
      <c r="E210" s="50"/>
      <c r="F210" s="30"/>
      <c r="G210" s="51"/>
      <c r="H210" s="64" t="str">
        <f t="shared" si="4"/>
        <v/>
      </c>
      <c r="I210" s="30"/>
      <c r="J210" s="39"/>
    </row>
    <row r="211" spans="3:10" ht="14.25" x14ac:dyDescent="0.2">
      <c r="C211" s="66"/>
      <c r="D211" s="66" t="s">
        <v>108</v>
      </c>
      <c r="E211" s="66"/>
      <c r="F211" s="66"/>
      <c r="G211" s="66"/>
      <c r="H211" s="66"/>
      <c r="I211" s="66"/>
      <c r="J211" s="67"/>
    </row>
  </sheetData>
  <sheetProtection selectLockedCells="1"/>
  <dataValidations count="1">
    <dataValidation type="list" allowBlank="1" showInputMessage="1" showErrorMessage="1" errorTitle="Netting Set no Existe" error="Primero debes especificar un Netting Set a la izquierda antes de asignarlo a una operación." sqref="D8:D11">
      <formula1>INDIRECT($F$4)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¡Atención!" error="Debes poner Si o No.">
          <x14:formula1>
            <xm:f>Auxiliar!$E$5:$E$6</xm:f>
          </x14:formula1>
          <xm:sqref>E8:E1048576</xm:sqref>
        </x14:dataValidation>
        <x14:dataValidation type="list" allowBlank="1" showInputMessage="1" showErrorMessage="1" errorTitle="¡Atención!" error="El nombre de Nettong Set no es válido.">
          <x14:formula1>
            <xm:f>INDIRECT(NettingSets!$F$4)</xm:f>
          </x14:formula1>
          <xm:sqref>D38:D210</xm:sqref>
        </x14:dataValidation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D12:D37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56"/>
  <sheetViews>
    <sheetView showGridLines="0" topLeftCell="C3" zoomScaleNormal="100" workbookViewId="0">
      <selection activeCell="J4" sqref="J4"/>
    </sheetView>
  </sheetViews>
  <sheetFormatPr baseColWidth="10" defaultRowHeight="14.25" outlineLevelRow="1" outlineLevelCol="1" x14ac:dyDescent="0.2"/>
  <cols>
    <col min="1" max="2" width="11" style="22" hidden="1" customWidth="1" outlineLevel="1"/>
    <col min="3" max="3" width="2.625" customWidth="1" collapsed="1"/>
    <col min="4" max="4" width="14.625" customWidth="1"/>
    <col min="5" max="11" width="13.625" customWidth="1"/>
    <col min="12" max="12" width="13.625" style="89" customWidth="1"/>
    <col min="13" max="13" width="11.25" bestFit="1" customWidth="1"/>
    <col min="14" max="14" width="11.5" customWidth="1"/>
    <col min="15" max="15" width="11" style="108"/>
    <col min="16" max="16" width="14.75" style="108" bestFit="1" customWidth="1"/>
    <col min="17" max="20" width="14.625" style="108" bestFit="1" customWidth="1"/>
    <col min="21" max="21" width="18.25" style="108" bestFit="1" customWidth="1"/>
    <col min="22" max="22" width="17.25" style="108" bestFit="1" customWidth="1"/>
    <col min="23" max="23" width="11" style="108"/>
    <col min="24" max="24" width="13.625" style="108" bestFit="1" customWidth="1"/>
    <col min="27" max="27" width="14.625" bestFit="1" customWidth="1"/>
    <col min="28" max="28" width="13.75" customWidth="1"/>
    <col min="29" max="29" width="18.5" bestFit="1" customWidth="1"/>
    <col min="30" max="30" width="16.5" bestFit="1" customWidth="1"/>
    <col min="33" max="33" width="12.125" bestFit="1" customWidth="1"/>
    <col min="35" max="37" width="11.5" bestFit="1" customWidth="1"/>
    <col min="38" max="38" width="14.375" bestFit="1" customWidth="1"/>
  </cols>
  <sheetData>
    <row r="1" spans="1:36" s="22" customFormat="1" hidden="1" outlineLevel="1" x14ac:dyDescent="0.2">
      <c r="O1" s="106"/>
      <c r="P1" s="106"/>
      <c r="Q1" s="106"/>
      <c r="R1" s="106"/>
      <c r="S1" s="106"/>
      <c r="T1" s="106"/>
      <c r="U1" s="106"/>
      <c r="V1" s="106"/>
      <c r="W1" s="106"/>
      <c r="X1" s="106"/>
    </row>
    <row r="2" spans="1:36" s="22" customFormat="1" hidden="1" outlineLevel="1" x14ac:dyDescent="0.2">
      <c r="O2" s="106"/>
      <c r="P2" s="106"/>
      <c r="Q2" s="106"/>
      <c r="R2" s="106"/>
      <c r="S2" s="106"/>
      <c r="T2" s="106"/>
      <c r="U2" s="106"/>
      <c r="V2" s="106"/>
      <c r="W2" s="106"/>
      <c r="X2" s="106"/>
    </row>
    <row r="3" spans="1:36" s="1" customFormat="1" ht="10.5" customHeight="1" collapsed="1" x14ac:dyDescent="0.2">
      <c r="A3" s="2"/>
      <c r="B3" s="2"/>
      <c r="C3" s="30"/>
      <c r="D3" s="29"/>
      <c r="E3" s="29"/>
      <c r="F3" s="29"/>
      <c r="G3" s="29"/>
      <c r="H3" s="29"/>
      <c r="I3" s="29"/>
      <c r="J3" s="29"/>
      <c r="K3" s="29"/>
      <c r="L3" s="29"/>
      <c r="M3" s="63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36" s="1" customFormat="1" ht="42" customHeight="1" x14ac:dyDescent="0.2">
      <c r="A4" s="2"/>
      <c r="B4" s="2"/>
      <c r="C4" s="35" t="s">
        <v>125</v>
      </c>
      <c r="D4" s="58"/>
      <c r="E4" s="58"/>
      <c r="F4" s="30"/>
      <c r="G4" s="30"/>
      <c r="H4" s="30"/>
      <c r="I4" s="30"/>
      <c r="J4" s="30"/>
      <c r="K4" s="30"/>
      <c r="L4" s="30"/>
      <c r="M4" s="39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36" x14ac:dyDescent="0.2"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36" s="24" customFormat="1" ht="24.75" customHeight="1" x14ac:dyDescent="0.2">
      <c r="A6" s="23"/>
      <c r="B6" s="23"/>
      <c r="C6" s="30"/>
      <c r="D6" s="33" t="s">
        <v>65</v>
      </c>
      <c r="E6" s="33" t="s">
        <v>111</v>
      </c>
      <c r="F6" s="33" t="s">
        <v>112</v>
      </c>
      <c r="G6" s="33" t="s">
        <v>211</v>
      </c>
      <c r="H6" s="33" t="s">
        <v>113</v>
      </c>
      <c r="I6" s="33" t="s">
        <v>114</v>
      </c>
      <c r="J6" s="33" t="s">
        <v>115</v>
      </c>
      <c r="K6" s="33" t="s">
        <v>116</v>
      </c>
      <c r="L6" s="33" t="s">
        <v>117</v>
      </c>
      <c r="M6" s="39"/>
      <c r="N6" s="102" t="s">
        <v>2</v>
      </c>
      <c r="O6" s="108"/>
      <c r="W6" s="109"/>
      <c r="X6" s="109"/>
      <c r="AA6" s="133"/>
      <c r="AB6" s="133"/>
      <c r="AC6" s="133"/>
      <c r="AD6" s="133"/>
      <c r="AE6" s="133"/>
      <c r="AF6" s="133"/>
      <c r="AG6" s="133"/>
      <c r="AH6" s="133"/>
      <c r="AI6" s="133"/>
      <c r="AJ6" s="133"/>
    </row>
    <row r="7" spans="1:36" s="26" customFormat="1" ht="25.5" customHeight="1" x14ac:dyDescent="0.2">
      <c r="A7" s="25"/>
      <c r="B7" s="25"/>
      <c r="C7" s="30"/>
      <c r="D7" s="95" t="s">
        <v>141</v>
      </c>
      <c r="E7" s="97">
        <f t="array" ref="E7:L7">_xll.getCreditExposureResults(D7)</f>
        <v>2630434</v>
      </c>
      <c r="F7" s="97">
        <v>2430194.2758650375</v>
      </c>
      <c r="G7" s="97">
        <v>-2345061.8489810391</v>
      </c>
      <c r="H7" s="97">
        <v>-2092466.3187860977</v>
      </c>
      <c r="I7" s="97">
        <v>337727.95707893977</v>
      </c>
      <c r="J7" s="97">
        <v>-26825.492121975891</v>
      </c>
      <c r="K7" s="97">
        <v>224502100.94954708</v>
      </c>
      <c r="L7" s="97">
        <v>30258156.726487715</v>
      </c>
      <c r="M7" s="39"/>
      <c r="N7" s="64">
        <f>+Operations!AP9</f>
        <v>35997254.886579752</v>
      </c>
      <c r="O7" s="108"/>
      <c r="W7" s="86"/>
      <c r="X7" s="86"/>
      <c r="AA7" s="133"/>
      <c r="AB7" s="133"/>
      <c r="AC7" s="133"/>
      <c r="AD7" s="133"/>
      <c r="AE7" s="133"/>
      <c r="AF7" s="133"/>
      <c r="AG7" s="133"/>
      <c r="AH7" s="133"/>
      <c r="AI7" s="133"/>
      <c r="AJ7" s="133"/>
    </row>
    <row r="8" spans="1:36" ht="14.25" customHeight="1" x14ac:dyDescent="0.2">
      <c r="C8" s="30"/>
      <c r="D8" s="95" t="s">
        <v>183</v>
      </c>
      <c r="E8" s="97">
        <f t="array" ref="E8:L8">_xll.getCreditExposureResults(D8)</f>
        <v>825345</v>
      </c>
      <c r="F8" s="97">
        <v>751561.40783392743</v>
      </c>
      <c r="G8" s="97">
        <v>-1618551.4449619555</v>
      </c>
      <c r="H8" s="97">
        <v>-1348015.25842469</v>
      </c>
      <c r="I8" s="97">
        <v>-596453.85059076257</v>
      </c>
      <c r="J8" s="97">
        <v>-480519.89964045479</v>
      </c>
      <c r="K8" s="97">
        <v>142400232.66134468</v>
      </c>
      <c r="L8" s="97">
        <v>4277985.2385285404</v>
      </c>
      <c r="M8" s="39"/>
      <c r="N8" s="64">
        <f>+Operations!AP10</f>
        <v>-2577027.1064674556</v>
      </c>
      <c r="AA8" s="133"/>
      <c r="AB8" s="133"/>
      <c r="AC8" s="133"/>
      <c r="AD8" s="133"/>
      <c r="AE8" s="133"/>
      <c r="AF8" s="133"/>
      <c r="AG8" s="133"/>
      <c r="AH8" s="133"/>
      <c r="AI8" s="133"/>
      <c r="AJ8" s="133"/>
    </row>
    <row r="9" spans="1:36" x14ac:dyDescent="0.2">
      <c r="C9" s="30"/>
      <c r="D9" s="95" t="s">
        <v>184</v>
      </c>
      <c r="E9" s="97">
        <f t="array" ref="E9:L9">_xll.getCreditExposureResults(D9)</f>
        <v>1462234</v>
      </c>
      <c r="F9" s="97">
        <v>1362394.0566828013</v>
      </c>
      <c r="G9" s="97">
        <v>-964566.16320485272</v>
      </c>
      <c r="H9" s="97">
        <v>-805214.92589935497</v>
      </c>
      <c r="I9" s="97">
        <v>557179.13078344637</v>
      </c>
      <c r="J9" s="97">
        <v>-89908.303946219865</v>
      </c>
      <c r="K9" s="97">
        <v>76123056.19924356</v>
      </c>
      <c r="L9" s="97">
        <v>11122378.287684217</v>
      </c>
      <c r="M9" s="39"/>
      <c r="N9" s="64">
        <f>+Operations!AP11</f>
        <v>15765439.58413741</v>
      </c>
      <c r="AA9" s="133"/>
      <c r="AB9" s="133"/>
      <c r="AC9" s="133"/>
      <c r="AD9" s="133"/>
      <c r="AE9" s="133"/>
      <c r="AF9" s="133"/>
      <c r="AG9" s="133"/>
      <c r="AH9" s="133"/>
      <c r="AI9" s="133"/>
      <c r="AJ9" s="133"/>
    </row>
    <row r="10" spans="1:36" x14ac:dyDescent="0.2">
      <c r="C10" s="30"/>
      <c r="D10" s="95" t="s">
        <v>185</v>
      </c>
      <c r="E10" s="97">
        <f t="array" ref="E10:L10">_xll.getCreditExposureResults(D10)</f>
        <v>815766</v>
      </c>
      <c r="F10" s="97">
        <v>771979.55953833112</v>
      </c>
      <c r="G10" s="97">
        <v>-222353.1773512912</v>
      </c>
      <c r="H10" s="97">
        <v>-198985.55303442833</v>
      </c>
      <c r="I10" s="97">
        <v>572994.00650390284</v>
      </c>
      <c r="J10" s="97">
        <v>135930.9466737613</v>
      </c>
      <c r="K10" s="97">
        <v>23225150.946520373</v>
      </c>
      <c r="L10" s="97">
        <v>8604058.9451351818</v>
      </c>
      <c r="M10" s="39"/>
      <c r="N10" s="64">
        <f>+Operations!AP12</f>
        <v>13657886.886598423</v>
      </c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</row>
    <row r="11" spans="1:36" x14ac:dyDescent="0.2">
      <c r="C11" s="30"/>
      <c r="D11" s="95" t="s">
        <v>209</v>
      </c>
      <c r="E11" s="97">
        <f t="array" ref="E11:L11">_xll.getCreditExposureResults(D11)</f>
        <v>948330</v>
      </c>
      <c r="F11" s="97">
        <v>895470.52991497004</v>
      </c>
      <c r="G11" s="97">
        <v>-222353.17735102744</v>
      </c>
      <c r="H11" s="97">
        <v>-198985.55303420036</v>
      </c>
      <c r="I11" s="97">
        <v>696484.97688076971</v>
      </c>
      <c r="J11" s="97">
        <v>177288.70060959939</v>
      </c>
      <c r="K11" s="97">
        <v>58385393.955679432</v>
      </c>
      <c r="L11" s="97">
        <v>9446857.495876044</v>
      </c>
      <c r="M11" s="39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</row>
    <row r="12" spans="1:36" x14ac:dyDescent="0.2">
      <c r="C12" s="30"/>
      <c r="D12" s="95" t="s">
        <v>212</v>
      </c>
      <c r="E12" s="97">
        <f t="array" ref="E12:L12">_xll.getCreditExposureResults(D12)</f>
        <v>1757057</v>
      </c>
      <c r="F12" s="97">
        <v>1599461.6370450745</v>
      </c>
      <c r="G12" s="97">
        <v>-3021250.6050540479</v>
      </c>
      <c r="H12" s="97">
        <v>-2725170.8296493669</v>
      </c>
      <c r="I12" s="97">
        <v>-1125709.1926042924</v>
      </c>
      <c r="J12" s="97">
        <v>-613065.32901427511</v>
      </c>
      <c r="K12" s="97">
        <v>220581281.49430379</v>
      </c>
      <c r="L12" s="97">
        <v>15763308.13172753</v>
      </c>
      <c r="M12" s="39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</row>
    <row r="13" spans="1:36" x14ac:dyDescent="0.2">
      <c r="C13" s="30"/>
      <c r="D13" s="95" t="s">
        <v>220</v>
      </c>
      <c r="E13" s="97">
        <f t="array" ref="E13:L13">_xll.getCreditExposureResults(D13)</f>
        <v>901020</v>
      </c>
      <c r="F13" s="97">
        <v>823308.48353952623</v>
      </c>
      <c r="G13" s="97">
        <v>-1552689.2727244382</v>
      </c>
      <c r="H13" s="97">
        <v>-1288579.3446892982</v>
      </c>
      <c r="I13" s="97">
        <v>-465270.86114977195</v>
      </c>
      <c r="J13" s="97">
        <v>-438173.52525327052</v>
      </c>
      <c r="K13" s="97">
        <v>142685263.51557127</v>
      </c>
      <c r="L13" s="97">
        <v>4874584.8047408583</v>
      </c>
      <c r="M13" s="39"/>
      <c r="P13" s="109"/>
      <c r="Q13" s="109"/>
      <c r="R13" s="109"/>
      <c r="S13" s="109"/>
      <c r="T13" s="109"/>
      <c r="U13" s="109"/>
      <c r="V13" s="109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</row>
    <row r="14" spans="1:36" x14ac:dyDescent="0.2">
      <c r="C14" s="30"/>
      <c r="D14" s="95" t="s">
        <v>221</v>
      </c>
      <c r="E14" s="97">
        <f t="array" ref="E14:L14">_xll.getCreditExposureResults(D14)</f>
        <v>891315</v>
      </c>
      <c r="F14" s="97">
        <v>816983.88341474312</v>
      </c>
      <c r="G14" s="97">
        <v>-1252553.4577457341</v>
      </c>
      <c r="H14" s="97">
        <v>-1064483.8519156452</v>
      </c>
      <c r="I14" s="97">
        <v>-247499.96850090206</v>
      </c>
      <c r="J14" s="97">
        <v>-328981.53165782255</v>
      </c>
      <c r="K14" s="97">
        <v>70907050.077946171</v>
      </c>
      <c r="L14" s="97">
        <v>4781516.659065051</v>
      </c>
      <c r="M14" s="39"/>
      <c r="N14" s="103"/>
      <c r="P14" s="86"/>
      <c r="Q14" s="86"/>
      <c r="R14" s="86"/>
      <c r="S14" s="86"/>
      <c r="T14" s="86"/>
      <c r="U14" s="86"/>
      <c r="V14" s="86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</row>
    <row r="15" spans="1:36" x14ac:dyDescent="0.2">
      <c r="C15" s="30"/>
      <c r="D15" s="95" t="s">
        <v>222</v>
      </c>
      <c r="E15" s="97">
        <f t="array" ref="E15:L15">_xll.getCreditExposureResults(D15)</f>
        <v>577387</v>
      </c>
      <c r="F15" s="97">
        <v>538003.01145064016</v>
      </c>
      <c r="G15" s="97">
        <v>-342491.23955776455</v>
      </c>
      <c r="H15" s="97">
        <v>-311642.33778605744</v>
      </c>
      <c r="I15" s="97">
        <v>226360.67366458272</v>
      </c>
      <c r="J15" s="97">
        <v>29486.478457302328</v>
      </c>
      <c r="K15" s="97">
        <v>57358326.467909545</v>
      </c>
      <c r="L15" s="97">
        <v>3979930.0387086817</v>
      </c>
      <c r="M15" s="39"/>
    </row>
    <row r="16" spans="1:36" x14ac:dyDescent="0.2">
      <c r="C16" s="30"/>
      <c r="D16" s="95" t="s">
        <v>219</v>
      </c>
      <c r="E16" s="97">
        <f t="array" ref="E16:L16">_xll.getCreditExposureResults(D16)</f>
        <v>1229306</v>
      </c>
      <c r="F16" s="97">
        <v>1123341.1400372249</v>
      </c>
      <c r="G16" s="97">
        <v>-3758973.1716370811</v>
      </c>
      <c r="H16" s="97">
        <v>-3382065.5424007745</v>
      </c>
      <c r="I16" s="97">
        <v>-2258724.4023635499</v>
      </c>
      <c r="J16" s="97">
        <v>-1116805.6340401007</v>
      </c>
      <c r="K16" s="97">
        <v>191848490.53944144</v>
      </c>
      <c r="L16" s="97">
        <v>11275795.205710875</v>
      </c>
      <c r="M16" s="39"/>
      <c r="N16" s="31"/>
      <c r="AB16" s="110"/>
    </row>
    <row r="17" spans="1:30" s="31" customFormat="1" x14ac:dyDescent="0.2">
      <c r="A17" s="22"/>
      <c r="B17" s="22"/>
      <c r="C17" s="30"/>
      <c r="D17" s="95" t="s">
        <v>223</v>
      </c>
      <c r="E17" s="97">
        <f t="array" ref="E17:L17">_xll.getCreditExposureResults(D17)</f>
        <v>973446</v>
      </c>
      <c r="F17" s="97">
        <v>888517.45367448695</v>
      </c>
      <c r="G17" s="97">
        <v>-1483133.9181963096</v>
      </c>
      <c r="H17" s="97">
        <v>-1231685.4560182237</v>
      </c>
      <c r="I17" s="97">
        <v>-343168.00234373671</v>
      </c>
      <c r="J17" s="97">
        <v>-392464.86823644192</v>
      </c>
      <c r="K17" s="97">
        <v>148520109.39652488</v>
      </c>
      <c r="L17" s="97">
        <v>5235032.5662155356</v>
      </c>
      <c r="M17" s="39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30" s="31" customFormat="1" x14ac:dyDescent="0.2">
      <c r="A18" s="22"/>
      <c r="B18" s="22"/>
      <c r="C18" s="30"/>
      <c r="D18" s="95" t="s">
        <v>224</v>
      </c>
      <c r="E18" s="97">
        <f t="array" ref="E18:L18">_xll.getCreditExposureResults(D18)</f>
        <v>601983</v>
      </c>
      <c r="F18" s="97">
        <v>555498.24286112713</v>
      </c>
      <c r="G18" s="97">
        <v>-1574183.837457503</v>
      </c>
      <c r="H18" s="97">
        <v>-1332488.5945777893</v>
      </c>
      <c r="I18" s="97">
        <v>-776990.35171666218</v>
      </c>
      <c r="J18" s="97">
        <v>-544414.76842562482</v>
      </c>
      <c r="K18" s="97">
        <v>62669615.702358842</v>
      </c>
      <c r="L18" s="97">
        <v>3433836.7528924607</v>
      </c>
      <c r="M18" s="39"/>
      <c r="O18" s="108"/>
      <c r="W18" s="108"/>
      <c r="X18" s="108"/>
      <c r="AB18" s="105"/>
    </row>
    <row r="19" spans="1:30" s="31" customFormat="1" x14ac:dyDescent="0.2">
      <c r="A19" s="22"/>
      <c r="B19" s="22"/>
      <c r="C19" s="30"/>
      <c r="D19" s="95" t="s">
        <v>225</v>
      </c>
      <c r="E19" s="97">
        <f t="array" ref="E19:L19">_xll.getCreditExposureResults(D19)</f>
        <v>320466</v>
      </c>
      <c r="F19" s="97">
        <v>300150.99115567846</v>
      </c>
      <c r="G19" s="97">
        <v>-537147.87861176685</v>
      </c>
      <c r="H19" s="97">
        <v>-486751.4944832644</v>
      </c>
      <c r="I19" s="97">
        <v>-186600.50332758593</v>
      </c>
      <c r="J19" s="97">
        <v>-134517.84656542406</v>
      </c>
      <c r="K19" s="97">
        <v>46049825.490516707</v>
      </c>
      <c r="L19" s="97">
        <v>2361150.0690213097</v>
      </c>
      <c r="M19" s="39"/>
      <c r="O19" s="108"/>
      <c r="W19" s="108"/>
      <c r="X19" s="108"/>
      <c r="AB19" s="103"/>
      <c r="AD19" s="103"/>
    </row>
    <row r="20" spans="1:30" s="31" customFormat="1" x14ac:dyDescent="0.2">
      <c r="A20" s="22"/>
      <c r="B20" s="22"/>
      <c r="C20" s="30"/>
      <c r="D20" s="95"/>
      <c r="E20" s="97">
        <f t="array" ref="E20:L20">_xll.getCreditExposureResults(D20)</f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39"/>
      <c r="N20"/>
      <c r="O20" s="108"/>
      <c r="W20" s="108"/>
      <c r="X20" s="108"/>
      <c r="AD20" s="104"/>
    </row>
    <row r="21" spans="1:30" x14ac:dyDescent="0.2">
      <c r="C21" s="30"/>
      <c r="D21" s="53"/>
      <c r="E21" s="97">
        <f t="array" ref="E21:L21">_xll.getCreditExposureResults(D21)</f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39"/>
      <c r="N21" s="31"/>
    </row>
    <row r="22" spans="1:30" x14ac:dyDescent="0.2">
      <c r="C22" s="30"/>
      <c r="D22" s="53"/>
      <c r="E22" s="97">
        <f t="array" ref="E22:L22">_xll.getCreditExposureResults(D22)</f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39"/>
      <c r="N22" s="31"/>
      <c r="P22" s="86"/>
    </row>
    <row r="23" spans="1:30" x14ac:dyDescent="0.2">
      <c r="C23" s="30"/>
      <c r="D23" s="53"/>
      <c r="E23" s="97">
        <f t="array" ref="E23:L23">_xll.getCreditExposureResults(D23)</f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39"/>
      <c r="N23" s="31"/>
    </row>
    <row r="24" spans="1:30" x14ac:dyDescent="0.2">
      <c r="C24" s="30"/>
      <c r="D24" s="53"/>
      <c r="E24" s="97">
        <f t="array" ref="E24:L24">_xll.getCreditExposureResults(D24)</f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39"/>
      <c r="N24" s="31"/>
      <c r="O24" s="104"/>
    </row>
    <row r="25" spans="1:30" x14ac:dyDescent="0.2">
      <c r="C25" s="30"/>
      <c r="D25" s="53"/>
      <c r="E25" s="97">
        <f t="array" ref="E25:L25">_xll.getCreditExposureResults(D25)</f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39"/>
    </row>
    <row r="26" spans="1:30" x14ac:dyDescent="0.2">
      <c r="C26" s="30"/>
      <c r="D26" s="53"/>
      <c r="E26" s="97">
        <f t="array" ref="E26:L26">_xll.getCreditExposureResults(D26)</f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39"/>
    </row>
    <row r="27" spans="1:30" x14ac:dyDescent="0.2">
      <c r="C27" s="30"/>
      <c r="D27" s="53"/>
      <c r="E27" s="97">
        <f t="array" ref="E27:L27">_xll.getCreditExposureResults(D27)</f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39"/>
    </row>
    <row r="28" spans="1:30" x14ac:dyDescent="0.2">
      <c r="C28" s="30"/>
      <c r="D28" s="53"/>
      <c r="E28" s="97">
        <f t="array" ref="E28:L28">_xll.getCreditExposureResults(D28)</f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39"/>
    </row>
    <row r="29" spans="1:30" x14ac:dyDescent="0.2">
      <c r="C29" s="30"/>
      <c r="D29" s="53"/>
      <c r="E29" s="97">
        <f t="array" ref="E29:L29">_xll.getCreditExposureResults(D29)</f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39"/>
    </row>
    <row r="30" spans="1:30" x14ac:dyDescent="0.2">
      <c r="C30" s="30"/>
      <c r="D30" s="53"/>
      <c r="E30" s="97">
        <f t="array" ref="E30:L30">_xll.getCreditExposureResults(D30)</f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39"/>
    </row>
    <row r="31" spans="1:30" x14ac:dyDescent="0.2">
      <c r="C31" s="30"/>
      <c r="D31" s="53"/>
      <c r="E31" s="97">
        <f t="array" ref="E31:L31">_xll.getCreditExposureResults(D31)</f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39"/>
    </row>
    <row r="32" spans="1:30" x14ac:dyDescent="0.2">
      <c r="C32" s="30"/>
      <c r="D32" s="53"/>
      <c r="E32" s="97">
        <f t="array" ref="E32:L32">_xll.getCreditExposureResults(D32)</f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39"/>
    </row>
    <row r="33" spans="3:39" x14ac:dyDescent="0.2">
      <c r="C33" s="30"/>
      <c r="D33" s="53"/>
      <c r="E33" s="97">
        <f t="array" ref="E33:L33">_xll.getCreditExposureResults(D33)</f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39"/>
    </row>
    <row r="34" spans="3:39" x14ac:dyDescent="0.2">
      <c r="C34" s="30"/>
      <c r="D34" s="53"/>
      <c r="E34" s="97">
        <f t="array" ref="E34:L34">_xll.getCreditExposureResults(D34)</f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39"/>
    </row>
    <row r="35" spans="3:39" x14ac:dyDescent="0.2">
      <c r="C35" s="30"/>
      <c r="D35" s="53"/>
      <c r="E35" s="97">
        <f t="array" ref="E35:L35">_xll.getCreditExposureResults(D35)</f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39"/>
    </row>
    <row r="36" spans="3:39" x14ac:dyDescent="0.2">
      <c r="C36" s="30"/>
      <c r="D36" s="53"/>
      <c r="E36" s="97">
        <f t="array" ref="E36:L36">_xll.getCreditExposureResults(D36)</f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39"/>
    </row>
    <row r="37" spans="3:39" x14ac:dyDescent="0.2"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</row>
    <row r="42" spans="3:39" x14ac:dyDescent="0.2">
      <c r="P42" s="104"/>
      <c r="Q42" s="104"/>
      <c r="R42" s="104"/>
      <c r="S42" s="104"/>
      <c r="T42" s="104"/>
      <c r="U42" s="104"/>
      <c r="V42" s="104"/>
    </row>
    <row r="43" spans="3:39" x14ac:dyDescent="0.2">
      <c r="P43" s="104"/>
      <c r="Q43" s="104"/>
      <c r="R43" s="104"/>
      <c r="S43" s="104"/>
      <c r="T43" s="104"/>
      <c r="U43" s="104"/>
      <c r="V43" s="104"/>
      <c r="AG43" s="103"/>
      <c r="AH43" s="103"/>
      <c r="AI43" s="103"/>
      <c r="AJ43" s="103"/>
      <c r="AK43" s="103"/>
      <c r="AL43" s="103"/>
      <c r="AM43" s="103"/>
    </row>
    <row r="44" spans="3:39" x14ac:dyDescent="0.2">
      <c r="P44" s="104"/>
      <c r="Q44" s="104"/>
      <c r="R44" s="104"/>
      <c r="S44" s="104"/>
      <c r="T44" s="104"/>
      <c r="U44" s="104"/>
      <c r="V44" s="104"/>
      <c r="AG44" s="103"/>
      <c r="AH44" s="103"/>
      <c r="AI44" s="103"/>
      <c r="AJ44" s="103"/>
      <c r="AK44" s="103"/>
      <c r="AL44" s="103"/>
      <c r="AM44" s="103"/>
    </row>
    <row r="45" spans="3:39" x14ac:dyDescent="0.2">
      <c r="P45" s="104"/>
      <c r="Q45" s="104"/>
      <c r="R45" s="104"/>
      <c r="S45" s="104"/>
      <c r="T45" s="104"/>
      <c r="U45" s="104"/>
      <c r="V45" s="104"/>
      <c r="AG45" s="103"/>
      <c r="AH45" s="103"/>
      <c r="AI45" s="103"/>
      <c r="AJ45" s="103"/>
      <c r="AK45" s="103"/>
      <c r="AL45" s="103"/>
      <c r="AM45" s="103"/>
    </row>
    <row r="47" spans="3:39" x14ac:dyDescent="0.2">
      <c r="AG47" s="108"/>
    </row>
    <row r="48" spans="3:39" x14ac:dyDescent="0.2">
      <c r="AG48" s="108"/>
    </row>
    <row r="49" spans="33:39" x14ac:dyDescent="0.2">
      <c r="AG49" s="108"/>
      <c r="AL49" s="103"/>
      <c r="AM49" s="103"/>
    </row>
    <row r="50" spans="33:39" x14ac:dyDescent="0.2">
      <c r="AG50" s="108"/>
      <c r="AJ50" s="105"/>
      <c r="AL50" s="103"/>
      <c r="AM50" s="103"/>
    </row>
    <row r="51" spans="33:39" x14ac:dyDescent="0.2">
      <c r="AG51" s="108"/>
      <c r="AJ51" s="105"/>
      <c r="AL51" s="103"/>
      <c r="AM51" s="103"/>
    </row>
    <row r="52" spans="33:39" x14ac:dyDescent="0.2">
      <c r="AG52" s="108"/>
    </row>
    <row r="54" spans="33:39" x14ac:dyDescent="0.2">
      <c r="AG54" s="103"/>
      <c r="AH54" s="103"/>
      <c r="AI54" s="103"/>
      <c r="AJ54" s="103"/>
      <c r="AK54" s="103"/>
      <c r="AL54" s="103"/>
      <c r="AM54" s="103"/>
    </row>
    <row r="55" spans="33:39" x14ac:dyDescent="0.2">
      <c r="AG55" s="103"/>
      <c r="AH55" s="103"/>
      <c r="AI55" s="103"/>
      <c r="AJ55" s="103"/>
      <c r="AK55" s="103"/>
      <c r="AL55" s="103"/>
      <c r="AM55" s="103"/>
    </row>
    <row r="56" spans="33:39" x14ac:dyDescent="0.2">
      <c r="AG56" s="103"/>
      <c r="AH56" s="103"/>
      <c r="AI56" s="103"/>
      <c r="AJ56" s="103"/>
      <c r="AK56" s="103"/>
      <c r="AL56" s="103"/>
      <c r="AM56" s="103"/>
    </row>
  </sheetData>
  <sheetProtection selectLockedCells="1"/>
  <mergeCells count="1">
    <mergeCell ref="AA6:AJ14"/>
  </mergeCell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D7:D36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3"/>
  <sheetViews>
    <sheetView showGridLines="0" topLeftCell="C4" workbookViewId="0">
      <selection activeCell="D8" sqref="D8"/>
    </sheetView>
  </sheetViews>
  <sheetFormatPr baseColWidth="10" defaultRowHeight="15" outlineLevelRow="1" outlineLevelCol="1" x14ac:dyDescent="0.2"/>
  <cols>
    <col min="1" max="2" width="11" style="2" hidden="1" customWidth="1" outlineLevel="1"/>
    <col min="3" max="3" width="2.625" style="13" customWidth="1" collapsed="1"/>
    <col min="4" max="4" width="12.625" style="1" customWidth="1"/>
    <col min="5" max="5" width="2.625" style="14" customWidth="1"/>
    <col min="6" max="6" width="12.625" style="1" customWidth="1"/>
    <col min="7" max="7" width="2.625" style="14" customWidth="1"/>
    <col min="8" max="8" width="12.625" style="1" customWidth="1"/>
    <col min="9" max="9" width="2.625" style="14" customWidth="1"/>
    <col min="10" max="10" width="12.625" style="1" customWidth="1"/>
    <col min="11" max="11" width="2.625" style="14" customWidth="1"/>
    <col min="12" max="12" width="12.625" style="1" customWidth="1"/>
    <col min="13" max="13" width="2.625" style="14" customWidth="1"/>
    <col min="14" max="14" width="12.625" style="1" customWidth="1"/>
    <col min="15" max="15" width="3.375" style="14" customWidth="1"/>
    <col min="16" max="16384" width="11" style="1"/>
  </cols>
  <sheetData>
    <row r="1" spans="1:16" s="2" customFormat="1" hidden="1" outlineLevel="1" x14ac:dyDescent="0.2">
      <c r="A1" s="2" t="str">
        <f ca="1">nameOfThisSheet()</f>
        <v>Datos Estaticos</v>
      </c>
      <c r="C1" s="11"/>
      <c r="E1" s="12"/>
      <c r="G1" s="12"/>
      <c r="I1" s="12"/>
      <c r="K1" s="12"/>
      <c r="L1" s="2">
        <f>COUNTA(fxDefinition)</f>
        <v>3</v>
      </c>
      <c r="M1" s="12"/>
      <c r="N1" s="2">
        <f>COUNTA(curveDefinition)</f>
        <v>4</v>
      </c>
      <c r="O1" s="12"/>
    </row>
    <row r="2" spans="1:16" s="2" customFormat="1" hidden="1" outlineLevel="1" x14ac:dyDescent="0.2">
      <c r="C2" s="11"/>
      <c r="E2" s="12"/>
      <c r="G2" s="12"/>
      <c r="I2" s="12"/>
      <c r="K2" s="12"/>
      <c r="L2" s="2" t="str">
        <f ca="1">$A$1&amp;"!O5:O"&amp;(5+L1-1)</f>
        <v>Datos Estaticos!O5:O7</v>
      </c>
      <c r="M2" s="12"/>
      <c r="N2" s="2" t="str">
        <f ca="1">$A$1&amp;"!Q5:Q"&amp;(5+N1-1)</f>
        <v>Datos Estaticos!Q5:Q8</v>
      </c>
      <c r="O2" s="12"/>
    </row>
    <row r="3" spans="1:16" s="2" customFormat="1" hidden="1" outlineLevel="1" x14ac:dyDescent="0.2">
      <c r="C3" s="11"/>
      <c r="E3" s="12"/>
      <c r="G3" s="12"/>
      <c r="I3" s="12"/>
      <c r="K3" s="12"/>
      <c r="M3" s="12"/>
      <c r="O3" s="12"/>
    </row>
    <row r="4" spans="1:16" ht="10.5" customHeight="1" collapsed="1" x14ac:dyDescent="0.2"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63"/>
    </row>
    <row r="5" spans="1:16" ht="42" customHeight="1" x14ac:dyDescent="0.2">
      <c r="C5" s="35" t="s">
        <v>126</v>
      </c>
      <c r="D5" s="58"/>
      <c r="E5" s="58"/>
      <c r="F5" s="30"/>
      <c r="G5" s="30"/>
      <c r="H5" s="30"/>
      <c r="I5" s="30"/>
      <c r="J5" s="30"/>
      <c r="K5" s="30"/>
      <c r="L5" s="30"/>
      <c r="M5" s="30"/>
      <c r="N5" s="30"/>
      <c r="O5" s="30"/>
      <c r="P5" s="39"/>
    </row>
    <row r="6" spans="1:16" s="13" customFormat="1" x14ac:dyDescent="0.2">
      <c r="A6" s="11"/>
      <c r="B6" s="1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9"/>
    </row>
    <row r="7" spans="1:16" s="13" customFormat="1" x14ac:dyDescent="0.2">
      <c r="A7" s="11"/>
      <c r="B7" s="11"/>
      <c r="C7" s="30"/>
      <c r="D7" s="33" t="s">
        <v>19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9"/>
    </row>
    <row r="8" spans="1:16" ht="14.25" x14ac:dyDescent="0.2">
      <c r="C8" s="30"/>
      <c r="D8" s="50" t="s">
        <v>3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9"/>
    </row>
    <row r="9" spans="1:16" ht="14.25" x14ac:dyDescent="0.2"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9"/>
    </row>
    <row r="10" spans="1:16" ht="14.25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9"/>
    </row>
    <row r="11" spans="1:16" ht="14.25" x14ac:dyDescent="0.2"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9"/>
    </row>
    <row r="12" spans="1:16" ht="14.25" x14ac:dyDescent="0.2">
      <c r="C12" s="30"/>
      <c r="D12" s="33" t="s">
        <v>5</v>
      </c>
      <c r="E12" s="30"/>
      <c r="F12" s="33" t="s">
        <v>77</v>
      </c>
      <c r="G12" s="30"/>
      <c r="H12" s="33" t="s">
        <v>1</v>
      </c>
      <c r="I12" s="30"/>
      <c r="J12" s="33" t="s">
        <v>0</v>
      </c>
      <c r="K12" s="30"/>
      <c r="L12" s="33" t="s">
        <v>75</v>
      </c>
      <c r="M12" s="30"/>
      <c r="N12" s="33" t="s">
        <v>15</v>
      </c>
      <c r="O12" s="30"/>
      <c r="P12" s="39"/>
    </row>
    <row r="13" spans="1:16" ht="14.25" x14ac:dyDescent="0.2">
      <c r="C13" s="30"/>
      <c r="D13" s="50" t="s">
        <v>133</v>
      </c>
      <c r="E13" s="30"/>
      <c r="F13" s="50" t="s">
        <v>181</v>
      </c>
      <c r="G13" s="30"/>
      <c r="H13" s="50" t="s">
        <v>0</v>
      </c>
      <c r="I13" s="30"/>
      <c r="J13" s="50" t="s">
        <v>12</v>
      </c>
      <c r="K13" s="30"/>
      <c r="L13" s="50" t="s">
        <v>76</v>
      </c>
      <c r="M13" s="30"/>
      <c r="N13" s="50" t="s">
        <v>16</v>
      </c>
      <c r="O13" s="30"/>
      <c r="P13" s="39"/>
    </row>
    <row r="14" spans="1:16" ht="14.25" x14ac:dyDescent="0.2">
      <c r="C14" s="30"/>
      <c r="D14" s="50" t="s">
        <v>13</v>
      </c>
      <c r="E14" s="30"/>
      <c r="F14" s="94" t="s">
        <v>179</v>
      </c>
      <c r="G14" s="30"/>
      <c r="H14" s="50" t="s">
        <v>15</v>
      </c>
      <c r="I14" s="30"/>
      <c r="J14" s="50"/>
      <c r="K14" s="30"/>
      <c r="L14" s="50" t="s">
        <v>3</v>
      </c>
      <c r="M14" s="30"/>
      <c r="N14" s="50" t="s">
        <v>17</v>
      </c>
      <c r="O14" s="30"/>
      <c r="P14" s="39"/>
    </row>
    <row r="15" spans="1:16" ht="14.25" x14ac:dyDescent="0.2">
      <c r="C15" s="30"/>
      <c r="D15" s="94" t="s">
        <v>4</v>
      </c>
      <c r="E15" s="30"/>
      <c r="F15" s="94" t="s">
        <v>180</v>
      </c>
      <c r="G15" s="30"/>
      <c r="H15" s="50"/>
      <c r="I15" s="30"/>
      <c r="J15" s="50"/>
      <c r="K15" s="30"/>
      <c r="L15" s="50" t="s">
        <v>14</v>
      </c>
      <c r="M15" s="30"/>
      <c r="N15" s="50" t="s">
        <v>74</v>
      </c>
      <c r="O15" s="30"/>
      <c r="P15" s="39"/>
    </row>
    <row r="16" spans="1:16" ht="14.25" x14ac:dyDescent="0.2">
      <c r="C16" s="30"/>
      <c r="D16" s="94"/>
      <c r="E16" s="30"/>
      <c r="F16" s="94" t="s">
        <v>182</v>
      </c>
      <c r="G16" s="30"/>
      <c r="H16" s="50"/>
      <c r="I16" s="30"/>
      <c r="J16" s="50"/>
      <c r="K16" s="30"/>
      <c r="L16" s="50" t="s">
        <v>134</v>
      </c>
      <c r="M16" s="30"/>
      <c r="N16" s="50"/>
      <c r="O16" s="30"/>
      <c r="P16" s="39"/>
    </row>
    <row r="17" spans="3:16" ht="14.25" x14ac:dyDescent="0.2">
      <c r="C17" s="30"/>
      <c r="D17" s="94"/>
      <c r="E17" s="30"/>
      <c r="F17" s="94"/>
      <c r="G17" s="30"/>
      <c r="H17" s="50"/>
      <c r="I17" s="30"/>
      <c r="J17" s="50"/>
      <c r="K17" s="30"/>
      <c r="L17" s="50" t="s">
        <v>136</v>
      </c>
      <c r="M17" s="30"/>
      <c r="N17" s="50"/>
      <c r="O17" s="30"/>
      <c r="P17" s="39"/>
    </row>
    <row r="18" spans="3:16" ht="14.25" x14ac:dyDescent="0.2">
      <c r="C18" s="30"/>
      <c r="D18" s="94"/>
      <c r="E18" s="30"/>
      <c r="F18" s="94"/>
      <c r="G18" s="30"/>
      <c r="H18" s="50"/>
      <c r="I18" s="30"/>
      <c r="J18" s="50"/>
      <c r="K18" s="30"/>
      <c r="L18" s="50" t="s">
        <v>137</v>
      </c>
      <c r="M18" s="30"/>
      <c r="N18" s="50"/>
      <c r="O18" s="30"/>
      <c r="P18" s="39"/>
    </row>
    <row r="19" spans="3:16" ht="14.25" x14ac:dyDescent="0.2">
      <c r="C19" s="30"/>
      <c r="D19" s="94"/>
      <c r="E19" s="30"/>
      <c r="F19" s="94"/>
      <c r="G19" s="30"/>
      <c r="H19" s="50"/>
      <c r="I19" s="30"/>
      <c r="J19" s="50"/>
      <c r="K19" s="30"/>
      <c r="L19" s="50" t="s">
        <v>2</v>
      </c>
      <c r="M19" s="30"/>
      <c r="N19" s="50"/>
      <c r="O19" s="30"/>
      <c r="P19" s="39"/>
    </row>
    <row r="20" spans="3:16" ht="14.25" x14ac:dyDescent="0.2">
      <c r="C20" s="30"/>
      <c r="D20" s="50"/>
      <c r="E20" s="30"/>
      <c r="F20" s="94"/>
      <c r="G20" s="30"/>
      <c r="H20" s="50"/>
      <c r="I20" s="30"/>
      <c r="J20" s="50"/>
      <c r="K20" s="30"/>
      <c r="L20" s="50" t="s">
        <v>135</v>
      </c>
      <c r="M20" s="30"/>
      <c r="N20" s="50"/>
      <c r="O20" s="30"/>
      <c r="P20" s="39"/>
    </row>
    <row r="21" spans="3:16" ht="14.25" x14ac:dyDescent="0.2">
      <c r="C21" s="30"/>
      <c r="D21" s="50"/>
      <c r="E21" s="30"/>
      <c r="F21" s="94"/>
      <c r="G21" s="30"/>
      <c r="H21" s="50"/>
      <c r="I21" s="30"/>
      <c r="J21" s="50"/>
      <c r="K21" s="30"/>
      <c r="L21" s="50"/>
      <c r="M21" s="30"/>
      <c r="N21" s="50"/>
      <c r="O21" s="30"/>
      <c r="P21" s="39"/>
    </row>
    <row r="22" spans="3:16" ht="14.25" x14ac:dyDescent="0.2">
      <c r="C22" s="30"/>
      <c r="D22" s="50"/>
      <c r="E22" s="30"/>
      <c r="F22" s="94"/>
      <c r="G22" s="30"/>
      <c r="H22" s="50"/>
      <c r="I22" s="30"/>
      <c r="J22" s="50"/>
      <c r="K22" s="30"/>
      <c r="L22" s="50"/>
      <c r="M22" s="30"/>
      <c r="N22" s="50"/>
      <c r="O22" s="30"/>
      <c r="P22" s="39"/>
    </row>
    <row r="23" spans="3:16" ht="14.25" x14ac:dyDescent="0.2">
      <c r="C23" s="30"/>
      <c r="D23" s="50"/>
      <c r="E23" s="30"/>
      <c r="F23" s="94"/>
      <c r="G23" s="30"/>
      <c r="H23" s="50"/>
      <c r="I23" s="30"/>
      <c r="J23" s="50"/>
      <c r="K23" s="30"/>
      <c r="L23" s="50"/>
      <c r="M23" s="30"/>
      <c r="N23" s="50"/>
      <c r="O23" s="30"/>
      <c r="P23" s="39"/>
    </row>
    <row r="24" spans="3:16" ht="14.25" x14ac:dyDescent="0.2">
      <c r="C24" s="30"/>
      <c r="D24" s="50"/>
      <c r="E24" s="30"/>
      <c r="F24" s="94"/>
      <c r="G24" s="30"/>
      <c r="H24" s="50"/>
      <c r="I24" s="30"/>
      <c r="J24" s="50"/>
      <c r="K24" s="30"/>
      <c r="L24" s="50"/>
      <c r="M24" s="30"/>
      <c r="N24" s="50"/>
      <c r="O24" s="30"/>
      <c r="P24" s="39"/>
    </row>
    <row r="25" spans="3:16" ht="14.25" x14ac:dyDescent="0.2">
      <c r="C25" s="30"/>
      <c r="D25" s="50"/>
      <c r="E25" s="30"/>
      <c r="F25" s="94"/>
      <c r="G25" s="30"/>
      <c r="H25" s="50"/>
      <c r="I25" s="30"/>
      <c r="J25" s="50"/>
      <c r="K25" s="30"/>
      <c r="L25" s="50"/>
      <c r="M25" s="30"/>
      <c r="N25" s="50"/>
      <c r="O25" s="30"/>
      <c r="P25" s="39"/>
    </row>
    <row r="26" spans="3:16" ht="14.25" x14ac:dyDescent="0.2">
      <c r="C26" s="30"/>
      <c r="D26" s="50"/>
      <c r="E26" s="30"/>
      <c r="F26" s="94"/>
      <c r="G26" s="30"/>
      <c r="H26" s="50"/>
      <c r="I26" s="30"/>
      <c r="J26" s="50"/>
      <c r="K26" s="30"/>
      <c r="L26" s="50"/>
      <c r="M26" s="30"/>
      <c r="N26" s="50"/>
      <c r="O26" s="30"/>
      <c r="P26" s="39"/>
    </row>
    <row r="27" spans="3:16" ht="14.25" x14ac:dyDescent="0.2">
      <c r="C27" s="30"/>
      <c r="D27" s="50"/>
      <c r="E27" s="30"/>
      <c r="F27" s="50"/>
      <c r="G27" s="30"/>
      <c r="H27" s="50"/>
      <c r="I27" s="30"/>
      <c r="J27" s="50"/>
      <c r="K27" s="30"/>
      <c r="L27" s="50"/>
      <c r="M27" s="30"/>
      <c r="N27" s="50"/>
      <c r="O27" s="30"/>
      <c r="P27" s="39"/>
    </row>
    <row r="28" spans="3:16" ht="14.25" x14ac:dyDescent="0.2">
      <c r="C28" s="30"/>
      <c r="D28" s="50"/>
      <c r="E28" s="30"/>
      <c r="F28" s="50"/>
      <c r="G28" s="30"/>
      <c r="H28" s="50"/>
      <c r="I28" s="30"/>
      <c r="J28" s="50"/>
      <c r="K28" s="30"/>
      <c r="L28" s="50"/>
      <c r="M28" s="30"/>
      <c r="N28" s="50"/>
      <c r="O28" s="30"/>
      <c r="P28" s="39"/>
    </row>
    <row r="29" spans="3:16" ht="14.25" x14ac:dyDescent="0.2">
      <c r="C29" s="30"/>
      <c r="D29" s="50"/>
      <c r="E29" s="30"/>
      <c r="F29" s="50"/>
      <c r="G29" s="30"/>
      <c r="H29" s="50"/>
      <c r="I29" s="30"/>
      <c r="J29" s="50"/>
      <c r="K29" s="30"/>
      <c r="L29" s="50"/>
      <c r="M29" s="30"/>
      <c r="N29" s="50"/>
      <c r="O29" s="30"/>
      <c r="P29" s="39"/>
    </row>
    <row r="30" spans="3:16" ht="14.25" x14ac:dyDescent="0.2">
      <c r="C30" s="30"/>
      <c r="D30" s="50"/>
      <c r="E30" s="30"/>
      <c r="F30" s="50"/>
      <c r="G30" s="30"/>
      <c r="H30" s="50"/>
      <c r="I30" s="30"/>
      <c r="J30" s="50"/>
      <c r="K30" s="30"/>
      <c r="L30" s="50"/>
      <c r="M30" s="30"/>
      <c r="N30" s="50"/>
      <c r="O30" s="30"/>
      <c r="P30" s="39"/>
    </row>
    <row r="31" spans="3:16" ht="14.25" x14ac:dyDescent="0.2">
      <c r="C31" s="30"/>
      <c r="D31" s="50"/>
      <c r="E31" s="30"/>
      <c r="F31" s="50"/>
      <c r="G31" s="30"/>
      <c r="H31" s="50"/>
      <c r="I31" s="30"/>
      <c r="J31" s="50"/>
      <c r="K31" s="30"/>
      <c r="L31" s="50"/>
      <c r="M31" s="30"/>
      <c r="N31" s="50"/>
      <c r="O31" s="30"/>
      <c r="P31" s="39"/>
    </row>
    <row r="32" spans="3:16" ht="14.25" x14ac:dyDescent="0.2">
      <c r="C32" s="30"/>
      <c r="D32" s="50"/>
      <c r="E32" s="30"/>
      <c r="F32" s="50"/>
      <c r="G32" s="30"/>
      <c r="H32" s="50"/>
      <c r="I32" s="30"/>
      <c r="J32" s="50"/>
      <c r="K32" s="30"/>
      <c r="L32" s="50"/>
      <c r="M32" s="30"/>
      <c r="N32" s="50"/>
      <c r="O32" s="30"/>
      <c r="P32" s="39"/>
    </row>
    <row r="33" spans="3:16" ht="14.25" x14ac:dyDescent="0.2"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¡Atención!" error="No es una Moneda Base válida. Ver Hoja &quot;Auxiliar&quot;.">
          <x14:formula1>
            <xm:f>Auxiliar!$D$5:$D$9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20"/>
  <sheetViews>
    <sheetView showGridLines="0" topLeftCell="C3" workbookViewId="0">
      <selection activeCell="L21" sqref="L21"/>
    </sheetView>
  </sheetViews>
  <sheetFormatPr baseColWidth="10" defaultRowHeight="14.25" outlineLevelRow="1" outlineLevelCol="1" x14ac:dyDescent="0.2"/>
  <cols>
    <col min="1" max="2" width="0" style="2" hidden="1" customWidth="1" outlineLevel="1"/>
    <col min="3" max="3" width="2.625" style="1" customWidth="1" collapsed="1"/>
    <col min="4" max="4" width="12.625" style="1" customWidth="1"/>
    <col min="5" max="7" width="10.625" style="1" customWidth="1"/>
    <col min="8" max="16384" width="11" style="1"/>
  </cols>
  <sheetData>
    <row r="1" spans="1:8" s="2" customFormat="1" hidden="1" outlineLevel="1" x14ac:dyDescent="0.2">
      <c r="A1" s="2" t="str">
        <f ca="1">nameOfThisSheet()</f>
        <v>Auxiliar</v>
      </c>
      <c r="C1" s="2">
        <f>maxRows()</f>
        <v>1048576</v>
      </c>
    </row>
    <row r="2" spans="1:8" s="2" customFormat="1" hidden="1" outlineLevel="1" x14ac:dyDescent="0.2"/>
    <row r="3" spans="1:8" ht="9.9499999999999993" customHeight="1" collapsed="1" x14ac:dyDescent="0.2">
      <c r="C3" s="62"/>
      <c r="D3" s="62"/>
      <c r="E3" s="62"/>
      <c r="F3" s="62"/>
      <c r="G3" s="62"/>
      <c r="H3" s="39"/>
    </row>
    <row r="4" spans="1:8" x14ac:dyDescent="0.2">
      <c r="C4" s="62"/>
      <c r="D4" s="74" t="s">
        <v>79</v>
      </c>
      <c r="E4" s="74" t="s">
        <v>80</v>
      </c>
      <c r="F4" s="74" t="s">
        <v>106</v>
      </c>
      <c r="G4" s="33" t="s">
        <v>128</v>
      </c>
      <c r="H4" s="39"/>
    </row>
    <row r="5" spans="1:8" x14ac:dyDescent="0.2">
      <c r="C5" s="62"/>
      <c r="D5" s="78" t="s">
        <v>3</v>
      </c>
      <c r="E5" s="78" t="s">
        <v>102</v>
      </c>
      <c r="F5" s="78">
        <f>22*12</f>
        <v>264</v>
      </c>
      <c r="G5" s="78" t="s">
        <v>131</v>
      </c>
      <c r="H5" s="39"/>
    </row>
    <row r="6" spans="1:8" x14ac:dyDescent="0.2">
      <c r="C6" s="62"/>
      <c r="D6" s="78" t="s">
        <v>2</v>
      </c>
      <c r="E6" s="78" t="s">
        <v>63</v>
      </c>
      <c r="F6" s="62"/>
      <c r="G6" s="79" t="s">
        <v>132</v>
      </c>
      <c r="H6" s="39"/>
    </row>
    <row r="7" spans="1:8" x14ac:dyDescent="0.2">
      <c r="C7" s="62"/>
      <c r="D7" s="78"/>
      <c r="E7" s="62"/>
      <c r="F7" s="62"/>
      <c r="G7" s="62"/>
      <c r="H7" s="39"/>
    </row>
    <row r="8" spans="1:8" x14ac:dyDescent="0.2">
      <c r="C8" s="62"/>
      <c r="D8" s="78"/>
      <c r="E8" s="62"/>
      <c r="F8" s="62"/>
      <c r="G8" s="62"/>
      <c r="H8" s="39"/>
    </row>
    <row r="9" spans="1:8" x14ac:dyDescent="0.2">
      <c r="C9" s="62"/>
      <c r="D9" s="78"/>
      <c r="E9" s="62"/>
      <c r="F9" s="62"/>
      <c r="G9" s="62"/>
      <c r="H9" s="39"/>
    </row>
    <row r="10" spans="1:8" x14ac:dyDescent="0.2">
      <c r="C10" s="66"/>
      <c r="D10" s="66"/>
      <c r="E10" s="66"/>
      <c r="F10" s="66"/>
      <c r="G10" s="66"/>
      <c r="H10" s="67"/>
    </row>
    <row r="17" spans="10:12" x14ac:dyDescent="0.2">
      <c r="J17" s="1">
        <v>264</v>
      </c>
    </row>
    <row r="18" spans="10:12" x14ac:dyDescent="0.2">
      <c r="J18" s="1">
        <v>7</v>
      </c>
      <c r="K18" s="1" t="s">
        <v>204</v>
      </c>
    </row>
    <row r="19" spans="10:12" x14ac:dyDescent="0.2">
      <c r="J19" s="1">
        <f>+J17*J18</f>
        <v>1848</v>
      </c>
      <c r="K19" s="1">
        <v>34073.577814266901</v>
      </c>
      <c r="L19" s="111">
        <v>0.2</v>
      </c>
    </row>
    <row r="20" spans="10:12" x14ac:dyDescent="0.2">
      <c r="L20" s="1">
        <v>750</v>
      </c>
    </row>
  </sheetData>
  <sheetProtection select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22"/>
  <sheetViews>
    <sheetView showGridLines="0" workbookViewId="0">
      <selection activeCell="D9" sqref="D9"/>
    </sheetView>
  </sheetViews>
  <sheetFormatPr baseColWidth="10" defaultRowHeight="14.25" x14ac:dyDescent="0.2"/>
  <cols>
    <col min="1" max="1" width="14" style="31" bestFit="1" customWidth="1"/>
    <col min="2" max="2" width="37.875" style="31" customWidth="1"/>
    <col min="3" max="16384" width="11" style="31"/>
  </cols>
  <sheetData>
    <row r="1" spans="1:2" x14ac:dyDescent="0.2">
      <c r="A1" s="33" t="s">
        <v>148</v>
      </c>
      <c r="B1" s="33" t="s">
        <v>149</v>
      </c>
    </row>
    <row r="2" spans="1:2" ht="36" x14ac:dyDescent="0.2">
      <c r="A2" s="64" t="s">
        <v>18</v>
      </c>
      <c r="B2" s="64" t="s">
        <v>150</v>
      </c>
    </row>
    <row r="3" spans="1:2" x14ac:dyDescent="0.2">
      <c r="A3" s="64" t="s">
        <v>1</v>
      </c>
      <c r="B3" s="64" t="s">
        <v>151</v>
      </c>
    </row>
    <row r="4" spans="1:2" ht="36" x14ac:dyDescent="0.2">
      <c r="A4" s="64" t="s">
        <v>11</v>
      </c>
      <c r="B4" s="64" t="s">
        <v>152</v>
      </c>
    </row>
    <row r="5" spans="1:2" ht="24" x14ac:dyDescent="0.2">
      <c r="A5" s="64" t="s">
        <v>10</v>
      </c>
      <c r="B5" s="64" t="s">
        <v>153</v>
      </c>
    </row>
    <row r="6" spans="1:2" ht="48" x14ac:dyDescent="0.2">
      <c r="A6" s="64" t="s">
        <v>29</v>
      </c>
      <c r="B6" s="64" t="s">
        <v>154</v>
      </c>
    </row>
    <row r="7" spans="1:2" ht="48" x14ac:dyDescent="0.2">
      <c r="A7" s="64" t="s">
        <v>30</v>
      </c>
      <c r="B7" s="64" t="s">
        <v>155</v>
      </c>
    </row>
    <row r="8" spans="1:2" x14ac:dyDescent="0.2">
      <c r="A8" s="64" t="s">
        <v>31</v>
      </c>
      <c r="B8" s="64" t="s">
        <v>156</v>
      </c>
    </row>
    <row r="9" spans="1:2" x14ac:dyDescent="0.2">
      <c r="A9" s="64" t="s">
        <v>32</v>
      </c>
      <c r="B9" s="64" t="s">
        <v>157</v>
      </c>
    </row>
    <row r="10" spans="1:2" x14ac:dyDescent="0.2">
      <c r="A10" s="64" t="s">
        <v>33</v>
      </c>
      <c r="B10" s="64" t="s">
        <v>158</v>
      </c>
    </row>
    <row r="11" spans="1:2" ht="24" x14ac:dyDescent="0.2">
      <c r="A11" s="64" t="s">
        <v>34</v>
      </c>
      <c r="B11" s="64" t="s">
        <v>159</v>
      </c>
    </row>
    <row r="12" spans="1:2" ht="48" x14ac:dyDescent="0.2">
      <c r="A12" s="64" t="s">
        <v>35</v>
      </c>
      <c r="B12" s="64" t="s">
        <v>160</v>
      </c>
    </row>
    <row r="13" spans="1:2" ht="24" x14ac:dyDescent="0.2">
      <c r="A13" s="64" t="s">
        <v>36</v>
      </c>
      <c r="B13" s="64" t="s">
        <v>161</v>
      </c>
    </row>
    <row r="14" spans="1:2" ht="24" x14ac:dyDescent="0.2">
      <c r="A14" s="64" t="s">
        <v>37</v>
      </c>
      <c r="B14" s="64" t="s">
        <v>162</v>
      </c>
    </row>
    <row r="15" spans="1:2" ht="36" x14ac:dyDescent="0.2">
      <c r="A15" s="64" t="s">
        <v>38</v>
      </c>
      <c r="B15" s="64" t="s">
        <v>163</v>
      </c>
    </row>
    <row r="16" spans="1:2" ht="24" x14ac:dyDescent="0.2">
      <c r="A16" s="64" t="s">
        <v>39</v>
      </c>
      <c r="B16" s="64" t="s">
        <v>164</v>
      </c>
    </row>
    <row r="17" spans="1:2" x14ac:dyDescent="0.2">
      <c r="A17" s="64" t="s">
        <v>40</v>
      </c>
      <c r="B17" s="64" t="s">
        <v>165</v>
      </c>
    </row>
    <row r="18" spans="1:2" ht="48" x14ac:dyDescent="0.2">
      <c r="A18" s="64" t="s">
        <v>41</v>
      </c>
      <c r="B18" s="64" t="s">
        <v>166</v>
      </c>
    </row>
    <row r="19" spans="1:2" ht="24" x14ac:dyDescent="0.2">
      <c r="A19" s="64" t="s">
        <v>42</v>
      </c>
      <c r="B19" s="64" t="s">
        <v>167</v>
      </c>
    </row>
    <row r="20" spans="1:2" x14ac:dyDescent="0.2">
      <c r="A20" s="64" t="s">
        <v>43</v>
      </c>
      <c r="B20" s="64" t="s">
        <v>168</v>
      </c>
    </row>
    <row r="21" spans="1:2" x14ac:dyDescent="0.2">
      <c r="A21" s="64" t="s">
        <v>44</v>
      </c>
      <c r="B21" s="64" t="s">
        <v>169</v>
      </c>
    </row>
    <row r="22" spans="1:2" x14ac:dyDescent="0.2">
      <c r="A22" s="64" t="s">
        <v>45</v>
      </c>
      <c r="B22" s="64" t="s">
        <v>170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48</vt:i4>
      </vt:variant>
    </vt:vector>
  </HeadingPairs>
  <TitlesOfParts>
    <vt:vector size="59" baseType="lpstr">
      <vt:lpstr>NettingSets</vt:lpstr>
      <vt:lpstr>Operations</vt:lpstr>
      <vt:lpstr>Custom Amort</vt:lpstr>
      <vt:lpstr>Mkt</vt:lpstr>
      <vt:lpstr>Model Parameters</vt:lpstr>
      <vt:lpstr>Simulacion</vt:lpstr>
      <vt:lpstr>Valorizacion y Metricas</vt:lpstr>
      <vt:lpstr>Resultados</vt:lpstr>
      <vt:lpstr>Datos Estaticos</vt:lpstr>
      <vt:lpstr>Auxiliar</vt:lpstr>
      <vt:lpstr>Ayuda</vt:lpstr>
      <vt:lpstr>curr</vt:lpstr>
      <vt:lpstr>curveDefinition</vt:lpstr>
      <vt:lpstr>DT</vt:lpstr>
      <vt:lpstr>fwd</vt:lpstr>
      <vt:lpstr>fxDefinition</vt:lpstr>
      <vt:lpstr>maxRowsValue</vt:lpstr>
      <vt:lpstr>mktFactors</vt:lpstr>
      <vt:lpstr>monedaBase</vt:lpstr>
      <vt:lpstr>numberCurvas</vt:lpstr>
      <vt:lpstr>numberFactors</vt:lpstr>
      <vt:lpstr>numberFX</vt:lpstr>
      <vt:lpstr>numberGamma</vt:lpstr>
      <vt:lpstr>numberNettingSets</vt:lpstr>
      <vt:lpstr>numberRho</vt:lpstr>
      <vt:lpstr>numberSigma</vt:lpstr>
      <vt:lpstr>okNettingSet</vt:lpstr>
      <vt:lpstr>originCurves</vt:lpstr>
      <vt:lpstr>originCustomAmort</vt:lpstr>
      <vt:lpstr>originDatosInstitucion</vt:lpstr>
      <vt:lpstr>originDealNumberNettingSet</vt:lpstr>
      <vt:lpstr>originFX</vt:lpstr>
      <vt:lpstr>originGamma</vt:lpstr>
      <vt:lpstr>originNettingSetParaValorizar</vt:lpstr>
      <vt:lpstr>originNettingSets</vt:lpstr>
      <vt:lpstr>originOperations</vt:lpstr>
      <vt:lpstr>originRho</vt:lpstr>
      <vt:lpstr>originSigma</vt:lpstr>
      <vt:lpstr>originSimFactores</vt:lpstr>
      <vt:lpstr>originStoppingTimes</vt:lpstr>
      <vt:lpstr>rangeCurvas</vt:lpstr>
      <vt:lpstr>rangeCustomAmort</vt:lpstr>
      <vt:lpstr>rangeDealNumberNettingSet</vt:lpstr>
      <vt:lpstr>rangeFX</vt:lpstr>
      <vt:lpstr>rangeGamma</vt:lpstr>
      <vt:lpstr>rangeMarketCurves</vt:lpstr>
      <vt:lpstr>rangeMarketFX</vt:lpstr>
      <vt:lpstr>rangeNettingSets</vt:lpstr>
      <vt:lpstr>rangeNettingSetsParaValorizar</vt:lpstr>
      <vt:lpstr>rangeOperations</vt:lpstr>
      <vt:lpstr>rangeRho</vt:lpstr>
      <vt:lpstr>rangeSigma</vt:lpstr>
      <vt:lpstr>rangeSimFactores</vt:lpstr>
      <vt:lpstr>rangeStoppingTimes</vt:lpstr>
      <vt:lpstr>simHorizonte</vt:lpstr>
      <vt:lpstr>simIteraciones</vt:lpstr>
      <vt:lpstr>simRunTime</vt:lpstr>
      <vt:lpstr>swp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EFAA</cp:lastModifiedBy>
  <cp:lastPrinted>2014-12-14T20:05:02Z</cp:lastPrinted>
  <dcterms:created xsi:type="dcterms:W3CDTF">2014-03-13T12:50:07Z</dcterms:created>
  <dcterms:modified xsi:type="dcterms:W3CDTF">2015-01-08T18:26:25Z</dcterms:modified>
</cp:coreProperties>
</file>